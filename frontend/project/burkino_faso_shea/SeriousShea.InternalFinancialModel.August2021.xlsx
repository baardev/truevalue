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228"/>
  <workbookPr/>
  <mc:AlternateContent xmlns:mc="http://schemas.openxmlformats.org/markup-compatibility/2006">
    <mc:Choice Requires="x15">
      <x15ac:absPath xmlns:x15ac="http://schemas.microsoft.com/office/spreadsheetml/2010/11/ac" url="C:\Users\maila\Dropbox (ImpactAgri &amp; Irbaris)\ImpactAgri\Portfolio Agribusinesses\Burkina Faso - Serious Shea\1. Business Plan &amp; Financial Model\"/>
    </mc:Choice>
  </mc:AlternateContent>
  <xr:revisionPtr revIDLastSave="0" documentId="13_ncr:1_{3865E746-8E35-4884-8644-FCFB8FC586D9}" xr6:coauthVersionLast="47" xr6:coauthVersionMax="47" xr10:uidLastSave="{00000000-0000-0000-0000-000000000000}"/>
  <bookViews>
    <workbookView xWindow="-98" yWindow="-98" windowWidth="28996" windowHeight="15796" xr2:uid="{00000000-000D-0000-FFFF-FFFF00000000}"/>
  </bookViews>
  <sheets>
    <sheet name="Cover" sheetId="2" r:id="rId1"/>
    <sheet name="Assumptions" sheetId="4" r:id="rId2"/>
    <sheet name="AECF" sheetId="16" state="hidden" r:id="rId3"/>
    <sheet name="Extracts" sheetId="17" r:id="rId4"/>
    <sheet name="Financing Template" sheetId="15" r:id="rId5"/>
    <sheet name="Financial Overview" sheetId="3" r:id="rId6"/>
    <sheet name="Summary" sheetId="14" r:id="rId7"/>
    <sheet name="Capex Data" sheetId="7" r:id="rId8"/>
    <sheet name="Capex 1" sheetId="18" r:id="rId9"/>
    <sheet name="Capex 2" sheetId="19" r:id="rId10"/>
    <sheet name="Operational Costs" sheetId="8" r:id="rId11"/>
    <sheet name="Financial Extracts" sheetId="13" state="hidden" r:id="rId12"/>
    <sheet name="Implementation &amp; Management" sheetId="5" r:id="rId13"/>
    <sheet name="Supplementary Revenue Data" sheetId="10" r:id="rId14"/>
    <sheet name="Training Cost Data" sheetId="12" r:id="rId15"/>
    <sheet name="Carbon Data" sheetId="11" r:id="rId16"/>
    <sheet name="Readiness Funds" sheetId="6" state="hidden" r:id="rId17"/>
  </sheets>
  <externalReferences>
    <externalReference r:id="rId18"/>
    <externalReference r:id="rId19"/>
    <externalReference r:id="rId20"/>
    <externalReference r:id="rId21"/>
    <externalReference r:id="rId22"/>
  </externalReferences>
  <definedNames>
    <definedName name="abc" localSheetId="1" hidden="1">{"key inputs",#N/A,TRUE,"Key Inputs";"key outputs",#N/A,TRUE,"Outputs";"Other inputs",#N/A,TRUE,"Other Inputs";"Revenue",#N/A,TRUE,"Rev"}</definedName>
    <definedName name="abc" localSheetId="0" hidden="1">{"key inputs",#N/A,TRUE,"Key Inputs";"key outputs",#N/A,TRUE,"Outputs";"Other inputs",#N/A,TRUE,"Other Inputs";"Revenue",#N/A,TRUE,"Rev"}</definedName>
    <definedName name="abc" localSheetId="3" hidden="1">{"key inputs",#N/A,TRUE,"Key Inputs";"key outputs",#N/A,TRUE,"Outputs";"Other inputs",#N/A,TRUE,"Other Inputs";"Revenue",#N/A,TRUE,"Rev"}</definedName>
    <definedName name="abc" localSheetId="11" hidden="1">{"key inputs",#N/A,TRUE,"Key Inputs";"key outputs",#N/A,TRUE,"Outputs";"Other inputs",#N/A,TRUE,"Other Inputs";"Revenue",#N/A,TRUE,"Rev"}</definedName>
    <definedName name="abc" localSheetId="5" hidden="1">{"key inputs",#N/A,TRUE,"Key Inputs";"key outputs",#N/A,TRUE,"Outputs";"Other inputs",#N/A,TRUE,"Other Inputs";"Revenue",#N/A,TRUE,"Rev"}</definedName>
    <definedName name="abc" localSheetId="4" hidden="1">{"key inputs",#N/A,TRUE,"Key Inputs";"key outputs",#N/A,TRUE,"Outputs";"Other inputs",#N/A,TRUE,"Other Inputs";"Revenue",#N/A,TRUE,"Rev"}</definedName>
    <definedName name="abc" localSheetId="6" hidden="1">{"key inputs",#N/A,TRUE,"Key Inputs";"key outputs",#N/A,TRUE,"Outputs";"Other inputs",#N/A,TRUE,"Other Inputs";"Revenue",#N/A,TRUE,"Rev"}</definedName>
    <definedName name="abc" hidden="1">{"key inputs",#N/A,TRUE,"Key Inputs";"key outputs",#N/A,TRUE,"Outputs";"Other inputs",#N/A,TRUE,"Other Inputs";"Revenue",#N/A,TRUE,"Rev"}</definedName>
    <definedName name="accuracy">[1]Settings!$G$14</definedName>
    <definedName name="AllCases">[2]Input!$H$6:$AE$225</definedName>
    <definedName name="asd" localSheetId="1" hidden="1">{"key inputs",#N/A,FALSE,"Key Inputs";"key outputs",#N/A,FALSE,"Outputs";"Other inputs",#N/A,FALSE,"Other Inputs";"cashflow",#N/A,FALSE,"Statemnts"}</definedName>
    <definedName name="asd" localSheetId="0" hidden="1">{"key inputs",#N/A,FALSE,"Key Inputs";"key outputs",#N/A,FALSE,"Outputs";"Other inputs",#N/A,FALSE,"Other Inputs";"cashflow",#N/A,FALSE,"Statemnts"}</definedName>
    <definedName name="asd" localSheetId="3" hidden="1">{"key inputs",#N/A,FALSE,"Key Inputs";"key outputs",#N/A,FALSE,"Outputs";"Other inputs",#N/A,FALSE,"Other Inputs";"cashflow",#N/A,FALSE,"Statemnts"}</definedName>
    <definedName name="asd" localSheetId="11" hidden="1">{"key inputs",#N/A,FALSE,"Key Inputs";"key outputs",#N/A,FALSE,"Outputs";"Other inputs",#N/A,FALSE,"Other Inputs";"cashflow",#N/A,FALSE,"Statemnts"}</definedName>
    <definedName name="asd" localSheetId="5" hidden="1">{"key inputs",#N/A,FALSE,"Key Inputs";"key outputs",#N/A,FALSE,"Outputs";"Other inputs",#N/A,FALSE,"Other Inputs";"cashflow",#N/A,FALSE,"Statemnts"}</definedName>
    <definedName name="asd" localSheetId="4" hidden="1">{"key inputs",#N/A,FALSE,"Key Inputs";"key outputs",#N/A,FALSE,"Outputs";"Other inputs",#N/A,FALSE,"Other Inputs";"cashflow",#N/A,FALSE,"Statemnts"}</definedName>
    <definedName name="asd" localSheetId="6" hidden="1">{"key inputs",#N/A,FALSE,"Key Inputs";"key outputs",#N/A,FALSE,"Outputs";"Other inputs",#N/A,FALSE,"Other Inputs";"cashflow",#N/A,FALSE,"Statemnts"}</definedName>
    <definedName name="asd" hidden="1">{"key inputs",#N/A,FALSE,"Key Inputs";"key outputs",#N/A,FALSE,"Outputs";"Other inputs",#N/A,FALSE,"Other Inputs";"cashflow",#N/A,FALSE,"Statemnts"}</definedName>
    <definedName name="Assumptions" hidden="1">#N/A</definedName>
    <definedName name="case_refs">[3]Inputs!$E$5:$L$5</definedName>
    <definedName name="Currency">[1]Settings!$G$13</definedName>
    <definedName name="Header1" localSheetId="1" hidden="1">IF(COUNTA(#REF!)=0,0,INDEX(#REF!,MATCH(ROW(#REF!),#REF!,TRUE)))+1</definedName>
    <definedName name="Header1" localSheetId="15" hidden="1">IF(COUNTA(#REF!)=0,0,INDEX(#REF!,MATCH(ROW(#REF!),#REF!,TRUE)))+1</definedName>
    <definedName name="Header1" localSheetId="3" hidden="1">IF(COUNTA(#REF!)=0,0,INDEX(#REF!,MATCH(ROW(#REF!),#REF!,TRUE)))+1</definedName>
    <definedName name="Header1" localSheetId="11" hidden="1">IF(COUNTA(#REF!)=0,0,INDEX(#REF!,MATCH(ROW(#REF!),#REF!,TRUE)))+1</definedName>
    <definedName name="Header1" localSheetId="4" hidden="1">IF(COUNTA(#REF!)=0,0,INDEX(#REF!,MATCH(ROW(#REF!),#REF!,TRUE)))+1</definedName>
    <definedName name="Header1" localSheetId="16" hidden="1">IF(COUNTA(#REF!)=0,0,INDEX(#REF!,MATCH(ROW(#REF!),#REF!,TRUE)))+1</definedName>
    <definedName name="Header1" localSheetId="6" hidden="1">IF(COUNTA(#REF!)=0,0,INDEX(#REF!,MATCH(ROW(#REF!),#REF!,TRUE)))+1</definedName>
    <definedName name="Header1" localSheetId="14" hidden="1">IF(COUNTA(#REF!)=0,0,INDEX(#REF!,MATCH(ROW(#REF!),#REF!,TRUE)))+1</definedName>
    <definedName name="Header1" hidden="1">IF(COUNTA(#REF!)=0,0,INDEX(#REF!,MATCH(ROW(#REF!),#REF!,TRUE)))+1</definedName>
    <definedName name="Header2" localSheetId="1" hidden="1">Assumptions!Header1-1 &amp; "." &amp; MAX(1,COUNTA(INDEX(#REF!,MATCH(Assumptions!Header1-1,#REF!,FALSE)):#REF!))</definedName>
    <definedName name="Header2" localSheetId="15" hidden="1">'Carbon Data'!Header1-1 &amp; "." &amp; MAX(1,COUNTA(INDEX(#REF!,MATCH('Carbon Data'!Header1-1,#REF!,FALSE)):#REF!))</definedName>
    <definedName name="Header2" localSheetId="0" hidden="1">[0]!Header1-1 &amp; "." &amp; MAX(1,COUNTA(INDEX(#REF!,MATCH([0]!Header1-1,#REF!,FALSE)):#REF!))</definedName>
    <definedName name="Header2" localSheetId="3" hidden="1">Extracts!Header1-1 &amp; "." &amp; MAX(1,COUNTA(INDEX(#REF!,MATCH(Extracts!Header1-1,#REF!,FALSE)):#REF!))</definedName>
    <definedName name="Header2" localSheetId="11" hidden="1">'Financial Extracts'!Header1-1 &amp; "." &amp; MAX(1,COUNTA(INDEX(#REF!,MATCH('Financial Extracts'!Header1-1,#REF!,FALSE)):#REF!))</definedName>
    <definedName name="Header2" localSheetId="5" hidden="1">[0]!Header1-1 &amp; "." &amp; MAX(1,COUNTA(INDEX(#REF!,MATCH([0]!Header1-1,#REF!,FALSE)):#REF!))</definedName>
    <definedName name="Header2" localSheetId="4" hidden="1">'Financing Template'!Header1-1 &amp; "." &amp; MAX(1,COUNTA(INDEX(#REF!,MATCH('Financing Template'!Header1-1,#REF!,FALSE)):#REF!))</definedName>
    <definedName name="Header2" localSheetId="16" hidden="1">'Readiness Funds'!Header1-1 &amp; "." &amp; MAX(1,COUNTA(INDEX(#REF!,MATCH('Readiness Funds'!Header1-1,#REF!,FALSE)):#REF!))</definedName>
    <definedName name="Header2" localSheetId="6" hidden="1">Summary!Header1-1 &amp; "." &amp; MAX(1,COUNTA(INDEX(#REF!,MATCH(Summary!Header1-1,#REF!,FALSE)):#REF!))</definedName>
    <definedName name="Header2" localSheetId="14" hidden="1">'Training Cost Data'!Header1-1 &amp; "." &amp; MAX(1,COUNTA(INDEX(#REF!,MATCH('Training Cost Data'!Header1-1,#REF!,FALSE)):#REF!))</definedName>
    <definedName name="Header2" hidden="1">[0]!Header1-1 &amp; "." &amp; MAX(1,COUNTA(INDEX(#REF!,MATCH([0]!Header1-1,#REF!,FALSE)):#REF!))</definedName>
    <definedName name="Inputs_all">[3]Inputs!$C$6:$L$137</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INDUSTRY_REC" hidden="1">"c4455"</definedName>
    <definedName name="IQ_AVG_INDUSTRY_REC_NO" hidden="1">"c4454"</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REUT" hidden="1">"c5477"</definedName>
    <definedName name="IQ_BV_SHARE_EST" hidden="1">"c3541"</definedName>
    <definedName name="IQ_BV_SHARE_EST_REUT" hidden="1">"c5439"</definedName>
    <definedName name="IQ_BV_SHARE_HIGH_EST" hidden="1">"c3542"</definedName>
    <definedName name="IQ_BV_SHARE_HIGH_EST_REUT" hidden="1">"c5441"</definedName>
    <definedName name="IQ_BV_SHARE_LOW_EST" hidden="1">"c3543"</definedName>
    <definedName name="IQ_BV_SHARE_LOW_EST_REUT" hidden="1">"c5442"</definedName>
    <definedName name="IQ_BV_SHARE_MEDIAN_EST" hidden="1">"c3544"</definedName>
    <definedName name="IQ_BV_SHARE_MEDIAN_EST_REUT" hidden="1">"c5440"</definedName>
    <definedName name="IQ_BV_SHARE_NUM_EST" hidden="1">"c3539"</definedName>
    <definedName name="IQ_BV_SHARE_NUM_EST_REUT" hidden="1">"c5443"</definedName>
    <definedName name="IQ_BV_SHARE_STDDEV_EST" hidden="1">"c3540"</definedName>
    <definedName name="IQ_BV_SHARE_STDDEV_EST_REUT" hidden="1">"c5444"</definedName>
    <definedName name="IQ_BV_STDDEV_EST" hidden="1">"c5629"</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ACT_OR_EST" hidden="1">"c3584"</definedName>
    <definedName name="IQ_CAPEX_ACT_OR_EST_REUT" hidden="1">"c5474"</definedName>
    <definedName name="IQ_CAPEX_BNK" hidden="1">"c110"</definedName>
    <definedName name="IQ_CAPEX_BR" hidden="1">"c111"</definedName>
    <definedName name="IQ_CAPEX_EST" hidden="1">"c3523"</definedName>
    <definedName name="IQ_CAPEX_EST_REUT" hidden="1">"c3969"</definedName>
    <definedName name="IQ_CAPEX_FIN" hidden="1">"c112"</definedName>
    <definedName name="IQ_CAPEX_GUIDANCE" hidden="1">"c4150"</definedName>
    <definedName name="IQ_CAPEX_HIGH_EST" hidden="1">"c3524"</definedName>
    <definedName name="IQ_CAPEX_HIGH_EST_REUT" hidden="1">"c3971"</definedName>
    <definedName name="IQ_CAPEX_HIGH_GUIDANCE" hidden="1">"c4180"</definedName>
    <definedName name="IQ_CAPEX_INS" hidden="1">"c113"</definedName>
    <definedName name="IQ_CAPEX_LOW_EST" hidden="1">"c3525"</definedName>
    <definedName name="IQ_CAPEX_LOW_EST_REUT" hidden="1">"c3972"</definedName>
    <definedName name="IQ_CAPEX_LOW_GUIDANCE" hidden="1">"c4220"</definedName>
    <definedName name="IQ_CAPEX_MEDIAN_EST" hidden="1">"c3526"</definedName>
    <definedName name="IQ_CAPEX_MEDIAN_EST_REUT" hidden="1">"c3970"</definedName>
    <definedName name="IQ_CAPEX_NUM_EST" hidden="1">"c3521"</definedName>
    <definedName name="IQ_CAPEX_NUM_EST_REUT" hidden="1">"c3973"</definedName>
    <definedName name="IQ_CAPEX_STDDEV_EST" hidden="1">"c3522"</definedName>
    <definedName name="IQ_CAPEX_STDDEV_EST_REUT" hidden="1">"c3974"</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PS_ACT_OR_EST" hidden="1">"c5638"</definedName>
    <definedName name="IQ_CASH_EPS_EST" hidden="1">"c5631"</definedName>
    <definedName name="IQ_CASH_EPS_HIGH_EST" hidden="1">"c5633"</definedName>
    <definedName name="IQ_CASH_EPS_LOW_EST" hidden="1">"c5634"</definedName>
    <definedName name="IQ_CASH_EPS_MEDIAN_EST" hidden="1">"c5632"</definedName>
    <definedName name="IQ_CASH_EPS_NUM_EST" hidden="1">"c5635"</definedName>
    <definedName name="IQ_CASH_EPS_STDDEV_EST" hidden="1">"c5636"</definedName>
    <definedName name="IQ_CASH_EQUIV" hidden="1">"c118"</definedName>
    <definedName name="IQ_CASH_FINAN" hidden="1">"c119"</definedName>
    <definedName name="IQ_CASH_FLOW_ACT_OR_EST" hidden="1">"c4154"</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TEREST" hidden="1">"c120"</definedName>
    <definedName name="IQ_CASH_INVEST" hidden="1">"c121"</definedName>
    <definedName name="IQ_CASH_OPER" hidden="1">"c122"</definedName>
    <definedName name="IQ_CASH_OPER_ACT_OR_EST" hidden="1">"c4164"</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UM_EST" hidden="1">"c4246"</definedName>
    <definedName name="IQ_CASH_OPER_STDDEV_EST" hidden="1">"c4247"</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ACT_OR_EST" hidden="1">"c2217"</definedName>
    <definedName name="IQ_CFPS_ACT_OR_EST_REUT" hidden="1">"c5463"</definedName>
    <definedName name="IQ_CFPS_EST" hidden="1">"c1667"</definedName>
    <definedName name="IQ_CFPS_EST_REUT" hidden="1">"c3844"</definedName>
    <definedName name="IQ_CFPS_GUIDANCE" hidden="1">"c4256"</definedName>
    <definedName name="IQ_CFPS_HIGH_EST" hidden="1">"c1669"</definedName>
    <definedName name="IQ_CFPS_HIGH_EST_REUT" hidden="1">"c3846"</definedName>
    <definedName name="IQ_CFPS_HIGH_GUIDANCE" hidden="1">"c4167"</definedName>
    <definedName name="IQ_CFPS_LOW_EST" hidden="1">"c1670"</definedName>
    <definedName name="IQ_CFPS_LOW_EST_REUT" hidden="1">"c3847"</definedName>
    <definedName name="IQ_CFPS_LOW_GUIDANCE" hidden="1">"c4207"</definedName>
    <definedName name="IQ_CFPS_MEDIAN_EST" hidden="1">"c1668"</definedName>
    <definedName name="IQ_CFPS_MEDIAN_EST_REUT" hidden="1">"c3845"</definedName>
    <definedName name="IQ_CFPS_NUM_EST" hidden="1">"c1671"</definedName>
    <definedName name="IQ_CFPS_NUM_EST_REUT" hidden="1">"c3848"</definedName>
    <definedName name="IQ_CFPS_STDDEV_EST" hidden="1">"c1672"</definedName>
    <definedName name="IQ_CFPS_STDDEV_EST_REUT" hidden="1">"c3849"</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OSITS_INTEREST_SECURITIES" hidden="1">"c5509"</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FF_LASTCLOSE_TARGET_PRICE_REUT" hidden="1">"c5436"</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EST" hidden="1">"c4277"</definedName>
    <definedName name="IQ_DISTRIBUTABLE_CASH_GUIDANCE" hidden="1">"c4279"</definedName>
    <definedName name="IQ_DISTRIBUTABLE_CASH_HIGH_EST" hidden="1">"c4280"</definedName>
    <definedName name="IQ_DISTRIBUTABLE_CASH_HIGH_GUIDANCE" hidden="1">"c4198"</definedName>
    <definedName name="IQ_DISTRIBUTABLE_CASH_LOW_EST" hidden="1">"c4281"</definedName>
    <definedName name="IQ_DISTRIBUTABLE_CASH_LOW_GUIDANCE" hidden="1">"c4238"</definedName>
    <definedName name="IQ_DISTRIBUTABLE_CASH_MEDIAN_EST" hidden="1">"c4282"</definedName>
    <definedName name="IQ_DISTRIBUTABLE_CASH_NUM_EST" hidden="1">"c4283"</definedName>
    <definedName name="IQ_DISTRIBUTABLE_CASH_PAYOUT" hidden="1">"c3005"</definedName>
    <definedName name="IQ_DISTRIBUTABLE_CASH_SHARE" hidden="1">"c3003"</definedName>
    <definedName name="IQ_DISTRIBUTABLE_CASH_SHARE_ACT_OR_EST" hidden="1">"c4286"</definedName>
    <definedName name="IQ_DISTRIBUTABLE_CASH_SHARE_EST" hidden="1">"c4285"</definedName>
    <definedName name="IQ_DISTRIBUTABLE_CASH_SHARE_GUIDANCE" hidden="1">"c4287"</definedName>
    <definedName name="IQ_DISTRIBUTABLE_CASH_SHARE_HIGH_EST" hidden="1">"c4288"</definedName>
    <definedName name="IQ_DISTRIBUTABLE_CASH_SHARE_HIGH_GUIDANCE" hidden="1">"c4199"</definedName>
    <definedName name="IQ_DISTRIBUTABLE_CASH_SHARE_LOW_EST" hidden="1">"c4289"</definedName>
    <definedName name="IQ_DISTRIBUTABLE_CASH_SHARE_LOW_GUIDANCE" hidden="1">"c4239"</definedName>
    <definedName name="IQ_DISTRIBUTABLE_CASH_SHARE_MEDIAN_EST" hidden="1">"c4290"</definedName>
    <definedName name="IQ_DISTRIBUTABLE_CASH_SHARE_NUM_EST" hidden="1">"c4291"</definedName>
    <definedName name="IQ_DISTRIBUTABLE_CASH_SHARE_STDDEV_EST" hidden="1">"c4292"</definedName>
    <definedName name="IQ_DISTRIBUTABLE_CASH_STDDEV_EST" hidden="1">"c4294"</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ACT_OR_EST" hidden="1">"c2218"</definedName>
    <definedName name="IQ_DPS_ACT_OR_EST_REUT" hidden="1">"c5464"</definedName>
    <definedName name="IQ_DPS_EST" hidden="1">"c1674"</definedName>
    <definedName name="IQ_DPS_EST_BOTTOM_UP" hidden="1">"c5493"</definedName>
    <definedName name="IQ_DPS_EST_BOTTOM_UP_REUT" hidden="1">"c5501"</definedName>
    <definedName name="IQ_DPS_EST_REUT" hidden="1">"c3851"</definedName>
    <definedName name="IQ_DPS_GUIDANCE" hidden="1">"c4302"</definedName>
    <definedName name="IQ_DPS_HIGH_EST" hidden="1">"c1676"</definedName>
    <definedName name="IQ_DPS_HIGH_EST_REUT" hidden="1">"c3853"</definedName>
    <definedName name="IQ_DPS_HIGH_GUIDANCE" hidden="1">"c4168"</definedName>
    <definedName name="IQ_DPS_LOW_EST" hidden="1">"c1677"</definedName>
    <definedName name="IQ_DPS_LOW_EST_REUT" hidden="1">"c3854"</definedName>
    <definedName name="IQ_DPS_LOW_GUIDANCE" hidden="1">"c4208"</definedName>
    <definedName name="IQ_DPS_MEDIAN_EST" hidden="1">"c1675"</definedName>
    <definedName name="IQ_DPS_MEDIAN_EST_REUT" hidden="1">"c3852"</definedName>
    <definedName name="IQ_DPS_NUM_EST" hidden="1">"c1678"</definedName>
    <definedName name="IQ_DPS_NUM_EST_REUT" hidden="1">"c3855"</definedName>
    <definedName name="IQ_DPS_STDDEV_EST" hidden="1">"c1679"</definedName>
    <definedName name="IQ_DPS_STDDEV_EST_REUT" hidden="1">"c3856"</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ACT_OR_EST" hidden="1">"c2219"</definedName>
    <definedName name="IQ_EBIT_ACT_OR_EST_REUT" hidden="1">"c5465"</definedName>
    <definedName name="IQ_EBIT_EQ_INC" hidden="1">"c3498"</definedName>
    <definedName name="IQ_EBIT_EQ_INC_EXCL_SBC" hidden="1">"c3502"</definedName>
    <definedName name="IQ_EBIT_EST" hidden="1">"c1681"</definedName>
    <definedName name="IQ_EBIT_EST_REUT" hidden="1">"c5333"</definedName>
    <definedName name="IQ_EBIT_EXCL_SBC" hidden="1">"c3082"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REUT" hidden="1">"c5335"</definedName>
    <definedName name="IQ_EBIT_HIGH_GUIDANCE" hidden="1">"c4172"</definedName>
    <definedName name="IQ_EBIT_INT" hidden="1">"c360"</definedName>
    <definedName name="IQ_EBIT_LOW_EST" hidden="1">"c1684"</definedName>
    <definedName name="IQ_EBIT_LOW_EST_REUT" hidden="1">"c5336"</definedName>
    <definedName name="IQ_EBIT_LOW_GUIDANCE" hidden="1">"c4212"</definedName>
    <definedName name="IQ_EBIT_MARGIN" hidden="1">"c359"</definedName>
    <definedName name="IQ_EBIT_MEDIAN_EST" hidden="1">"c1682"</definedName>
    <definedName name="IQ_EBIT_MEDIAN_EST_REUT" hidden="1">"c5334"</definedName>
    <definedName name="IQ_EBIT_NUM_EST" hidden="1">"c1685"</definedName>
    <definedName name="IQ_EBIT_NUM_EST_REUT" hidden="1">"c5337"</definedName>
    <definedName name="IQ_EBIT_OVER_IE" hidden="1">"c1369"</definedName>
    <definedName name="IQ_EBIT_SBC_ACT_OR_EST" hidden="1">"c4316"</definedName>
    <definedName name="IQ_EBIT_SBC_EST" hidden="1">"c4315"</definedName>
    <definedName name="IQ_EBIT_SBC_GUIDANCE" hidden="1">"c4317"</definedName>
    <definedName name="IQ_EBIT_SBC_GW_ACT_OR_EST" hidden="1">"c4320"</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REUT" hidden="1">"c5338"</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ACT_OR_EST_REUT" hidden="1">"c5462"</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GUIDANCE" hidden="1">"c4334"</definedName>
    <definedName name="IQ_EBITDA_HIGH_EST" hidden="1">"c370"</definedName>
    <definedName name="IQ_EBITDA_HIGH_EST_REUT" hidden="1">"c3642"</definedName>
    <definedName name="IQ_EBITDA_HIGH_GUIDANCE" hidden="1">"c4170"</definedName>
    <definedName name="IQ_EBITDA_INT" hidden="1">"c373"</definedName>
    <definedName name="IQ_EBITDA_LOW_EST" hidden="1">"c371"</definedName>
    <definedName name="IQ_EBITDA_LOW_EST_REUT" hidden="1">"c3643"</definedName>
    <definedName name="IQ_EBITDA_LOW_GUIDANCE" hidden="1">"c4210"</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IT" hidden="1">"c389"</definedName>
    <definedName name="IQ_EBT_SBC_ACT_OR_EST" hidden="1">"c4350"</definedName>
    <definedName name="IQ_EBT_SBC_EST" hidden="1">"c4349"</definedName>
    <definedName name="IQ_EBT_SBC_GUIDANCE" hidden="1">"c4351"</definedName>
    <definedName name="IQ_EBT_SBC_GW_ACT_OR_EST" hidden="1">"c4354"</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ACT_OR_EST_REUT" hidden="1">"c5460"</definedName>
    <definedName name="IQ_EPS_EST" hidden="1">"c399"</definedName>
    <definedName name="IQ_EPS_EST_BOTTOM_UP" hidden="1">"c5489"</definedName>
    <definedName name="IQ_EPS_EST_BOTTOM_UP_REUT" hidden="1">"c5497"</definedName>
    <definedName name="IQ_EPS_EST_REUT" hidden="1">"c5453"</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REUT" hidden="1">"c5469"</definedName>
    <definedName name="IQ_EPS_GW_EST" hidden="1">"c1737"</definedName>
    <definedName name="IQ_EPS_GW_EST_BOTTOM_UP" hidden="1">"c5491"</definedName>
    <definedName name="IQ_EPS_GW_EST_BOTTOM_UP_REUT" hidden="1">"c5499"</definedName>
    <definedName name="IQ_EPS_GW_EST_REUT" hidden="1">"c5389"</definedName>
    <definedName name="IQ_EPS_GW_GUIDANCE" hidden="1">"c4372"</definedName>
    <definedName name="IQ_EPS_GW_HIGH_EST" hidden="1">"c1739"</definedName>
    <definedName name="IQ_EPS_GW_HIGH_EST_REUT" hidden="1">"c5391"</definedName>
    <definedName name="IQ_EPS_GW_HIGH_GUIDANCE" hidden="1">"c4373"</definedName>
    <definedName name="IQ_EPS_GW_LOW_EST" hidden="1">"c1740"</definedName>
    <definedName name="IQ_EPS_GW_LOW_EST_REUT" hidden="1">"c5392"</definedName>
    <definedName name="IQ_EPS_GW_LOW_GUIDANCE" hidden="1">"c4206"</definedName>
    <definedName name="IQ_EPS_GW_MEDIAN_EST" hidden="1">"c1738"</definedName>
    <definedName name="IQ_EPS_GW_MEDIAN_EST_REUT" hidden="1">"c5390"</definedName>
    <definedName name="IQ_EPS_GW_NUM_EST" hidden="1">"c1741"</definedName>
    <definedName name="IQ_EPS_GW_NUM_EST_REUT" hidden="1">"c5393"</definedName>
    <definedName name="IQ_EPS_GW_STDDEV_EST" hidden="1">"c1742"</definedName>
    <definedName name="IQ_EPS_GW_STDDEV_EST_REUT" hidden="1">"c5394"</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ORM_EST" hidden="1">"c2226"</definedName>
    <definedName name="IQ_EPS_NORM_EST_BOTTOM_UP" hidden="1">"c5490"</definedName>
    <definedName name="IQ_EPS_NORM_EST_BOTTOM_UP_REUT" hidden="1">"c5498"</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REPORT_ACT_OR_EST" hidden="1">"c2224"</definedName>
    <definedName name="IQ_EPS_REPORT_ACT_OR_EST_REUT" hidden="1">"c5470"</definedName>
    <definedName name="IQ_EPS_REPORTED_EST" hidden="1">"c1744"</definedName>
    <definedName name="IQ_EPS_REPORTED_EST_BOTTOM_UP" hidden="1">"c5492"</definedName>
    <definedName name="IQ_EPS_REPORTED_EST_BOTTOM_UP_REUT" hidden="1">"c5500"</definedName>
    <definedName name="IQ_EPS_REPORTED_EST_REUT" hidden="1">"c5396"</definedName>
    <definedName name="IQ_EPS_REPORTED_HIGH_EST" hidden="1">"c1746"</definedName>
    <definedName name="IQ_EPS_REPORTED_HIGH_EST_REUT" hidden="1">"c5398"</definedName>
    <definedName name="IQ_EPS_REPORTED_LOW_EST" hidden="1">"c1747"</definedName>
    <definedName name="IQ_EPS_REPORTED_LOW_EST_REUT" hidden="1">"c5399"</definedName>
    <definedName name="IQ_EPS_REPORTED_MEDIAN_EST" hidden="1">"c1745"</definedName>
    <definedName name="IQ_EPS_REPORTED_MEDIAN_EST_REUT" hidden="1">"c5397"</definedName>
    <definedName name="IQ_EPS_REPORTED_NUM_EST" hidden="1">"c1748"</definedName>
    <definedName name="IQ_EPS_REPORTED_NUM_EST_REUT" hidden="1">"c5400"</definedName>
    <definedName name="IQ_EPS_REPORTED_STDDEV_EST" hidden="1">"c1749"</definedName>
    <definedName name="IQ_EPS_REPORTED_STDDEV_EST_REUT" hidden="1">"c5401"</definedName>
    <definedName name="IQ_EPS_SBC_ACT_OR_EST" hidden="1">"c4376"</definedName>
    <definedName name="IQ_EPS_SBC_EST" hidden="1">"c4375"</definedName>
    <definedName name="IQ_EPS_SBC_GUIDANCE" hidden="1">"c4377"</definedName>
    <definedName name="IQ_EPS_SBC_GW_ACT_OR_EST" hidden="1">"c4380"</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REUT" hidden="1">"c5452"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REUT" hidden="1">"c5445"</definedName>
    <definedName name="IQ_EST_ACT_CAPEX" hidden="1">"c3546"</definedName>
    <definedName name="IQ_EST_ACT_CAPEX_REUT" hidden="1">"c3975"</definedName>
    <definedName name="IQ_EST_ACT_CASH_EPS" hidden="1">"c5637"</definedName>
    <definedName name="IQ_EST_ACT_CASH_FLOW" hidden="1">"c4394"</definedName>
    <definedName name="IQ_EST_ACT_CASH_OPER" hidden="1">"c4395"</definedName>
    <definedName name="IQ_EST_ACT_CFPS" hidden="1">"c1673"</definedName>
    <definedName name="IQ_EST_ACT_CFPS_REUT" hidden="1">"c3850"</definedName>
    <definedName name="IQ_EST_ACT_DISTRIBUTABLE_CASH" hidden="1">"c4396"</definedName>
    <definedName name="IQ_EST_ACT_DISTRIBUTABLE_CASH_SHARE" hidden="1">"c4397"</definedName>
    <definedName name="IQ_EST_ACT_DPS" hidden="1">"c1680"</definedName>
    <definedName name="IQ_EST_ACT_DPS_REUT" hidden="1">"c3857"</definedName>
    <definedName name="IQ_EST_ACT_EBIT" hidden="1">"c1687"</definedName>
    <definedName name="IQ_EST_ACT_EBIT_GW" hidden="1">"c4398"</definedName>
    <definedName name="IQ_EST_ACT_EBIT_REUT" hidden="1">"c5339"</definedName>
    <definedName name="IQ_EST_ACT_EBIT_SBC" hidden="1">"c4399"</definedName>
    <definedName name="IQ_EST_ACT_EBIT_SBC_GW" hidden="1">"c4400"</definedName>
    <definedName name="IQ_EST_ACT_EBITDA" hidden="1">"c1664"</definedName>
    <definedName name="IQ_EST_ACT_EBITDA_REUT" hidden="1">"c3836"</definedName>
    <definedName name="IQ_EST_ACT_EBITDA_SBC" hidden="1">"c4401"</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REUT" hidden="1">"c5395"</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UT" hidden="1">"c5457"</definedName>
    <definedName name="IQ_EST_ACT_EPS_SBC" hidden="1">"c4404"</definedName>
    <definedName name="IQ_EST_ACT_EPS_SBC_GW" hidden="1">"c4405"</definedName>
    <definedName name="IQ_EST_ACT_FFO" hidden="1">"c1666"</definedName>
    <definedName name="IQ_EST_ACT_FFO_ADJ" hidden="1">"c4406"</definedName>
    <definedName name="IQ_EST_ACT_FFO_REUT" hidden="1">"c3843"</definedName>
    <definedName name="IQ_EST_ACT_FFO_SHARE" hidden="1">"c4407"</definedName>
    <definedName name="IQ_EST_ACT_GROSS_MARGIN" hidden="1">"c5553"</definedName>
    <definedName name="IQ_EST_ACT_MAINT_CAPEX" hidden="1">"c4408"</definedName>
    <definedName name="IQ_EST_ACT_NAV" hidden="1">"c1757"</definedName>
    <definedName name="IQ_EST_ACT_NAV_SHARE" hidden="1">"c5608"</definedName>
    <definedName name="IQ_EST_ACT_NAV_SHARE_REUT" hidden="1">"c5616"</definedName>
    <definedName name="IQ_EST_ACT_NET_DEBT" hidden="1">"c3545"</definedName>
    <definedName name="IQ_EST_ACT_NET_DEBT_REUT" hidden="1">"c5446"</definedName>
    <definedName name="IQ_EST_ACT_NI" hidden="1">"c1722"</definedName>
    <definedName name="IQ_EST_ACT_NI_GW" hidden="1">"c1729"</definedName>
    <definedName name="IQ_EST_ACT_NI_GW_REUT" hidden="1">"c5381"</definedName>
    <definedName name="IQ_EST_ACT_NI_REPORTED" hidden="1">"c1736"</definedName>
    <definedName name="IQ_EST_ACT_NI_REPORTED_REUT" hidden="1">"c5388"</definedName>
    <definedName name="IQ_EST_ACT_NI_REUT" hidden="1">"c5374"</definedName>
    <definedName name="IQ_EST_ACT_NI_SBC" hidden="1">"c4409"</definedName>
    <definedName name="IQ_EST_ACT_NI_SBC_GW" hidden="1">"c4410"</definedName>
    <definedName name="IQ_EST_ACT_OPER_INC" hidden="1">"c1694"</definedName>
    <definedName name="IQ_EST_ACT_OPER_INC_REUT" hidden="1">"c5346"</definedName>
    <definedName name="IQ_EST_ACT_PRETAX_GW_INC" hidden="1">"c1708"</definedName>
    <definedName name="IQ_EST_ACT_PRETAX_GW_INC_REUT" hidden="1">"c5360"</definedName>
    <definedName name="IQ_EST_ACT_PRETAX_INC" hidden="1">"c1701"</definedName>
    <definedName name="IQ_EST_ACT_PRETAX_INC_REUT" hidden="1">"c5353"</definedName>
    <definedName name="IQ_EST_ACT_PRETAX_REPORT_INC" hidden="1">"c1715"</definedName>
    <definedName name="IQ_EST_ACT_PRETAX_REPORT_INC_REUT" hidden="1">"c5367"</definedName>
    <definedName name="IQ_EST_ACT_RECURRING_PROFIT" hidden="1">"c4411"</definedName>
    <definedName name="IQ_EST_ACT_RECURRING_PROFIT_SHARE" hidden="1">"c4412"</definedName>
    <definedName name="IQ_EST_ACT_RETURN_ASSETS" hidden="1">"c3547"</definedName>
    <definedName name="IQ_EST_ACT_RETURN_ASSETS_REUT" hidden="1">"c3996"</definedName>
    <definedName name="IQ_EST_ACT_RETURN_EQUITY" hidden="1">"c3548"</definedName>
    <definedName name="IQ_EST_ACT_RETURN_EQUITY_REUT" hidden="1">"c3989"</definedName>
    <definedName name="IQ_EST_ACT_REV" hidden="1">"c2113"</definedName>
    <definedName name="IQ_EST_ACT_REV_REUT" hidden="1">"c3835"</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REUT" hidden="1">"c5447"</definedName>
    <definedName name="IQ_EST_CAPEX_GROWTH_2YR" hidden="1">"c3589"</definedName>
    <definedName name="IQ_EST_CAPEX_GROWTH_2YR_REUT" hidden="1">"c5448"</definedName>
    <definedName name="IQ_EST_CAPEX_GROWTH_Q_1YR" hidden="1">"c3590"</definedName>
    <definedName name="IQ_EST_CAPEX_GROWTH_Q_1YR_REUT" hidden="1">"c5449"</definedName>
    <definedName name="IQ_EST_CAPEX_SEQ_GROWTH_Q" hidden="1">"c3591"</definedName>
    <definedName name="IQ_EST_CAPEX_SEQ_GROWTH_Q_REUT" hidden="1">"c5450"</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REUT" hidden="1">"c3892"</definedName>
    <definedName name="IQ_EST_CFPS_GROWTH_1YR" hidden="1">"c1774"</definedName>
    <definedName name="IQ_EST_CFPS_GROWTH_1YR_REUT" hidden="1">"c3878"</definedName>
    <definedName name="IQ_EST_CFPS_GROWTH_2YR" hidden="1">"c1775"</definedName>
    <definedName name="IQ_EST_CFPS_GROWTH_2YR_REUT" hidden="1">"c3879"</definedName>
    <definedName name="IQ_EST_CFPS_GROWTH_Q_1YR" hidden="1">"c1776"</definedName>
    <definedName name="IQ_EST_CFPS_GROWTH_Q_1YR_REUT" hidden="1">"c3880"</definedName>
    <definedName name="IQ_EST_CFPS_SEQ_GROWTH_Q" hidden="1">"c1777"</definedName>
    <definedName name="IQ_EST_CFPS_SEQ_GROWTH_Q_REUT" hidden="1">"c3881"</definedName>
    <definedName name="IQ_EST_CFPS_SURPRISE_PERCENT" hidden="1">"c1872"</definedName>
    <definedName name="IQ_EST_CFPS_SURPRISE_PERCENT_REUT" hidden="1">"c3893"</definedName>
    <definedName name="IQ_EST_CURRENCY" hidden="1">"c2140"</definedName>
    <definedName name="IQ_EST_CURRENCY_REUT" hidden="1">"c5437"</definedName>
    <definedName name="IQ_EST_DATE" hidden="1">"c1634"</definedName>
    <definedName name="IQ_EST_DATE_REUT" hidden="1">"c5438"</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REUT" hidden="1">"c3894"</definedName>
    <definedName name="IQ_EST_DPS_GROWTH_1YR" hidden="1">"c1778"</definedName>
    <definedName name="IQ_EST_DPS_GROWTH_1YR_REUT" hidden="1">"c3882"</definedName>
    <definedName name="IQ_EST_DPS_GROWTH_2YR" hidden="1">"c1779"</definedName>
    <definedName name="IQ_EST_DPS_GROWTH_2YR_REUT" hidden="1">"c3883"</definedName>
    <definedName name="IQ_EST_DPS_GROWTH_Q_1YR" hidden="1">"c1780"</definedName>
    <definedName name="IQ_EST_DPS_GROWTH_Q_1YR_REUT" hidden="1">"c3884"</definedName>
    <definedName name="IQ_EST_DPS_SEQ_GROWTH_Q" hidden="1">"c1781"</definedName>
    <definedName name="IQ_EST_DPS_SEQ_GROWTH_Q_REUT" hidden="1">"c3885"</definedName>
    <definedName name="IQ_EST_DPS_SURPRISE_PERCENT" hidden="1">"c1874"</definedName>
    <definedName name="IQ_EST_DPS_SURPRISE_PERCENT_REUT" hidden="1">"c3895"</definedName>
    <definedName name="IQ_EST_EBIT_DIFF" hidden="1">"c1875"</definedName>
    <definedName name="IQ_EST_EBIT_DIFF_REUT" hidden="1">"c5413"</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REUT" hidden="1">"c5414"</definedName>
    <definedName name="IQ_EST_EBITDA_DIFF" hidden="1">"c1867"</definedName>
    <definedName name="IQ_EST_EBITDA_DIFF_REUT" hidden="1">"c3888"</definedName>
    <definedName name="IQ_EST_EBITDA_GROWTH_1YR" hidden="1">"c1766"</definedName>
    <definedName name="IQ_EST_EBITDA_GROWTH_1YR_REUT" hidden="1">"c3864"</definedName>
    <definedName name="IQ_EST_EBITDA_GROWTH_2YR" hidden="1">"c1767"</definedName>
    <definedName name="IQ_EST_EBITDA_GROWTH_2YR_REUT" hidden="1">"c3865"</definedName>
    <definedName name="IQ_EST_EBITDA_GROWTH_Q_1YR" hidden="1">"c1768"</definedName>
    <definedName name="IQ_EST_EBITDA_GROWTH_Q_1YR_REUT" hidden="1">"c3866"</definedName>
    <definedName name="IQ_EST_EBITDA_SBC_DIFF" hidden="1">"c4335"</definedName>
    <definedName name="IQ_EST_EBITDA_SBC_SURPRISE_PERCENT" hidden="1">"c4344"</definedName>
    <definedName name="IQ_EST_EBITDA_SEQ_GROWTH_Q" hidden="1">"c1769"</definedName>
    <definedName name="IQ_EST_EBITDA_SEQ_GROWTH_Q_REUT" hidden="1">"c3867"</definedName>
    <definedName name="IQ_EST_EBITDA_SURPRISE_PERCENT" hidden="1">"c1868"</definedName>
    <definedName name="IQ_EST_EBITDA_SURPRISE_PERCENT_REUT" hidden="1">"c3889"</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REUT" hidden="1">"c5458"</definedName>
    <definedName name="IQ_EST_EPS_GROWTH_1YR" hidden="1">"c1636"</definedName>
    <definedName name="IQ_EST_EPS_GROWTH_1YR_REUT" hidden="1">"c3646"</definedName>
    <definedName name="IQ_EST_EPS_GROWTH_2YR" hidden="1">"c1637"</definedName>
    <definedName name="IQ_EST_EPS_GROWTH_2YR_REUT" hidden="1">"c3858"</definedName>
    <definedName name="IQ_EST_EPS_GROWTH_5YR" hidden="1">"c1655"</definedName>
    <definedName name="IQ_EST_EPS_GROWTH_5YR_BOTTOM_UP" hidden="1">"c5487"</definedName>
    <definedName name="IQ_EST_EPS_GROWTH_5YR_BOTTOM_UP_REUT" hidden="1">"c5495"</definedName>
    <definedName name="IQ_EST_EPS_GROWTH_5YR_HIGH" hidden="1">"c1657"</definedName>
    <definedName name="IQ_EST_EPS_GROWTH_5YR_HIGH_REUT" hidden="1">"c5322"</definedName>
    <definedName name="IQ_EST_EPS_GROWTH_5YR_LOW" hidden="1">"c1658"</definedName>
    <definedName name="IQ_EST_EPS_GROWTH_5YR_LOW_REUT" hidden="1">"c5323"</definedName>
    <definedName name="IQ_EST_EPS_GROWTH_5YR_MEDIAN" hidden="1">"c1656"</definedName>
    <definedName name="IQ_EST_EPS_GROWTH_5YR_MEDIAN_REUT" hidden="1">"c5321"</definedName>
    <definedName name="IQ_EST_EPS_GROWTH_5YR_NUM" hidden="1">"c1659"</definedName>
    <definedName name="IQ_EST_EPS_GROWTH_5YR_NUM_REUT" hidden="1">"c5324"</definedName>
    <definedName name="IQ_EST_EPS_GROWTH_5YR_REUT" hidden="1">"c3633"</definedName>
    <definedName name="IQ_EST_EPS_GROWTH_5YR_STDDEV" hidden="1">"c1660"</definedName>
    <definedName name="IQ_EST_EPS_GROWTH_5YR_STDDEV_REUT" hidden="1">"c5325"</definedName>
    <definedName name="IQ_EST_EPS_GROWTH_Q_1YR" hidden="1">"c1641"</definedName>
    <definedName name="IQ_EST_EPS_GROWTH_Q_1YR_REUT" hidden="1">"c5410"</definedName>
    <definedName name="IQ_EST_EPS_GW_DIFF" hidden="1">"c1891"</definedName>
    <definedName name="IQ_EST_EPS_GW_DIFF_REUT" hidden="1">"c5429"</definedName>
    <definedName name="IQ_EST_EPS_GW_SURPRISE_PERCENT" hidden="1">"c1892"</definedName>
    <definedName name="IQ_EST_EPS_GW_SURPRISE_PERCENT_REUT" hidden="1">"c5430"</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SURPRISE_PERCENT" hidden="1">"c1894"</definedName>
    <definedName name="IQ_EST_EPS_REPORT_SURPRISE_PERCENT_REUT" hidden="1">"c5432"</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REUT" hidden="1">"c3859"</definedName>
    <definedName name="IQ_EST_EPS_SURPRISE_PERCENT" hidden="1">"c1635"</definedName>
    <definedName name="IQ_EST_EPS_SURPRISE_PERCENT_REUT" hidden="1">"c5459"</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GROWTH_1YR" hidden="1">"c1770"</definedName>
    <definedName name="IQ_EST_FFO_GROWTH_1YR_REUT" hidden="1">"c3874"</definedName>
    <definedName name="IQ_EST_FFO_GROWTH_2YR" hidden="1">"c1771"</definedName>
    <definedName name="IQ_EST_FFO_GROWTH_2YR_REUT" hidden="1">"c3875"</definedName>
    <definedName name="IQ_EST_FFO_GROWTH_Q_1YR" hidden="1">"c1772"</definedName>
    <definedName name="IQ_EST_FFO_GROWTH_Q_1YR_REUT" hidden="1">"c3876"</definedName>
    <definedName name="IQ_EST_FFO_SEQ_GROWTH_Q" hidden="1">"c1773"</definedName>
    <definedName name="IQ_EST_FFO_SEQ_GROWTH_Q_REUT" hidden="1">"c3877"</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OOTNOTE" hidden="1">"c4540"</definedName>
    <definedName name="IQ_EST_FOOTNOTE_REUT" hidden="1">"c5478"</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REUT" hidden="1">"c5423"</definedName>
    <definedName name="IQ_EST_NI_GW_DIFF" hidden="1">"c1887"</definedName>
    <definedName name="IQ_EST_NI_GW_DIFF_REUT" hidden="1">"c5425"</definedName>
    <definedName name="IQ_EST_NI_GW_SURPRISE_PERCENT" hidden="1">"c1888"</definedName>
    <definedName name="IQ_EST_NI_GW_SURPRISE_PERCENT_REUT" hidden="1">"c5426"</definedName>
    <definedName name="IQ_EST_NI_REPORT_DIFF" hidden="1">"c1889"</definedName>
    <definedName name="IQ_EST_NI_REPORT_DIFF_REUT" hidden="1">"c5427"</definedName>
    <definedName name="IQ_EST_NI_REPORT_SURPRISE_PERCENT" hidden="1">"c1890"</definedName>
    <definedName name="IQ_EST_NI_REPORT_SURPRISE_PERCENT_REUT" hidden="1">"c5428"</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REUT" hidden="1">"c5424"</definedName>
    <definedName name="IQ_EST_NUM_BUY" hidden="1">"c1759"</definedName>
    <definedName name="IQ_EST_NUM_BUY_REUT" hidden="1">"c3869"</definedName>
    <definedName name="IQ_EST_NUM_HOLD" hidden="1">"c1761"</definedName>
    <definedName name="IQ_EST_NUM_HOLD_REUT" hidden="1">"c3871"</definedName>
    <definedName name="IQ_EST_NUM_NO_OPINION" hidden="1">"c1758"</definedName>
    <definedName name="IQ_EST_NUM_NO_OPINION_REUT" hidden="1">"c3868"</definedName>
    <definedName name="IQ_EST_NUM_OUTPERFORM" hidden="1">"c1760"</definedName>
    <definedName name="IQ_EST_NUM_OUTPERFORM_REUT" hidden="1">"c3870"</definedName>
    <definedName name="IQ_EST_NUM_SELL" hidden="1">"c1763"</definedName>
    <definedName name="IQ_EST_NUM_SELL_REUT" hidden="1">"c3873"</definedName>
    <definedName name="IQ_EST_NUM_UNDERPERFORM" hidden="1">"c1762"</definedName>
    <definedName name="IQ_EST_NUM_UNDERPERFORM_REUT" hidden="1">"c3872"</definedName>
    <definedName name="IQ_EST_OPER_INC_DIFF" hidden="1">"c1877"</definedName>
    <definedName name="IQ_EST_OPER_INC_DIFF_REUT" hidden="1">"c5415"</definedName>
    <definedName name="IQ_EST_OPER_INC_SURPRISE_PERCENT" hidden="1">"c1878"</definedName>
    <definedName name="IQ_EST_OPER_INC_SURPRISE_PERCENT_REUT" hidden="1">"c5416"</definedName>
    <definedName name="IQ_EST_PRE_TAX_DIFF" hidden="1">"c1879"</definedName>
    <definedName name="IQ_EST_PRE_TAX_DIFF_REUT" hidden="1">"c5417"</definedName>
    <definedName name="IQ_EST_PRE_TAX_GW_DIFF" hidden="1">"c1881"</definedName>
    <definedName name="IQ_EST_PRE_TAX_GW_DIFF_REUT" hidden="1">"c5419"</definedName>
    <definedName name="IQ_EST_PRE_TAX_GW_SURPRISE_PERCENT" hidden="1">"c1882"</definedName>
    <definedName name="IQ_EST_PRE_TAX_GW_SURPRISE_PERCENT_REUT" hidden="1">"c5420"</definedName>
    <definedName name="IQ_EST_PRE_TAX_REPORT_DIFF" hidden="1">"c1883"</definedName>
    <definedName name="IQ_EST_PRE_TAX_REPORT_DIFF_REUT" hidden="1">"c5421"</definedName>
    <definedName name="IQ_EST_PRE_TAX_REPORT_SURPRISE_PERCENT" hidden="1">"c1884"</definedName>
    <definedName name="IQ_EST_PRE_TAX_REPORT_SURPRISE_PERCENT_REUT" hidden="1">"c5422"</definedName>
    <definedName name="IQ_EST_PRE_TAX_SURPRISE_PERCENT" hidden="1">"c1880"</definedName>
    <definedName name="IQ_EST_PRE_TAX_SURPRISE_PERCENT_REUT" hidden="1">"c5418"</definedName>
    <definedName name="IQ_EST_RECURRING_PROFIT_SHARE_DIFF" hidden="1">"c4505"</definedName>
    <definedName name="IQ_EST_RECURRING_PROFIT_SHARE_SURPRISE_PERCENT" hidden="1">"c4515"</definedName>
    <definedName name="IQ_EST_REV_DIFF" hidden="1">"c1865"</definedName>
    <definedName name="IQ_EST_REV_DIFF_REUT" hidden="1">"c3886"</definedName>
    <definedName name="IQ_EST_REV_GROWTH_1YR" hidden="1">"c1638"</definedName>
    <definedName name="IQ_EST_REV_GROWTH_1YR_REUT" hidden="1">"c3860"</definedName>
    <definedName name="IQ_EST_REV_GROWTH_2YR" hidden="1">"c1639"</definedName>
    <definedName name="IQ_EST_REV_GROWTH_2YR_REUT" hidden="1">"c3861"</definedName>
    <definedName name="IQ_EST_REV_GROWTH_Q_1YR" hidden="1">"c1640"</definedName>
    <definedName name="IQ_EST_REV_GROWTH_Q_1YR_REUT" hidden="1">"c3862"</definedName>
    <definedName name="IQ_EST_REV_SEQ_GROWTH_Q" hidden="1">"c1765"</definedName>
    <definedName name="IQ_EST_REV_SEQ_GROWTH_Q_REUT" hidden="1">"c3863"</definedName>
    <definedName name="IQ_EST_REV_SURPRISE_PERCENT" hidden="1">"c1866"</definedName>
    <definedName name="IQ_EST_REV_SURPRISE_PERCENT_REUT" hidden="1">"c3887"</definedName>
    <definedName name="IQ_EST_VENDOR" hidden="1">"c5564"</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CT_OR_EST" hidden="1">"c2216"</definedName>
    <definedName name="IQ_FFO_ADJ_ACT_OR_EST" hidden="1">"c4435"</definedName>
    <definedName name="IQ_FFO_ADJ_EST" hidden="1">"c4434"</definedName>
    <definedName name="IQ_FFO_ADJ_GUIDANCE" hidden="1">"c4436"</definedName>
    <definedName name="IQ_FFO_ADJ_HIGH_EST" hidden="1">"c4437"</definedName>
    <definedName name="IQ_FFO_ADJ_HIGH_GUIDANCE" hidden="1">"c4202"</definedName>
    <definedName name="IQ_FFO_ADJ_LOW_EST" hidden="1">"c4438"</definedName>
    <definedName name="IQ_FFO_ADJ_LOW_GUIDANCE" hidden="1">"c4242"</definedName>
    <definedName name="IQ_FFO_ADJ_MEDIAN_EST" hidden="1">"c4439"</definedName>
    <definedName name="IQ_FFO_ADJ_NUM_EST" hidden="1">"c4440"</definedName>
    <definedName name="IQ_FFO_ADJ_STDDEV_EST" hidden="1">"c4441"</definedName>
    <definedName name="IQ_FFO_EST" hidden="1">"c418"</definedName>
    <definedName name="IQ_FFO_EST_REUT" hidden="1">"c3837"</definedName>
    <definedName name="IQ_FFO_GUIDANCE" hidden="1">"c4443"</definedName>
    <definedName name="IQ_FFO_HIGH_EST" hidden="1">"c419"</definedName>
    <definedName name="IQ_FFO_HIGH_EST_REUT" hidden="1">"c3839"</definedName>
    <definedName name="IQ_FFO_HIGH_GUIDANCE" hidden="1">"c4184"</definedName>
    <definedName name="IQ_FFO_LOW_EST" hidden="1">"c420"</definedName>
    <definedName name="IQ_FFO_LOW_EST_REUT" hidden="1">"c3840"</definedName>
    <definedName name="IQ_FFO_LOW_GUIDANCE" hidden="1">"c4224"</definedName>
    <definedName name="IQ_FFO_MEDIAN_EST" hidden="1">"c1665"</definedName>
    <definedName name="IQ_FFO_MEDIAN_EST_REUT" hidden="1">"c3838"</definedName>
    <definedName name="IQ_FFO_NUM_EST" hidden="1">"c421"</definedName>
    <definedName name="IQ_FFO_NUM_EST_REUT" hidden="1">"c3841"</definedName>
    <definedName name="IQ_FFO_PAYOUT_RATIO" hidden="1">"c3492"</definedName>
    <definedName name="IQ_FFO_SHARE_ACT_OR_EST" hidden="1">"c4446"</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REUT" hidden="1">"c3842"</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NOTES_PAY_TOTAL" hidden="1">"c5522"</definedName>
    <definedName name="IQ_FIN_DIV_REV" hidden="1">"c437"</definedName>
    <definedName name="IQ_FIN_DIV_ST_DEBT_TOTAL" hidden="1">"c5527"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EST" hidden="1">"c5547"</definedName>
    <definedName name="IQ_GROSS_MARGIN_HIGH_EST" hidden="1">"c5549"</definedName>
    <definedName name="IQ_GROSS_MARGIN_LOW_EST" hidden="1">"c5550"</definedName>
    <definedName name="IQ_GROSS_MARGIN_MEDIAN_EST" hidden="1">"c5548"</definedName>
    <definedName name="IQ_GROSS_MARGIN_NUM_EST" hidden="1">"c5551"</definedName>
    <definedName name="IQ_GROSS_MARGIN_STDDEV_EST" hidden="1">"c5552"</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_TARGET_PRICE_REUT" hidden="1">"c5317"</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NVEST_SECURITY_SUPPL" hidden="1">"c5511"</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CAPEX_ACT_OR_EST" hidden="1">"c4458"</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HARE_ACT_OR_EST" hidden="1">"c5615"</definedName>
    <definedName name="IQ_NAV_SHARE_ACT_OR_EST_REUT" hidden="1">"c5623"</definedName>
    <definedName name="IQ_NAV_SHARE_EST" hidden="1">"c5609"</definedName>
    <definedName name="IQ_NAV_SHARE_EST_REUT" hidden="1">"c5617"</definedName>
    <definedName name="IQ_NAV_SHARE_HIGH_EST" hidden="1">"c5612"</definedName>
    <definedName name="IQ_NAV_SHARE_HIGH_EST_REUT" hidden="1">"c5620"</definedName>
    <definedName name="IQ_NAV_SHARE_LOW_EST" hidden="1">"c5613"</definedName>
    <definedName name="IQ_NAV_SHARE_LOW_EST_REUT" hidden="1">"c5621"</definedName>
    <definedName name="IQ_NAV_SHARE_MEDIAN_EST" hidden="1">"c5610"</definedName>
    <definedName name="IQ_NAV_SHARE_MEDIAN_EST_REUT" hidden="1">"c5618"</definedName>
    <definedName name="IQ_NAV_SHARE_NUM_EST" hidden="1">"c5614"</definedName>
    <definedName name="IQ_NAV_SHARE_NUM_EST_REUT" hidden="1">"c5622"</definedName>
    <definedName name="IQ_NAV_SHARE_STDDEV_EST" hidden="1">"c5611"</definedName>
    <definedName name="IQ_NAV_SHARE_STDDEV_EST_REUT" hidden="1">"c5619"</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REUT" hidden="1">"c5473"</definedName>
    <definedName name="IQ_NET_DEBT_EBITDA" hidden="1">"c750"</definedName>
    <definedName name="IQ_NET_DEBT_EBITDA_CAPEX" hidden="1">"c2949"</definedName>
    <definedName name="IQ_NET_DEBT_EST" hidden="1">"c3517"</definedName>
    <definedName name="IQ_NET_DEBT_EST_REUT" hidden="1">"c3976"</definedName>
    <definedName name="IQ_NET_DEBT_GUIDANCE" hidden="1">"c4467"</definedName>
    <definedName name="IQ_NET_DEBT_HIGH_EST" hidden="1">"c3518"</definedName>
    <definedName name="IQ_NET_DEBT_HIGH_EST_REUT" hidden="1">"c3978"</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DEBT_LOW_EST" hidden="1">"c3519"</definedName>
    <definedName name="IQ_NET_DEBT_LOW_EST_REUT" hidden="1">"c3979"</definedName>
    <definedName name="IQ_NET_DEBT_LOW_GUIDANCE" hidden="1">"c4221"</definedName>
    <definedName name="IQ_NET_DEBT_MEDIAN_EST" hidden="1">"c3520"</definedName>
    <definedName name="IQ_NET_DEBT_MEDIAN_EST_REUT" hidden="1">"c3977"</definedName>
    <definedName name="IQ_NET_DEBT_NUM_EST" hidden="1">"c3515"</definedName>
    <definedName name="IQ_NET_DEBT_NUM_EST_REUT" hidden="1">"c3980"</definedName>
    <definedName name="IQ_NET_DEBT_STDDEV_EST" hidden="1">"c3516"</definedName>
    <definedName name="IQ_NET_DEBT_STDDEV_EST_REUT" hidden="1">"c3981"</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CT_OR_EST" hidden="1">"c2222"</definedName>
    <definedName name="IQ_NI_ACT_OR_EST_REUT" hidden="1">"c5468"</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REUT" hidden="1">"c5368"</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EST" hidden="1">"c1723"</definedName>
    <definedName name="IQ_NI_GW_EST_REUT" hidden="1">"c5375"</definedName>
    <definedName name="IQ_NI_GW_GUIDANCE" hidden="1">"c4471"</definedName>
    <definedName name="IQ_NI_GW_HIGH_EST" hidden="1">"c1725"</definedName>
    <definedName name="IQ_NI_GW_HIGH_EST_REUT" hidden="1">"c5377"</definedName>
    <definedName name="IQ_NI_GW_HIGH_GUIDANCE" hidden="1">"c4178"</definedName>
    <definedName name="IQ_NI_GW_LOW_EST" hidden="1">"c1726"</definedName>
    <definedName name="IQ_NI_GW_LOW_EST_REUT" hidden="1">"c5378"</definedName>
    <definedName name="IQ_NI_GW_LOW_GUIDANCE" hidden="1">"c4218"</definedName>
    <definedName name="IQ_NI_GW_MEDIAN_EST" hidden="1">"c1724"</definedName>
    <definedName name="IQ_NI_GW_MEDIAN_EST_REUT" hidden="1">"c5376"</definedName>
    <definedName name="IQ_NI_GW_NUM_EST" hidden="1">"c1727"</definedName>
    <definedName name="IQ_NI_GW_NUM_EST_REUT" hidden="1">"c5379"</definedName>
    <definedName name="IQ_NI_GW_STDDEV_EST" hidden="1">"c1728"</definedName>
    <definedName name="IQ_NI_GW_STDDEV_EST_REUT" hidden="1">"c5380"</definedName>
    <definedName name="IQ_NI_HIGH_EST" hidden="1">"c1718"</definedName>
    <definedName name="IQ_NI_HIGH_EST_REUT" hidden="1">"c5370"</definedName>
    <definedName name="IQ_NI_HIGH_GUIDANCE" hidden="1">"c4176"</definedName>
    <definedName name="IQ_NI_LOW_EST" hidden="1">"c1719"</definedName>
    <definedName name="IQ_NI_LOW_EST_REUT" hidden="1">"c5371"</definedName>
    <definedName name="IQ_NI_LOW_GUIDANCE" hidden="1">"c4216"</definedName>
    <definedName name="IQ_NI_MARGIN" hidden="1">"c794"</definedName>
    <definedName name="IQ_NI_MEDIAN_EST" hidden="1">"c1717"</definedName>
    <definedName name="IQ_NI_MEDIAN_EST_REUT" hidden="1">"c5369"</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NUM_EST_REUT" hidden="1">"c5372"</definedName>
    <definedName name="IQ_NI_REPORTED_EST" hidden="1">"c1730"</definedName>
    <definedName name="IQ_NI_REPORTED_EST_REUT" hidden="1">"c5382"</definedName>
    <definedName name="IQ_NI_REPORTED_HIGH_EST" hidden="1">"c1732"</definedName>
    <definedName name="IQ_NI_REPORTED_HIGH_EST_REUT" hidden="1">"c5384"</definedName>
    <definedName name="IQ_NI_REPORTED_LOW_EST" hidden="1">"c1733"</definedName>
    <definedName name="IQ_NI_REPORTED_LOW_EST_REUT" hidden="1">"c5385"</definedName>
    <definedName name="IQ_NI_REPORTED_MEDIAN_EST" hidden="1">"c1731"</definedName>
    <definedName name="IQ_NI_REPORTED_MEDIAN_EST_REUT" hidden="1">"c5383"</definedName>
    <definedName name="IQ_NI_REPORTED_NUM_EST" hidden="1">"c1734"</definedName>
    <definedName name="IQ_NI_REPORTED_NUM_EST_REUT" hidden="1">"c5386"</definedName>
    <definedName name="IQ_NI_REPORTED_STDDEV_EST" hidden="1">"c1735"</definedName>
    <definedName name="IQ_NI_REPORTED_STDDEV_EST_REUT" hidden="1">"c5387"</definedName>
    <definedName name="IQ_NI_SBC_ACT_OR_EST" hidden="1">"c4474"</definedName>
    <definedName name="IQ_NI_SBC_EST" hidden="1">"c4473"</definedName>
    <definedName name="IQ_NI_SBC_GUIDANCE" hidden="1">"c4475"</definedName>
    <definedName name="IQ_NI_SBC_GW_ACT_OR_EST" hidden="1">"c4478"</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REUT" hidden="1">"c5373"</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_EPS_ACT_OR_EST" hidden="1">"c2249"</definedName>
    <definedName name="IQ_NORM_EPS_ACT_OR_EST_REUT" hidden="1">"c5472"</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REUT" hidden="1">"c5466"</definedName>
    <definedName name="IQ_OPER_INC_BR" hidden="1">"c850"</definedName>
    <definedName name="IQ_OPER_INC_EST" hidden="1">"c1688"</definedName>
    <definedName name="IQ_OPER_INC_EST_REUT" hidden="1">"c5340"</definedName>
    <definedName name="IQ_OPER_INC_FIN" hidden="1">"c851"</definedName>
    <definedName name="IQ_OPER_INC_HIGH_EST" hidden="1">"c1690"</definedName>
    <definedName name="IQ_OPER_INC_HIGH_EST_REUT" hidden="1">"c5342"</definedName>
    <definedName name="IQ_OPER_INC_INS" hidden="1">"c852"</definedName>
    <definedName name="IQ_OPER_INC_LOW_EST" hidden="1">"c1691"</definedName>
    <definedName name="IQ_OPER_INC_LOW_EST_REUT" hidden="1">"c5343"</definedName>
    <definedName name="IQ_OPER_INC_MARGIN" hidden="1">"c1448"</definedName>
    <definedName name="IQ_OPER_INC_MEDIAN_EST" hidden="1">"c1689"</definedName>
    <definedName name="IQ_OPER_INC_MEDIAN_EST_REUT" hidden="1">"c5341"</definedName>
    <definedName name="IQ_OPER_INC_NUM_EST" hidden="1">"c1692"</definedName>
    <definedName name="IQ_OPER_INC_NUM_EST_REUT" hidden="1">"c5344"</definedName>
    <definedName name="IQ_OPER_INC_REIT" hidden="1">"c853"</definedName>
    <definedName name="IQ_OPER_INC_STDDEV_EST" hidden="1">"c1693"</definedName>
    <definedName name="IQ_OPER_INC_STDDEV_EST_REUT" hidden="1">"c5345"</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MORT" hidden="1">"c5563"</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REUT" hidden="1">"c3959"</definedName>
    <definedName name="IQ_PERCENT_CHANGE_EST_5YR_GROWTH_RATE_18MONTHS" hidden="1">"c1853"</definedName>
    <definedName name="IQ_PERCENT_CHANGE_EST_5YR_GROWTH_RATE_18MONTHS_REUT" hidden="1">"c3960"</definedName>
    <definedName name="IQ_PERCENT_CHANGE_EST_5YR_GROWTH_RATE_3MONTHS" hidden="1">"c1849"</definedName>
    <definedName name="IQ_PERCENT_CHANGE_EST_5YR_GROWTH_RATE_3MONTHS_REUT" hidden="1">"c3956"</definedName>
    <definedName name="IQ_PERCENT_CHANGE_EST_5YR_GROWTH_RATE_6MONTHS" hidden="1">"c1850"</definedName>
    <definedName name="IQ_PERCENT_CHANGE_EST_5YR_GROWTH_RATE_6MONTHS_REUT" hidden="1">"c3957"</definedName>
    <definedName name="IQ_PERCENT_CHANGE_EST_5YR_GROWTH_RATE_9MONTHS" hidden="1">"c1851"</definedName>
    <definedName name="IQ_PERCENT_CHANGE_EST_5YR_GROWTH_RATE_9MONTHS_REUT" hidden="1">"c3958"</definedName>
    <definedName name="IQ_PERCENT_CHANGE_EST_5YR_GROWTH_RATE_DAY" hidden="1">"c1846"</definedName>
    <definedName name="IQ_PERCENT_CHANGE_EST_5YR_GROWTH_RATE_DAY_REUT" hidden="1">"c3954"</definedName>
    <definedName name="IQ_PERCENT_CHANGE_EST_5YR_GROWTH_RATE_MONTH" hidden="1">"c1848"</definedName>
    <definedName name="IQ_PERCENT_CHANGE_EST_5YR_GROWTH_RATE_MONTH_REUT" hidden="1">"c3955"</definedName>
    <definedName name="IQ_PERCENT_CHANGE_EST_5YR_GROWTH_RATE_WEEK" hidden="1">"c1847"</definedName>
    <definedName name="IQ_PERCENT_CHANGE_EST_5YR_GROWTH_RATE_WEEK_REUT" hidden="1">"c5435"</definedName>
    <definedName name="IQ_PERCENT_CHANGE_EST_CFPS_12MONTHS" hidden="1">"c1812"</definedName>
    <definedName name="IQ_PERCENT_CHANGE_EST_CFPS_12MONTHS_REUT" hidden="1">"c3924"</definedName>
    <definedName name="IQ_PERCENT_CHANGE_EST_CFPS_18MONTHS" hidden="1">"c1813"</definedName>
    <definedName name="IQ_PERCENT_CHANGE_EST_CFPS_18MONTHS_REUT" hidden="1">"c3925"</definedName>
    <definedName name="IQ_PERCENT_CHANGE_EST_CFPS_3MONTHS" hidden="1">"c1809"</definedName>
    <definedName name="IQ_PERCENT_CHANGE_EST_CFPS_3MONTHS_REUT" hidden="1">"c3921"</definedName>
    <definedName name="IQ_PERCENT_CHANGE_EST_CFPS_6MONTHS" hidden="1">"c1810"</definedName>
    <definedName name="IQ_PERCENT_CHANGE_EST_CFPS_6MONTHS_REUT" hidden="1">"c3922"</definedName>
    <definedName name="IQ_PERCENT_CHANGE_EST_CFPS_9MONTHS" hidden="1">"c1811"</definedName>
    <definedName name="IQ_PERCENT_CHANGE_EST_CFPS_9MONTHS_REUT" hidden="1">"c3923"</definedName>
    <definedName name="IQ_PERCENT_CHANGE_EST_CFPS_DAY" hidden="1">"c1806"</definedName>
    <definedName name="IQ_PERCENT_CHANGE_EST_CFPS_DAY_REUT" hidden="1">"c3919"</definedName>
    <definedName name="IQ_PERCENT_CHANGE_EST_CFPS_MONTH" hidden="1">"c1808"</definedName>
    <definedName name="IQ_PERCENT_CHANGE_EST_CFPS_MONTH_REUT" hidden="1">"c3920"</definedName>
    <definedName name="IQ_PERCENT_CHANGE_EST_CFPS_WEEK" hidden="1">"c1807"</definedName>
    <definedName name="IQ_PERCENT_CHANGE_EST_CFPS_WEEK_REUT" hidden="1">"c3962"</definedName>
    <definedName name="IQ_PERCENT_CHANGE_EST_DPS_12MONTHS" hidden="1">"c1820"</definedName>
    <definedName name="IQ_PERCENT_CHANGE_EST_DPS_12MONTHS_REUT" hidden="1">"c3931"</definedName>
    <definedName name="IQ_PERCENT_CHANGE_EST_DPS_18MONTHS" hidden="1">"c1821"</definedName>
    <definedName name="IQ_PERCENT_CHANGE_EST_DPS_18MONTHS_REUT" hidden="1">"c3932"</definedName>
    <definedName name="IQ_PERCENT_CHANGE_EST_DPS_3MONTHS" hidden="1">"c1817"</definedName>
    <definedName name="IQ_PERCENT_CHANGE_EST_DPS_3MONTHS_REUT" hidden="1">"c3928"</definedName>
    <definedName name="IQ_PERCENT_CHANGE_EST_DPS_6MONTHS" hidden="1">"c1818"</definedName>
    <definedName name="IQ_PERCENT_CHANGE_EST_DPS_6MONTHS_REUT" hidden="1">"c3929"</definedName>
    <definedName name="IQ_PERCENT_CHANGE_EST_DPS_9MONTHS" hidden="1">"c1819"</definedName>
    <definedName name="IQ_PERCENT_CHANGE_EST_DPS_9MONTHS_REUT" hidden="1">"c3930"</definedName>
    <definedName name="IQ_PERCENT_CHANGE_EST_DPS_DAY" hidden="1">"c1814"</definedName>
    <definedName name="IQ_PERCENT_CHANGE_EST_DPS_DAY_REUT" hidden="1">"c3926"</definedName>
    <definedName name="IQ_PERCENT_CHANGE_EST_DPS_MONTH" hidden="1">"c1816"</definedName>
    <definedName name="IQ_PERCENT_CHANGE_EST_DPS_MONTH_REUT" hidden="1">"c3927"</definedName>
    <definedName name="IQ_PERCENT_CHANGE_EST_DPS_WEEK" hidden="1">"c1815"</definedName>
    <definedName name="IQ_PERCENT_CHANGE_EST_DPS_WEEK_REUT" hidden="1">"c3963"</definedName>
    <definedName name="IQ_PERCENT_CHANGE_EST_EBITDA_12MONTHS" hidden="1">"c1804"</definedName>
    <definedName name="IQ_PERCENT_CHANGE_EST_EBITDA_12MONTHS_REUT" hidden="1">"c3917"</definedName>
    <definedName name="IQ_PERCENT_CHANGE_EST_EBITDA_18MONTHS" hidden="1">"c1805"</definedName>
    <definedName name="IQ_PERCENT_CHANGE_EST_EBITDA_18MONTHS_REUT" hidden="1">"c3918"</definedName>
    <definedName name="IQ_PERCENT_CHANGE_EST_EBITDA_3MONTHS" hidden="1">"c1801"</definedName>
    <definedName name="IQ_PERCENT_CHANGE_EST_EBITDA_3MONTHS_REUT" hidden="1">"c3914"</definedName>
    <definedName name="IQ_PERCENT_CHANGE_EST_EBITDA_6MONTHS" hidden="1">"c1802"</definedName>
    <definedName name="IQ_PERCENT_CHANGE_EST_EBITDA_6MONTHS_REUT" hidden="1">"c3915"</definedName>
    <definedName name="IQ_PERCENT_CHANGE_EST_EBITDA_9MONTHS" hidden="1">"c1803"</definedName>
    <definedName name="IQ_PERCENT_CHANGE_EST_EBITDA_9MONTHS_REUT" hidden="1">"c3916"</definedName>
    <definedName name="IQ_PERCENT_CHANGE_EST_EBITDA_DAY" hidden="1">"c1798"</definedName>
    <definedName name="IQ_PERCENT_CHANGE_EST_EBITDA_DAY_REUT" hidden="1">"c3912"</definedName>
    <definedName name="IQ_PERCENT_CHANGE_EST_EBITDA_MONTH" hidden="1">"c1800"</definedName>
    <definedName name="IQ_PERCENT_CHANGE_EST_EBITDA_MONTH_REUT" hidden="1">"c3913"</definedName>
    <definedName name="IQ_PERCENT_CHANGE_EST_EBITDA_WEEK" hidden="1">"c1799"</definedName>
    <definedName name="IQ_PERCENT_CHANGE_EST_EBITDA_WEEK_REUT" hidden="1">"c3961"</definedName>
    <definedName name="IQ_PERCENT_CHANGE_EST_EPS_12MONTHS" hidden="1">"c1788"</definedName>
    <definedName name="IQ_PERCENT_CHANGE_EST_EPS_12MONTHS_REUT" hidden="1">"c3902"</definedName>
    <definedName name="IQ_PERCENT_CHANGE_EST_EPS_18MONTHS" hidden="1">"c1789"</definedName>
    <definedName name="IQ_PERCENT_CHANGE_EST_EPS_18MONTHS_REUT" hidden="1">"c3903"</definedName>
    <definedName name="IQ_PERCENT_CHANGE_EST_EPS_3MONTHS" hidden="1">"c1785"</definedName>
    <definedName name="IQ_PERCENT_CHANGE_EST_EPS_3MONTHS_REUT" hidden="1">"c3899"</definedName>
    <definedName name="IQ_PERCENT_CHANGE_EST_EPS_6MONTHS" hidden="1">"c1786"</definedName>
    <definedName name="IQ_PERCENT_CHANGE_EST_EPS_6MONTHS_REUT" hidden="1">"c3900"</definedName>
    <definedName name="IQ_PERCENT_CHANGE_EST_EPS_9MONTHS" hidden="1">"c1787"</definedName>
    <definedName name="IQ_PERCENT_CHANGE_EST_EPS_9MONTHS_REUT" hidden="1">"c3901"</definedName>
    <definedName name="IQ_PERCENT_CHANGE_EST_EPS_DAY" hidden="1">"c1782"</definedName>
    <definedName name="IQ_PERCENT_CHANGE_EST_EPS_DAY_REUT" hidden="1">"c3896"</definedName>
    <definedName name="IQ_PERCENT_CHANGE_EST_EPS_MONTH" hidden="1">"c1784"</definedName>
    <definedName name="IQ_PERCENT_CHANGE_EST_EPS_MONTH_REUT" hidden="1">"c3898"</definedName>
    <definedName name="IQ_PERCENT_CHANGE_EST_EPS_WEEK" hidden="1">"c1783"</definedName>
    <definedName name="IQ_PERCENT_CHANGE_EST_EPS_WEEK_REUT" hidden="1">"c3897"</definedName>
    <definedName name="IQ_PERCENT_CHANGE_EST_FFO_12MONTHS" hidden="1">"c1828"</definedName>
    <definedName name="IQ_PERCENT_CHANGE_EST_FFO_12MONTHS_REUT" hidden="1">"c3938"</definedName>
    <definedName name="IQ_PERCENT_CHANGE_EST_FFO_18MONTHS" hidden="1">"c1829"</definedName>
    <definedName name="IQ_PERCENT_CHANGE_EST_FFO_18MONTHS_REUT" hidden="1">"c3939"</definedName>
    <definedName name="IQ_PERCENT_CHANGE_EST_FFO_3MONTHS" hidden="1">"c1825"</definedName>
    <definedName name="IQ_PERCENT_CHANGE_EST_FFO_3MONTHS_REUT" hidden="1">"c3935"</definedName>
    <definedName name="IQ_PERCENT_CHANGE_EST_FFO_6MONTHS" hidden="1">"c1826"</definedName>
    <definedName name="IQ_PERCENT_CHANGE_EST_FFO_6MONTHS_REUT" hidden="1">"c3936"</definedName>
    <definedName name="IQ_PERCENT_CHANGE_EST_FFO_9MONTHS" hidden="1">"c1827"</definedName>
    <definedName name="IQ_PERCENT_CHANGE_EST_FFO_9MONTHS_REUT" hidden="1">"c3937"</definedName>
    <definedName name="IQ_PERCENT_CHANGE_EST_FFO_DAY" hidden="1">"c1822"</definedName>
    <definedName name="IQ_PERCENT_CHANGE_EST_FFO_DAY_REUT" hidden="1">"c3933"</definedName>
    <definedName name="IQ_PERCENT_CHANGE_EST_FFO_MONTH" hidden="1">"c1824"</definedName>
    <definedName name="IQ_PERCENT_CHANGE_EST_FFO_MONTH_REUT" hidden="1">"c3934"</definedName>
    <definedName name="IQ_PERCENT_CHANGE_EST_FFO_WEEK" hidden="1">"c1823"</definedName>
    <definedName name="IQ_PERCENT_CHANGE_EST_FFO_WEEK_REUT" hidden="1">"c3964"</definedName>
    <definedName name="IQ_PERCENT_CHANGE_EST_PRICE_TARGET_12MONTHS" hidden="1">"c1844"</definedName>
    <definedName name="IQ_PERCENT_CHANGE_EST_PRICE_TARGET_12MONTHS_REUT" hidden="1">"c3952"</definedName>
    <definedName name="IQ_PERCENT_CHANGE_EST_PRICE_TARGET_18MONTHS" hidden="1">"c1845"</definedName>
    <definedName name="IQ_PERCENT_CHANGE_EST_PRICE_TARGET_18MONTHS_REUT" hidden="1">"c3953"</definedName>
    <definedName name="IQ_PERCENT_CHANGE_EST_PRICE_TARGET_3MONTHS" hidden="1">"c1841"</definedName>
    <definedName name="IQ_PERCENT_CHANGE_EST_PRICE_TARGET_3MONTHS_REUT" hidden="1">"c3949"</definedName>
    <definedName name="IQ_PERCENT_CHANGE_EST_PRICE_TARGET_6MONTHS" hidden="1">"c1842"</definedName>
    <definedName name="IQ_PERCENT_CHANGE_EST_PRICE_TARGET_6MONTHS_REUT" hidden="1">"c3950"</definedName>
    <definedName name="IQ_PERCENT_CHANGE_EST_PRICE_TARGET_9MONTHS" hidden="1">"c1843"</definedName>
    <definedName name="IQ_PERCENT_CHANGE_EST_PRICE_TARGET_9MONTHS_REUT" hidden="1">"c3951"</definedName>
    <definedName name="IQ_PERCENT_CHANGE_EST_PRICE_TARGET_DAY" hidden="1">"c1838"</definedName>
    <definedName name="IQ_PERCENT_CHANGE_EST_PRICE_TARGET_DAY_REUT" hidden="1">"c3947"</definedName>
    <definedName name="IQ_PERCENT_CHANGE_EST_PRICE_TARGET_MONTH" hidden="1">"c1840"</definedName>
    <definedName name="IQ_PERCENT_CHANGE_EST_PRICE_TARGET_MONTH_REUT" hidden="1">"c3948"</definedName>
    <definedName name="IQ_PERCENT_CHANGE_EST_PRICE_TARGET_WEEK" hidden="1">"c1839"</definedName>
    <definedName name="IQ_PERCENT_CHANGE_EST_PRICE_TARGET_WEEK_REUT" hidden="1">"c3967"</definedName>
    <definedName name="IQ_PERCENT_CHANGE_EST_RECO_12MONTHS" hidden="1">"c1836"</definedName>
    <definedName name="IQ_PERCENT_CHANGE_EST_RECO_12MONTHS_REUT" hidden="1">"c3945"</definedName>
    <definedName name="IQ_PERCENT_CHANGE_EST_RECO_18MONTHS" hidden="1">"c1837"</definedName>
    <definedName name="IQ_PERCENT_CHANGE_EST_RECO_18MONTHS_REUT" hidden="1">"c3946"</definedName>
    <definedName name="IQ_PERCENT_CHANGE_EST_RECO_3MONTHS" hidden="1">"c1833"</definedName>
    <definedName name="IQ_PERCENT_CHANGE_EST_RECO_3MONTHS_REUT" hidden="1">"c3942"</definedName>
    <definedName name="IQ_PERCENT_CHANGE_EST_RECO_6MONTHS" hidden="1">"c1834"</definedName>
    <definedName name="IQ_PERCENT_CHANGE_EST_RECO_6MONTHS_REUT" hidden="1">"c3943"</definedName>
    <definedName name="IQ_PERCENT_CHANGE_EST_RECO_9MONTHS" hidden="1">"c1835"</definedName>
    <definedName name="IQ_PERCENT_CHANGE_EST_RECO_9MONTHS_REUT" hidden="1">"c3944"</definedName>
    <definedName name="IQ_PERCENT_CHANGE_EST_RECO_DAY" hidden="1">"c1830"</definedName>
    <definedName name="IQ_PERCENT_CHANGE_EST_RECO_DAY_REUT" hidden="1">"c3940"</definedName>
    <definedName name="IQ_PERCENT_CHANGE_EST_RECO_MONTH" hidden="1">"c1832"</definedName>
    <definedName name="IQ_PERCENT_CHANGE_EST_RECO_MONTH_REUT" hidden="1">"c3941"</definedName>
    <definedName name="IQ_PERCENT_CHANGE_EST_RECO_WEEK" hidden="1">"c1831"</definedName>
    <definedName name="IQ_PERCENT_CHANGE_EST_RECO_WEEK_REUT" hidden="1">"c3965"</definedName>
    <definedName name="IQ_PERCENT_CHANGE_EST_REV_12MONTHS" hidden="1">"c1796"</definedName>
    <definedName name="IQ_PERCENT_CHANGE_EST_REV_12MONTHS_REUT" hidden="1">"c3910"</definedName>
    <definedName name="IQ_PERCENT_CHANGE_EST_REV_18MONTHS" hidden="1">"c1797"</definedName>
    <definedName name="IQ_PERCENT_CHANGE_EST_REV_18MONTHS_REUT" hidden="1">"c3911"</definedName>
    <definedName name="IQ_PERCENT_CHANGE_EST_REV_3MONTHS" hidden="1">"c1793"</definedName>
    <definedName name="IQ_PERCENT_CHANGE_EST_REV_3MONTHS_REUT" hidden="1">"c3907"</definedName>
    <definedName name="IQ_PERCENT_CHANGE_EST_REV_6MONTHS" hidden="1">"c1794"</definedName>
    <definedName name="IQ_PERCENT_CHANGE_EST_REV_6MONTHS_REUT" hidden="1">"c3908"</definedName>
    <definedName name="IQ_PERCENT_CHANGE_EST_REV_9MONTHS" hidden="1">"c1795"</definedName>
    <definedName name="IQ_PERCENT_CHANGE_EST_REV_9MONTHS_REUT" hidden="1">"c3909"</definedName>
    <definedName name="IQ_PERCENT_CHANGE_EST_REV_DAY" hidden="1">"c1790"</definedName>
    <definedName name="IQ_PERCENT_CHANGE_EST_REV_DAY_REUT" hidden="1">"c3904"</definedName>
    <definedName name="IQ_PERCENT_CHANGE_EST_REV_MONTH" hidden="1">"c1792"</definedName>
    <definedName name="IQ_PERCENT_CHANGE_EST_REV_MONTH_REUT" hidden="1">"c3906"</definedName>
    <definedName name="IQ_PERCENT_CHANGE_EST_REV_WEEK" hidden="1">"c1791"</definedName>
    <definedName name="IQ_PERCENT_CHANGE_EST_REV_WEEK_REUT" hidden="1">"c3905"</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REUT" hidden="1">"c3968"</definedName>
    <definedName name="IQ_PRE_OPEN_COST" hidden="1">"c1040"</definedName>
    <definedName name="IQ_PRE_TAX_ACT_OR_EST" hidden="1">"c2221"</definedName>
    <definedName name="IQ_PRE_TAX_ACT_OR_EST_REUT" hidden="1">"c5467"</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EST_REUT" hidden="1">"c5354"</definedName>
    <definedName name="IQ_PRETAX_GW_INC_HIGH_EST" hidden="1">"c1704"</definedName>
    <definedName name="IQ_PRETAX_GW_INC_HIGH_EST_REUT" hidden="1">"c5356"</definedName>
    <definedName name="IQ_PRETAX_GW_INC_LOW_EST" hidden="1">"c1705"</definedName>
    <definedName name="IQ_PRETAX_GW_INC_LOW_EST_REUT" hidden="1">"c5357"</definedName>
    <definedName name="IQ_PRETAX_GW_INC_MEDIAN_EST" hidden="1">"c1703"</definedName>
    <definedName name="IQ_PRETAX_GW_INC_MEDIAN_EST_REUT" hidden="1">"c5355"</definedName>
    <definedName name="IQ_PRETAX_GW_INC_NUM_EST" hidden="1">"c1706"</definedName>
    <definedName name="IQ_PRETAX_GW_INC_NUM_EST_REUT" hidden="1">"c5358"</definedName>
    <definedName name="IQ_PRETAX_GW_INC_STDDEV_EST" hidden="1">"c1707"</definedName>
    <definedName name="IQ_PRETAX_GW_INC_STDDEV_EST_REUT" hidden="1">"c5359"</definedName>
    <definedName name="IQ_PRETAX_INC_EST" hidden="1">"c1695"</definedName>
    <definedName name="IQ_PRETAX_INC_EST_REUT" hidden="1">"c5347"</definedName>
    <definedName name="IQ_PRETAX_INC_HIGH_EST" hidden="1">"c1697"</definedName>
    <definedName name="IQ_PRETAX_INC_HIGH_EST_REUT" hidden="1">"c5349"</definedName>
    <definedName name="IQ_PRETAX_INC_LOW_EST" hidden="1">"c1698"</definedName>
    <definedName name="IQ_PRETAX_INC_LOW_EST_REUT" hidden="1">"c5350"</definedName>
    <definedName name="IQ_PRETAX_INC_MEDIAN_EST" hidden="1">"c1696"</definedName>
    <definedName name="IQ_PRETAX_INC_MEDIAN_EST_REUT" hidden="1">"c5348"</definedName>
    <definedName name="IQ_PRETAX_INC_NUM_EST" hidden="1">"c1699"</definedName>
    <definedName name="IQ_PRETAX_INC_NUM_EST_REUT" hidden="1">"c5351"</definedName>
    <definedName name="IQ_PRETAX_INC_STDDEV_EST" hidden="1">"c1700"</definedName>
    <definedName name="IQ_PRETAX_INC_STDDEV_EST_REUT" hidden="1">"c5352"</definedName>
    <definedName name="IQ_PRETAX_REPORT_INC_EST" hidden="1">"c1709"</definedName>
    <definedName name="IQ_PRETAX_REPORT_INC_EST_REUT" hidden="1">"c5361"</definedName>
    <definedName name="IQ_PRETAX_REPORT_INC_HIGH_EST" hidden="1">"c1711"</definedName>
    <definedName name="IQ_PRETAX_REPORT_INC_HIGH_EST_REUT" hidden="1">"c5363"</definedName>
    <definedName name="IQ_PRETAX_REPORT_INC_LOW_EST" hidden="1">"c1712"</definedName>
    <definedName name="IQ_PRETAX_REPORT_INC_LOW_EST_REUT" hidden="1">"c5364"</definedName>
    <definedName name="IQ_PRETAX_REPORT_INC_MEDIAN_EST" hidden="1">"c1710"</definedName>
    <definedName name="IQ_PRETAX_REPORT_INC_MEDIAN_EST_REUT" hidden="1">"c5362"</definedName>
    <definedName name="IQ_PRETAX_REPORT_INC_NUM_EST" hidden="1">"c1713"</definedName>
    <definedName name="IQ_PRETAX_REPORT_INC_NUM_EST_REUT" hidden="1">"c5365"</definedName>
    <definedName name="IQ_PRETAX_REPORT_INC_STDDEV_EST" hidden="1">"c1714"</definedName>
    <definedName name="IQ_PRETAX_REPORT_INC_STDDEV_EST_REUT" hidden="1">"c5366"</definedName>
    <definedName name="IQ_PRICE_CFPS_FWD" hidden="1">"c2237"</definedName>
    <definedName name="IQ_PRICE_CFPS_FWD_REUT" hidden="1">"c4053"</definedName>
    <definedName name="IQ_PRICE_OVER_BVPS" hidden="1">"c1412"</definedName>
    <definedName name="IQ_PRICE_OVER_LTM_EPS" hidden="1">"c1413"</definedName>
    <definedName name="IQ_PRICE_TARGET" hidden="1">"c82"</definedName>
    <definedName name="IQ_PRICE_TARGET_BOTTOM_UP" hidden="1">"c5486"</definedName>
    <definedName name="IQ_PRICE_TARGET_BOTTOM_UP_REUT" hidden="1">"c5494"</definedName>
    <definedName name="IQ_PRICE_TARGET_REUT" hidden="1">"c3631"</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ING_DATE" hidden="1">"c1613"</definedName>
    <definedName name="IQ_PRIMARY_EPS_TYPE" hidden="1">"c4498"</definedName>
    <definedName name="IQ_PRIMARY_EPS_TYPE_REUT" hidden="1">"c5481"</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CURRING_PROFIT_ACT_OR_EST" hidden="1">"c4507"</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ACT_OR_EST" hidden="1">"c3585"</definedName>
    <definedName name="IQ_RETURN_ASSETS_ACT_OR_EST_REUT" hidden="1">"c5475"</definedName>
    <definedName name="IQ_RETURN_ASSETS_BANK" hidden="1">"c1114"</definedName>
    <definedName name="IQ_RETURN_ASSETS_BROK" hidden="1">"c1115"</definedName>
    <definedName name="IQ_RETURN_ASSETS_EST" hidden="1">"c3529"</definedName>
    <definedName name="IQ_RETURN_ASSETS_EST_REUT" hidden="1">"c3990"</definedName>
    <definedName name="IQ_RETURN_ASSETS_FS" hidden="1">"c1116"</definedName>
    <definedName name="IQ_RETURN_ASSETS_GUIDANCE" hidden="1">"c4517"</definedName>
    <definedName name="IQ_RETURN_ASSETS_HIGH_EST" hidden="1">"c3530"</definedName>
    <definedName name="IQ_RETURN_ASSETS_HIGH_EST_REUT" hidden="1">"c3992"</definedName>
    <definedName name="IQ_RETURN_ASSETS_HIGH_GUIDANCE" hidden="1">"c4183"</definedName>
    <definedName name="IQ_RETURN_ASSETS_LOW_EST" hidden="1">"c3531"</definedName>
    <definedName name="IQ_RETURN_ASSETS_LOW_EST_REUT" hidden="1">"c3993"</definedName>
    <definedName name="IQ_RETURN_ASSETS_LOW_GUIDANCE" hidden="1">"c4223"</definedName>
    <definedName name="IQ_RETURN_ASSETS_MEDIAN_EST" hidden="1">"c3532"</definedName>
    <definedName name="IQ_RETURN_ASSETS_MEDIAN_EST_REUT" hidden="1">"c3991"</definedName>
    <definedName name="IQ_RETURN_ASSETS_NUM_EST" hidden="1">"c3527"</definedName>
    <definedName name="IQ_RETURN_ASSETS_NUM_EST_REUT" hidden="1">"c3994"</definedName>
    <definedName name="IQ_RETURN_ASSETS_STDDEV_EST" hidden="1">"c3528"</definedName>
    <definedName name="IQ_RETURN_ASSETS_STDDEV_EST_REUT" hidden="1">"c3995"</definedName>
    <definedName name="IQ_RETURN_CAPITAL" hidden="1">"c1117"</definedName>
    <definedName name="IQ_RETURN_EQUITY" hidden="1">"c1118"</definedName>
    <definedName name="IQ_RETURN_EQUITY_ACT_OR_EST" hidden="1">"c3586"</definedName>
    <definedName name="IQ_RETURN_EQUITY_ACT_OR_EST_REUT" hidden="1">"c5476"</definedName>
    <definedName name="IQ_RETURN_EQUITY_BANK" hidden="1">"c1119"</definedName>
    <definedName name="IQ_RETURN_EQUITY_BROK" hidden="1">"c1120"</definedName>
    <definedName name="IQ_RETURN_EQUITY_EST" hidden="1">"c3535"</definedName>
    <definedName name="IQ_RETURN_EQUITY_EST_REUT" hidden="1">"c3983"</definedName>
    <definedName name="IQ_RETURN_EQUITY_FS" hidden="1">"c1121"</definedName>
    <definedName name="IQ_RETURN_EQUITY_GUIDANCE" hidden="1">"c4518"</definedName>
    <definedName name="IQ_RETURN_EQUITY_HIGH_EST" hidden="1">"c3536"</definedName>
    <definedName name="IQ_RETURN_EQUITY_HIGH_EST_REUT" hidden="1">"c3985"</definedName>
    <definedName name="IQ_RETURN_EQUITY_HIGH_GUIDANCE" hidden="1">"c4182"</definedName>
    <definedName name="IQ_RETURN_EQUITY_LOW_EST" hidden="1">"c3537"</definedName>
    <definedName name="IQ_RETURN_EQUITY_LOW_EST_REUT" hidden="1">"c3986"</definedName>
    <definedName name="IQ_RETURN_EQUITY_LOW_GUIDANCE" hidden="1">"c4222"</definedName>
    <definedName name="IQ_RETURN_EQUITY_MEDIAN_EST" hidden="1">"c3538"</definedName>
    <definedName name="IQ_RETURN_EQUITY_MEDIAN_EST_REUT" hidden="1">"c3984"</definedName>
    <definedName name="IQ_RETURN_EQUITY_NUM_EST" hidden="1">"c3533"</definedName>
    <definedName name="IQ_RETURN_EQUITY_NUM_EST_REUT" hidden="1">"c3987"</definedName>
    <definedName name="IQ_RETURN_EQUITY_STDDEV_EST" hidden="1">"c3534"</definedName>
    <definedName name="IQ_RETURN_EQUITY_STDDEV_EST_REUT" hidden="1">"c3988"</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ENUE" hidden="1">"c1422"</definedName>
    <definedName name="IQ_REVENUE_ACT_OR_EST" hidden="1">"c2214"</definedName>
    <definedName name="IQ_REVENUE_ACT_OR_EST_REUT" hidden="1">"c5461"</definedName>
    <definedName name="IQ_REVENUE_EST" hidden="1">"c1126"</definedName>
    <definedName name="IQ_REVENUE_EST_BOTTOM_UP" hidden="1">"c5488"</definedName>
    <definedName name="IQ_REVENUE_EST_BOTTOM_UP_REUT" hidden="1">"c5496"</definedName>
    <definedName name="IQ_REVENUE_EST_REUT" hidden="1">"c3634"</definedName>
    <definedName name="IQ_REVENUE_GUIDANCE" hidden="1">"c4519"</definedName>
    <definedName name="IQ_REVENUE_HIGH_EST" hidden="1">"c1127"</definedName>
    <definedName name="IQ_REVENUE_HIGH_EST_REUT" hidden="1">"c3636"</definedName>
    <definedName name="IQ_REVENUE_HIGH_GUIDANCE" hidden="1">"c4169"</definedName>
    <definedName name="IQ_REVENUE_LOW_EST" hidden="1">"c1128"</definedName>
    <definedName name="IQ_REVENUE_LOW_EST_REUT" hidden="1">"c3637"</definedName>
    <definedName name="IQ_REVENUE_LOW_GUIDANCE" hidden="1">"c4209"</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39520.4343865741</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REUT" hidden="1">"c4054"</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EST" hidden="1">"c4526"</definedName>
    <definedName name="IQ_TEV_HIGH_EST" hidden="1">"c4527"</definedName>
    <definedName name="IQ_TEV_LOW_EST" hidden="1">"c4528"</definedName>
    <definedName name="IQ_TEV_MEDIAN_EST" hidden="1">"c4529"</definedName>
    <definedName name="IQ_TEV_NUM_EST" hidden="1">"c4530"</definedName>
    <definedName name="IQ_TEV_STDDEV_EST" hidden="1">"c4531"</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BT_STDDEV_EST" hidden="1">"c4538"</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Margin_on_Maintenance">[4]Assumptions!$C$54</definedName>
    <definedName name="Margin_to_cover_shipping__handling__warehousing">[4]Assumptions!$C$52</definedName>
    <definedName name="_xlnm.Print_Area" localSheetId="1">Assumptions!$A$15:$V$278</definedName>
    <definedName name="_xlnm.Print_Area" localSheetId="3">Extracts!$A$11:$P$475</definedName>
    <definedName name="_xlnm.Print_Area" localSheetId="11">'Financial Extracts'!$A$1:$T$170</definedName>
    <definedName name="_xlnm.Print_Area" localSheetId="5">'Financial Overview'!$A$11:$P$467</definedName>
    <definedName name="_xlnm.Print_Area" localSheetId="4">'Financing Template'!#REF!</definedName>
    <definedName name="_xlnm.Print_Titles" localSheetId="1">Assumptions!$10:$10</definedName>
    <definedName name="_xlnm.Print_Titles" localSheetId="3">Extracts!$10:$10</definedName>
    <definedName name="_xlnm.Print_Titles" localSheetId="5">'Financial Overview'!$10:$10</definedName>
    <definedName name="_xlnm.Print_Titles" localSheetId="4">'Financing Template'!$A:$F,'Financing Template'!$1:$3</definedName>
    <definedName name="TaxRate">[5]Assumptions!$C$17</definedName>
    <definedName name="wrn.Inputs._.outputs." localSheetId="1" hidden="1">{"key inputs",#N/A,FALSE,"Key Inputs";"key outputs",#N/A,FALSE,"Outputs";"Other inputs",#N/A,FALSE,"Other Inputs";"cashflow",#N/A,FALSE,"Statemnts"}</definedName>
    <definedName name="wrn.Inputs._.outputs." localSheetId="0" hidden="1">{"key inputs",#N/A,FALSE,"Key Inputs";"key outputs",#N/A,FALSE,"Outputs";"Other inputs",#N/A,FALSE,"Other Inputs";"cashflow",#N/A,FALSE,"Statemnts"}</definedName>
    <definedName name="wrn.Inputs._.outputs." localSheetId="3" hidden="1">{"key inputs",#N/A,FALSE,"Key Inputs";"key outputs",#N/A,FALSE,"Outputs";"Other inputs",#N/A,FALSE,"Other Inputs";"cashflow",#N/A,FALSE,"Statemnts"}</definedName>
    <definedName name="wrn.Inputs._.outputs." localSheetId="11" hidden="1">{"key inputs",#N/A,FALSE,"Key Inputs";"key outputs",#N/A,FALSE,"Outputs";"Other inputs",#N/A,FALSE,"Other Inputs";"cashflow",#N/A,FALSE,"Statemnts"}</definedName>
    <definedName name="wrn.Inputs._.outputs." localSheetId="5" hidden="1">{"key inputs",#N/A,FALSE,"Key Inputs";"key outputs",#N/A,FALSE,"Outputs";"Other inputs",#N/A,FALSE,"Other Inputs";"cashflow",#N/A,FALSE,"Statemnts"}</definedName>
    <definedName name="wrn.Inputs._.outputs." localSheetId="4" hidden="1">{"key inputs",#N/A,FALSE,"Key Inputs";"key outputs",#N/A,FALSE,"Outputs";"Other inputs",#N/A,FALSE,"Other Inputs";"cashflow",#N/A,FALSE,"Statemnts"}</definedName>
    <definedName name="wrn.Inputs._.outputs." localSheetId="6" hidden="1">{"key inputs",#N/A,FALSE,"Key Inputs";"key outputs",#N/A,FALSE,"Outputs";"Other inputs",#N/A,FALSE,"Other Inputs";"cashflow",#N/A,FALSE,"Statemnts"}</definedName>
    <definedName name="wrn.Inputs._.outputs." hidden="1">{"key inputs",#N/A,FALSE,"Key Inputs";"key outputs",#N/A,FALSE,"Outputs";"Other inputs",#N/A,FALSE,"Other Inputs";"cashflow",#N/A,FALSE,"Statemnts"}</definedName>
    <definedName name="wrn.Summary._.results." localSheetId="1" hidden="1">{"key inputs",#N/A,TRUE,"Key Inputs";"key outputs",#N/A,TRUE,"Outputs";"Other inputs",#N/A,TRUE,"Other Inputs";"Revenue",#N/A,TRUE,"Rev"}</definedName>
    <definedName name="wrn.Summary._.results." localSheetId="0" hidden="1">{"key inputs",#N/A,TRUE,"Key Inputs";"key outputs",#N/A,TRUE,"Outputs";"Other inputs",#N/A,TRUE,"Other Inputs";"Revenue",#N/A,TRUE,"Rev"}</definedName>
    <definedName name="wrn.Summary._.results." localSheetId="3" hidden="1">{"key inputs",#N/A,TRUE,"Key Inputs";"key outputs",#N/A,TRUE,"Outputs";"Other inputs",#N/A,TRUE,"Other Inputs";"Revenue",#N/A,TRUE,"Rev"}</definedName>
    <definedName name="wrn.Summary._.results." localSheetId="11" hidden="1">{"key inputs",#N/A,TRUE,"Key Inputs";"key outputs",#N/A,TRUE,"Outputs";"Other inputs",#N/A,TRUE,"Other Inputs";"Revenue",#N/A,TRUE,"Rev"}</definedName>
    <definedName name="wrn.Summary._.results." localSheetId="5" hidden="1">{"key inputs",#N/A,TRUE,"Key Inputs";"key outputs",#N/A,TRUE,"Outputs";"Other inputs",#N/A,TRUE,"Other Inputs";"Revenue",#N/A,TRUE,"Rev"}</definedName>
    <definedName name="wrn.Summary._.results." localSheetId="4" hidden="1">{"key inputs",#N/A,TRUE,"Key Inputs";"key outputs",#N/A,TRUE,"Outputs";"Other inputs",#N/A,TRUE,"Other Inputs";"Revenue",#N/A,TRUE,"Rev"}</definedName>
    <definedName name="wrn.Summary._.results." localSheetId="6" hidden="1">{"key inputs",#N/A,TRUE,"Key Inputs";"key outputs",#N/A,TRUE,"Outputs";"Other inputs",#N/A,TRUE,"Other Inputs";"Revenue",#N/A,TRUE,"Rev"}</definedName>
    <definedName name="wrn.Summary._.results." hidden="1">{"key inputs",#N/A,TRUE,"Key Inputs";"key outputs",#N/A,TRUE,"Outputs";"Other inputs",#N/A,TRUE,"Other Inputs";"Revenue",#N/A,TRUE,"Rev"}</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65" i="17" l="1"/>
  <c r="G263" i="17"/>
  <c r="G247" i="17"/>
  <c r="G245" i="17"/>
  <c r="G246" i="17"/>
  <c r="G248" i="17"/>
  <c r="G252" i="17"/>
  <c r="H56" i="4"/>
  <c r="G181" i="3"/>
  <c r="G179" i="3"/>
  <c r="G199" i="3"/>
  <c r="G197" i="3"/>
  <c r="H202" i="3"/>
  <c r="H232" i="4"/>
  <c r="G236" i="3"/>
  <c r="H236" i="3"/>
  <c r="H252" i="3"/>
  <c r="H28" i="4"/>
  <c r="G180" i="3"/>
  <c r="G182" i="3"/>
  <c r="J28" i="4"/>
  <c r="K28" i="4"/>
  <c r="L28" i="4"/>
  <c r="M28" i="4"/>
  <c r="N28" i="4"/>
  <c r="O28" i="4"/>
  <c r="P28" i="4"/>
  <c r="Q28" i="4"/>
  <c r="R28" i="4"/>
  <c r="S28" i="4"/>
  <c r="T28" i="4"/>
  <c r="U28" i="4"/>
  <c r="V28" i="4"/>
  <c r="W28" i="4"/>
  <c r="X28" i="4"/>
  <c r="Y28" i="4"/>
  <c r="Z28" i="4"/>
  <c r="AA28" i="4"/>
  <c r="AB28" i="4"/>
  <c r="I28" i="4"/>
  <c r="H217" i="3"/>
  <c r="H220" i="3"/>
  <c r="H222" i="3"/>
  <c r="I250" i="4"/>
  <c r="H231" i="4"/>
  <c r="I231" i="4"/>
  <c r="G194" i="3"/>
  <c r="G201" i="3"/>
  <c r="H196" i="4"/>
  <c r="I232" i="4"/>
  <c r="G195" i="3"/>
  <c r="G202" i="3"/>
  <c r="G204" i="3"/>
  <c r="G186" i="3"/>
  <c r="G167" i="3"/>
  <c r="G169" i="3"/>
  <c r="G206" i="3"/>
  <c r="G368" i="3"/>
  <c r="G209" i="3"/>
  <c r="H210" i="3"/>
  <c r="G212" i="3"/>
  <c r="H213" i="3"/>
  <c r="F7" i="19"/>
  <c r="H84" i="4"/>
  <c r="I84" i="4"/>
  <c r="G19" i="3"/>
  <c r="G42" i="3"/>
  <c r="G43" i="3"/>
  <c r="G44" i="3"/>
  <c r="G45" i="3"/>
  <c r="G46" i="3"/>
  <c r="G47" i="3"/>
  <c r="G48" i="3"/>
  <c r="G49" i="3"/>
  <c r="G50" i="3"/>
  <c r="G51" i="3"/>
  <c r="G52" i="3"/>
  <c r="G53" i="3"/>
  <c r="G54" i="3"/>
  <c r="G55" i="3"/>
  <c r="G56" i="3"/>
  <c r="G57" i="3"/>
  <c r="G58" i="3"/>
  <c r="D24" i="19"/>
  <c r="F24" i="19"/>
  <c r="H101" i="4"/>
  <c r="I101" i="4"/>
  <c r="G36" i="3"/>
  <c r="G59" i="3"/>
  <c r="G60" i="3"/>
  <c r="G61" i="3"/>
  <c r="G62" i="3"/>
  <c r="G63" i="3"/>
  <c r="G65" i="3"/>
  <c r="G160" i="3"/>
  <c r="F28" i="19"/>
  <c r="H147" i="4"/>
  <c r="I147" i="4"/>
  <c r="G68" i="3"/>
  <c r="G105" i="3"/>
  <c r="G106" i="3"/>
  <c r="G107" i="3"/>
  <c r="G108" i="3"/>
  <c r="G109" i="3"/>
  <c r="G110" i="3"/>
  <c r="G111" i="3"/>
  <c r="G112" i="3"/>
  <c r="G113" i="3"/>
  <c r="G114" i="3"/>
  <c r="G115" i="3"/>
  <c r="G116" i="3"/>
  <c r="G117" i="3"/>
  <c r="G118" i="3"/>
  <c r="G119" i="3"/>
  <c r="D43" i="19"/>
  <c r="F43" i="19"/>
  <c r="H162" i="4"/>
  <c r="I162" i="4"/>
  <c r="G83" i="3"/>
  <c r="G120" i="3"/>
  <c r="G121" i="3"/>
  <c r="G122" i="3"/>
  <c r="G123" i="3"/>
  <c r="G124" i="3"/>
  <c r="G125" i="3"/>
  <c r="G126" i="3"/>
  <c r="G127" i="3"/>
  <c r="G128" i="3"/>
  <c r="G129" i="3"/>
  <c r="G130" i="3"/>
  <c r="G131" i="3"/>
  <c r="G132" i="3"/>
  <c r="G133" i="3"/>
  <c r="G134" i="3"/>
  <c r="G135" i="3"/>
  <c r="G136" i="3"/>
  <c r="G137" i="3"/>
  <c r="G138" i="3"/>
  <c r="G139" i="3"/>
  <c r="G140" i="3"/>
  <c r="G142" i="3"/>
  <c r="G161" i="3"/>
  <c r="G163" i="3"/>
  <c r="G271" i="3"/>
  <c r="G176" i="17"/>
  <c r="G167" i="17"/>
  <c r="G235" i="17"/>
  <c r="G270" i="3"/>
  <c r="G275" i="3"/>
  <c r="G217" i="3"/>
  <c r="G220" i="3"/>
  <c r="G222" i="3"/>
  <c r="G238" i="3"/>
  <c r="G253" i="3"/>
  <c r="G223" i="3"/>
  <c r="G239" i="3"/>
  <c r="G254" i="3"/>
  <c r="G224" i="3"/>
  <c r="G240" i="3"/>
  <c r="G255" i="3"/>
  <c r="G225" i="3"/>
  <c r="G256" i="3"/>
  <c r="G226" i="3"/>
  <c r="G257" i="3"/>
  <c r="G227" i="3"/>
  <c r="G258" i="3"/>
  <c r="G228" i="3"/>
  <c r="G259" i="3"/>
  <c r="G229" i="3"/>
  <c r="G260" i="3"/>
  <c r="G215" i="3"/>
  <c r="G219" i="3"/>
  <c r="G251" i="3"/>
  <c r="G252" i="3"/>
  <c r="G266" i="3"/>
  <c r="G268" i="3"/>
  <c r="G277" i="3"/>
  <c r="G335" i="3"/>
  <c r="G336" i="3"/>
  <c r="G339" i="3"/>
  <c r="G144" i="3"/>
  <c r="I187" i="4"/>
  <c r="G147" i="3"/>
  <c r="G148" i="3"/>
  <c r="G153" i="3"/>
  <c r="G155" i="3"/>
  <c r="G157" i="3"/>
  <c r="G341" i="3"/>
  <c r="G370" i="3"/>
  <c r="G367" i="3"/>
  <c r="G369" i="3"/>
  <c r="G372" i="3"/>
  <c r="G342" i="3"/>
  <c r="G345" i="3"/>
  <c r="G179" i="15"/>
  <c r="G186" i="15"/>
  <c r="G188" i="15"/>
  <c r="G355" i="3"/>
  <c r="G197" i="15"/>
  <c r="G204" i="15"/>
  <c r="G206" i="15"/>
  <c r="G357" i="3"/>
  <c r="G215" i="15"/>
  <c r="G222" i="15"/>
  <c r="G224" i="15"/>
  <c r="G358" i="3"/>
  <c r="G360" i="3"/>
  <c r="G23" i="15"/>
  <c r="G138" i="15"/>
  <c r="G145" i="15"/>
  <c r="G158" i="15"/>
  <c r="G165" i="15"/>
  <c r="G168" i="15"/>
  <c r="G362" i="3"/>
  <c r="G348" i="3"/>
  <c r="G152" i="15"/>
  <c r="G153" i="15"/>
  <c r="G154" i="15"/>
  <c r="G172" i="15"/>
  <c r="G173" i="15"/>
  <c r="G174" i="15"/>
  <c r="G192" i="15"/>
  <c r="G193" i="15"/>
  <c r="G194" i="15"/>
  <c r="G210" i="15"/>
  <c r="G211" i="15"/>
  <c r="G212" i="15"/>
  <c r="G228" i="15"/>
  <c r="G229" i="15"/>
  <c r="G230" i="15"/>
  <c r="G347" i="3"/>
  <c r="G350" i="3"/>
  <c r="G279" i="3"/>
  <c r="G280" i="3"/>
  <c r="G283" i="3"/>
  <c r="G285" i="3"/>
  <c r="G286" i="3"/>
  <c r="G379" i="3"/>
  <c r="G380" i="3"/>
  <c r="G307" i="3"/>
  <c r="G237" i="3"/>
  <c r="G246" i="3"/>
  <c r="G261" i="3"/>
  <c r="G351" i="3"/>
  <c r="G353" i="3"/>
  <c r="G364" i="3"/>
  <c r="G303" i="3"/>
  <c r="H19" i="3"/>
  <c r="H42" i="3"/>
  <c r="H43" i="3"/>
  <c r="H44" i="3"/>
  <c r="H45" i="3"/>
  <c r="H46" i="3"/>
  <c r="H47" i="3"/>
  <c r="H48" i="3"/>
  <c r="H49" i="3"/>
  <c r="H50" i="3"/>
  <c r="H51" i="3"/>
  <c r="H52" i="3"/>
  <c r="H53" i="3"/>
  <c r="H54" i="3"/>
  <c r="H55" i="3"/>
  <c r="H56" i="3"/>
  <c r="H57" i="3"/>
  <c r="H58" i="3"/>
  <c r="H36" i="3"/>
  <c r="H59" i="3"/>
  <c r="H60" i="3"/>
  <c r="H61" i="3"/>
  <c r="H62" i="3"/>
  <c r="H63" i="3"/>
  <c r="H65" i="3"/>
  <c r="H160" i="3"/>
  <c r="H68" i="3"/>
  <c r="H105" i="3"/>
  <c r="H106" i="3"/>
  <c r="H107" i="3"/>
  <c r="H108" i="3"/>
  <c r="H109" i="3"/>
  <c r="H110" i="3"/>
  <c r="H111" i="3"/>
  <c r="H112" i="3"/>
  <c r="H113" i="3"/>
  <c r="H114" i="3"/>
  <c r="H115" i="3"/>
  <c r="H116" i="3"/>
  <c r="H117" i="3"/>
  <c r="H118" i="3"/>
  <c r="H119" i="3"/>
  <c r="H83" i="3"/>
  <c r="H120" i="3"/>
  <c r="H121" i="3"/>
  <c r="H122" i="3"/>
  <c r="H123" i="3"/>
  <c r="H124" i="3"/>
  <c r="H125" i="3"/>
  <c r="H126" i="3"/>
  <c r="H127" i="3"/>
  <c r="H128" i="3"/>
  <c r="H129" i="3"/>
  <c r="H130" i="3"/>
  <c r="H131" i="3"/>
  <c r="H132" i="3"/>
  <c r="H133" i="3"/>
  <c r="H134" i="3"/>
  <c r="H135" i="3"/>
  <c r="H136" i="3"/>
  <c r="H137" i="3"/>
  <c r="H138" i="3"/>
  <c r="H139" i="3"/>
  <c r="H140" i="3"/>
  <c r="H142" i="3"/>
  <c r="H161" i="3"/>
  <c r="H163" i="3"/>
  <c r="H271" i="3"/>
  <c r="H194" i="3"/>
  <c r="H201" i="3"/>
  <c r="H195" i="3"/>
  <c r="H197" i="3"/>
  <c r="H198" i="3"/>
  <c r="H199" i="3"/>
  <c r="H200" i="3"/>
  <c r="H204" i="3"/>
  <c r="H179" i="3"/>
  <c r="H180" i="3"/>
  <c r="H181" i="3"/>
  <c r="H182" i="3"/>
  <c r="H186" i="3"/>
  <c r="H177" i="17"/>
  <c r="H167" i="17"/>
  <c r="H235" i="17"/>
  <c r="H167" i="3"/>
  <c r="H169" i="3"/>
  <c r="H206" i="3"/>
  <c r="H270" i="3"/>
  <c r="H275" i="3"/>
  <c r="H238" i="3"/>
  <c r="H253" i="3"/>
  <c r="H239" i="3"/>
  <c r="H223" i="3"/>
  <c r="H254" i="3"/>
  <c r="H240" i="3"/>
  <c r="H224" i="3"/>
  <c r="H255" i="3"/>
  <c r="H237" i="3"/>
  <c r="H246" i="3"/>
  <c r="H261" i="3"/>
  <c r="H225" i="3"/>
  <c r="H256" i="3"/>
  <c r="H226" i="3"/>
  <c r="H257" i="3"/>
  <c r="H227" i="3"/>
  <c r="H258" i="3"/>
  <c r="H228" i="3"/>
  <c r="H259" i="3"/>
  <c r="H229" i="3"/>
  <c r="H260" i="3"/>
  <c r="H215" i="3"/>
  <c r="H219" i="3"/>
  <c r="H251" i="3"/>
  <c r="H221" i="3"/>
  <c r="H262" i="3"/>
  <c r="H263" i="3"/>
  <c r="H231" i="3"/>
  <c r="H264" i="3"/>
  <c r="H266" i="3"/>
  <c r="H268" i="3"/>
  <c r="H277" i="3"/>
  <c r="H335" i="3"/>
  <c r="H336" i="3"/>
  <c r="H339" i="3"/>
  <c r="H144" i="3"/>
  <c r="H147" i="3"/>
  <c r="H148" i="3"/>
  <c r="H153" i="3"/>
  <c r="H155" i="3"/>
  <c r="H157" i="3"/>
  <c r="H341" i="3"/>
  <c r="H343" i="3"/>
  <c r="H367" i="3"/>
  <c r="H369" i="3"/>
  <c r="H368" i="3"/>
  <c r="H370" i="3"/>
  <c r="H372" i="3"/>
  <c r="H342" i="3"/>
  <c r="H345" i="3"/>
  <c r="H188" i="15"/>
  <c r="H179" i="15"/>
  <c r="H186" i="15"/>
  <c r="H355" i="3"/>
  <c r="H206" i="15"/>
  <c r="H197" i="15"/>
  <c r="H204" i="15"/>
  <c r="H357" i="3"/>
  <c r="H224" i="15"/>
  <c r="H215" i="15"/>
  <c r="H222" i="15"/>
  <c r="H358" i="3"/>
  <c r="H360" i="3"/>
  <c r="H168" i="15"/>
  <c r="H138" i="15"/>
  <c r="H145" i="15"/>
  <c r="H158" i="15"/>
  <c r="H165" i="15"/>
  <c r="H362" i="3"/>
  <c r="H348" i="3"/>
  <c r="G146" i="15"/>
  <c r="G147" i="15"/>
  <c r="G149" i="15"/>
  <c r="H144" i="15"/>
  <c r="H152" i="15"/>
  <c r="H153" i="15"/>
  <c r="H154" i="15"/>
  <c r="G166" i="15"/>
  <c r="G167" i="15"/>
  <c r="G169" i="15"/>
  <c r="H164" i="15"/>
  <c r="H172" i="15"/>
  <c r="H173" i="15"/>
  <c r="H174" i="15"/>
  <c r="G187" i="15"/>
  <c r="G189" i="15"/>
  <c r="H185" i="15"/>
  <c r="H192" i="15"/>
  <c r="H193" i="15"/>
  <c r="H194" i="15"/>
  <c r="G205" i="15"/>
  <c r="G207" i="15"/>
  <c r="H203" i="15"/>
  <c r="H210" i="15"/>
  <c r="H211" i="15"/>
  <c r="H212" i="15"/>
  <c r="G223" i="15"/>
  <c r="G225" i="15"/>
  <c r="H221" i="15"/>
  <c r="H228" i="15"/>
  <c r="H229" i="15"/>
  <c r="H230" i="15"/>
  <c r="H347" i="3"/>
  <c r="H350" i="3"/>
  <c r="H279" i="3"/>
  <c r="H280" i="3"/>
  <c r="H351" i="3"/>
  <c r="H353" i="3"/>
  <c r="H364" i="3"/>
  <c r="H303" i="3"/>
  <c r="I19" i="3"/>
  <c r="I42" i="3"/>
  <c r="I43" i="3"/>
  <c r="I44" i="3"/>
  <c r="I45" i="3"/>
  <c r="I46" i="3"/>
  <c r="I47" i="3"/>
  <c r="I48" i="3"/>
  <c r="I49" i="3"/>
  <c r="I50" i="3"/>
  <c r="I51" i="3"/>
  <c r="I52" i="3"/>
  <c r="I53" i="3"/>
  <c r="I54" i="3"/>
  <c r="I55" i="3"/>
  <c r="I56" i="3"/>
  <c r="I57" i="3"/>
  <c r="I58" i="3"/>
  <c r="I36" i="3"/>
  <c r="I59" i="3"/>
  <c r="I60" i="3"/>
  <c r="I61" i="3"/>
  <c r="I62" i="3"/>
  <c r="I63" i="3"/>
  <c r="I65" i="3"/>
  <c r="I160" i="3"/>
  <c r="I68" i="3"/>
  <c r="I105" i="3"/>
  <c r="I106" i="3"/>
  <c r="I107" i="3"/>
  <c r="I108" i="3"/>
  <c r="I109" i="3"/>
  <c r="I110" i="3"/>
  <c r="I111" i="3"/>
  <c r="I112" i="3"/>
  <c r="I113" i="3"/>
  <c r="I114" i="3"/>
  <c r="I115" i="3"/>
  <c r="I116" i="3"/>
  <c r="I117" i="3"/>
  <c r="I118" i="3"/>
  <c r="I119" i="3"/>
  <c r="I83" i="3"/>
  <c r="I120" i="3"/>
  <c r="I121" i="3"/>
  <c r="I122" i="3"/>
  <c r="I123" i="3"/>
  <c r="I124" i="3"/>
  <c r="I125" i="3"/>
  <c r="I126" i="3"/>
  <c r="I127" i="3"/>
  <c r="I128" i="3"/>
  <c r="I129" i="3"/>
  <c r="I130" i="3"/>
  <c r="I131" i="3"/>
  <c r="I132" i="3"/>
  <c r="I133" i="3"/>
  <c r="I134" i="3"/>
  <c r="I135" i="3"/>
  <c r="I136" i="3"/>
  <c r="I137" i="3"/>
  <c r="I138" i="3"/>
  <c r="I139" i="3"/>
  <c r="I140" i="3"/>
  <c r="I142" i="3"/>
  <c r="I161" i="3"/>
  <c r="I163" i="3"/>
  <c r="I271" i="3"/>
  <c r="I194" i="3"/>
  <c r="I213" i="3"/>
  <c r="I201" i="3"/>
  <c r="I195" i="3"/>
  <c r="I202" i="3"/>
  <c r="I197" i="3"/>
  <c r="I198" i="3"/>
  <c r="I199" i="3"/>
  <c r="I200" i="3"/>
  <c r="I204" i="3"/>
  <c r="I210" i="3"/>
  <c r="I179" i="3"/>
  <c r="I180" i="3"/>
  <c r="I181" i="3"/>
  <c r="I182" i="3"/>
  <c r="I186" i="3"/>
  <c r="I177" i="17"/>
  <c r="I167" i="17"/>
  <c r="I235" i="17"/>
  <c r="I167" i="3"/>
  <c r="I169" i="3"/>
  <c r="I206" i="3"/>
  <c r="I270" i="3"/>
  <c r="I275" i="3"/>
  <c r="I238" i="3"/>
  <c r="I217" i="3"/>
  <c r="I220" i="3"/>
  <c r="I222" i="3"/>
  <c r="I253" i="3"/>
  <c r="I239" i="3"/>
  <c r="I223" i="3"/>
  <c r="I254" i="3"/>
  <c r="I240" i="3"/>
  <c r="I224" i="3"/>
  <c r="I255" i="3"/>
  <c r="I237" i="3"/>
  <c r="I246" i="3"/>
  <c r="I261" i="3"/>
  <c r="I225" i="3"/>
  <c r="I256" i="3"/>
  <c r="I226" i="3"/>
  <c r="I257" i="3"/>
  <c r="I227" i="3"/>
  <c r="I258" i="3"/>
  <c r="I228" i="3"/>
  <c r="I259" i="3"/>
  <c r="I229" i="3"/>
  <c r="I260" i="3"/>
  <c r="I215" i="3"/>
  <c r="I219" i="3"/>
  <c r="I251" i="3"/>
  <c r="I221" i="3"/>
  <c r="I236" i="3"/>
  <c r="I252" i="3"/>
  <c r="I262" i="3"/>
  <c r="I263" i="3"/>
  <c r="I231" i="3"/>
  <c r="I264" i="3"/>
  <c r="I266" i="3"/>
  <c r="I268" i="3"/>
  <c r="I277" i="3"/>
  <c r="I335" i="3"/>
  <c r="I336" i="3"/>
  <c r="I339" i="3"/>
  <c r="I144" i="3"/>
  <c r="I147" i="3"/>
  <c r="I148" i="3"/>
  <c r="I153" i="3"/>
  <c r="I155" i="3"/>
  <c r="I157" i="3"/>
  <c r="I341" i="3"/>
  <c r="H283" i="3"/>
  <c r="H285" i="3"/>
  <c r="H286" i="3"/>
  <c r="H379" i="3"/>
  <c r="H380" i="3"/>
  <c r="H307" i="3"/>
  <c r="I343" i="3"/>
  <c r="I367" i="3"/>
  <c r="I369" i="3"/>
  <c r="I368" i="3"/>
  <c r="I370" i="3"/>
  <c r="I372" i="3"/>
  <c r="I342" i="3"/>
  <c r="I345" i="3"/>
  <c r="I188" i="15"/>
  <c r="I179" i="15"/>
  <c r="I186" i="15"/>
  <c r="I355" i="3"/>
  <c r="H205" i="15"/>
  <c r="H207" i="15"/>
  <c r="I203" i="15"/>
  <c r="I211" i="15"/>
  <c r="I205" i="15"/>
  <c r="I206" i="15"/>
  <c r="I197" i="15"/>
  <c r="I204" i="15"/>
  <c r="I357" i="3"/>
  <c r="I224" i="15"/>
  <c r="I215" i="15"/>
  <c r="I222" i="15"/>
  <c r="I358" i="3"/>
  <c r="I360" i="3"/>
  <c r="H166" i="15"/>
  <c r="H167" i="15"/>
  <c r="H169" i="15"/>
  <c r="I164" i="15"/>
  <c r="I158" i="15"/>
  <c r="I165" i="15"/>
  <c r="I166" i="15"/>
  <c r="I173" i="15"/>
  <c r="I167" i="15"/>
  <c r="I168" i="15"/>
  <c r="I138" i="15"/>
  <c r="I145" i="15"/>
  <c r="I362" i="3"/>
  <c r="I348" i="3"/>
  <c r="H146" i="15"/>
  <c r="H147" i="15"/>
  <c r="H149" i="15"/>
  <c r="I144" i="15"/>
  <c r="I152" i="15"/>
  <c r="I153" i="15"/>
  <c r="I154" i="15"/>
  <c r="I172" i="15"/>
  <c r="I174" i="15"/>
  <c r="H187" i="15"/>
  <c r="H189" i="15"/>
  <c r="I185" i="15"/>
  <c r="I192" i="15"/>
  <c r="I193" i="15"/>
  <c r="I194" i="15"/>
  <c r="I210" i="15"/>
  <c r="I212" i="15"/>
  <c r="H223" i="15"/>
  <c r="H225" i="15"/>
  <c r="I221" i="15"/>
  <c r="I228" i="15"/>
  <c r="I229" i="15"/>
  <c r="I230" i="15"/>
  <c r="I347" i="3"/>
  <c r="I350" i="3"/>
  <c r="I279" i="3"/>
  <c r="I280" i="3"/>
  <c r="I351" i="3"/>
  <c r="I353" i="3"/>
  <c r="I364" i="3"/>
  <c r="I303" i="3"/>
  <c r="J19" i="3"/>
  <c r="J42" i="3"/>
  <c r="J43" i="3"/>
  <c r="J44" i="3"/>
  <c r="J45" i="3"/>
  <c r="J46" i="3"/>
  <c r="J47" i="3"/>
  <c r="J48" i="3"/>
  <c r="J49" i="3"/>
  <c r="J50" i="3"/>
  <c r="J51" i="3"/>
  <c r="J52" i="3"/>
  <c r="J53" i="3"/>
  <c r="J54" i="3"/>
  <c r="J55" i="3"/>
  <c r="J56" i="3"/>
  <c r="J57" i="3"/>
  <c r="J58" i="3"/>
  <c r="J36" i="3"/>
  <c r="J59" i="3"/>
  <c r="J60" i="3"/>
  <c r="J61" i="3"/>
  <c r="J62" i="3"/>
  <c r="J63" i="3"/>
  <c r="J65" i="3"/>
  <c r="J160" i="3"/>
  <c r="J68" i="3"/>
  <c r="J105" i="3"/>
  <c r="J106" i="3"/>
  <c r="J107" i="3"/>
  <c r="J108" i="3"/>
  <c r="J109" i="3"/>
  <c r="J110" i="3"/>
  <c r="J111" i="3"/>
  <c r="J112" i="3"/>
  <c r="J113" i="3"/>
  <c r="J114" i="3"/>
  <c r="J115" i="3"/>
  <c r="J116" i="3"/>
  <c r="J117" i="3"/>
  <c r="J118" i="3"/>
  <c r="J119" i="3"/>
  <c r="J83" i="3"/>
  <c r="J120" i="3"/>
  <c r="J121" i="3"/>
  <c r="J122" i="3"/>
  <c r="J123" i="3"/>
  <c r="J124" i="3"/>
  <c r="J125" i="3"/>
  <c r="J126" i="3"/>
  <c r="J127" i="3"/>
  <c r="J128" i="3"/>
  <c r="J129" i="3"/>
  <c r="J130" i="3"/>
  <c r="J131" i="3"/>
  <c r="J132" i="3"/>
  <c r="J133" i="3"/>
  <c r="J134" i="3"/>
  <c r="J135" i="3"/>
  <c r="J136" i="3"/>
  <c r="J137" i="3"/>
  <c r="J138" i="3"/>
  <c r="J139" i="3"/>
  <c r="J140" i="3"/>
  <c r="J142" i="3"/>
  <c r="J161" i="3"/>
  <c r="J163" i="3"/>
  <c r="J271" i="3"/>
  <c r="J194" i="3"/>
  <c r="J213" i="3"/>
  <c r="J201" i="3"/>
  <c r="J195" i="3"/>
  <c r="J202" i="3"/>
  <c r="J197" i="3"/>
  <c r="J198" i="3"/>
  <c r="J199" i="3"/>
  <c r="J200" i="3"/>
  <c r="J204" i="3"/>
  <c r="J210" i="3"/>
  <c r="J179" i="3"/>
  <c r="J180" i="3"/>
  <c r="J181" i="3"/>
  <c r="J182" i="3"/>
  <c r="J186" i="3"/>
  <c r="J177" i="17"/>
  <c r="J167" i="17"/>
  <c r="J235" i="17"/>
  <c r="J167" i="3"/>
  <c r="J169" i="3"/>
  <c r="J206" i="3"/>
  <c r="J270" i="3"/>
  <c r="J275" i="3"/>
  <c r="J238" i="3"/>
  <c r="J217" i="3"/>
  <c r="J220" i="3"/>
  <c r="J222" i="3"/>
  <c r="J253" i="3"/>
  <c r="J239" i="3"/>
  <c r="J223" i="3"/>
  <c r="J254" i="3"/>
  <c r="J240" i="3"/>
  <c r="J224" i="3"/>
  <c r="J255" i="3"/>
  <c r="J237" i="3"/>
  <c r="J246" i="3"/>
  <c r="J261" i="3"/>
  <c r="J225" i="3"/>
  <c r="J256" i="3"/>
  <c r="J226" i="3"/>
  <c r="J257" i="3"/>
  <c r="J227" i="3"/>
  <c r="J258" i="3"/>
  <c r="J228" i="3"/>
  <c r="J259" i="3"/>
  <c r="J229" i="3"/>
  <c r="J260" i="3"/>
  <c r="J215" i="3"/>
  <c r="J219" i="3"/>
  <c r="J251" i="3"/>
  <c r="J221" i="3"/>
  <c r="J236" i="3"/>
  <c r="J252" i="3"/>
  <c r="J262" i="3"/>
  <c r="J263" i="3"/>
  <c r="J231" i="3"/>
  <c r="J264" i="3"/>
  <c r="J266" i="3"/>
  <c r="J268" i="3"/>
  <c r="J277" i="3"/>
  <c r="J335" i="3"/>
  <c r="J336" i="3"/>
  <c r="J339" i="3"/>
  <c r="J144" i="3"/>
  <c r="J147" i="3"/>
  <c r="J148" i="3"/>
  <c r="J153" i="3"/>
  <c r="J155" i="3"/>
  <c r="J157" i="3"/>
  <c r="J341" i="3"/>
  <c r="I283" i="3"/>
  <c r="I285" i="3"/>
  <c r="I286" i="3"/>
  <c r="I379" i="3"/>
  <c r="I380" i="3"/>
  <c r="I307" i="3"/>
  <c r="J343" i="3"/>
  <c r="J367" i="3"/>
  <c r="J369" i="3"/>
  <c r="J368" i="3"/>
  <c r="J370" i="3"/>
  <c r="J372" i="3"/>
  <c r="J342" i="3"/>
  <c r="J345" i="3"/>
  <c r="J188" i="15"/>
  <c r="J179" i="15"/>
  <c r="J186" i="15"/>
  <c r="J355" i="3"/>
  <c r="J206" i="15"/>
  <c r="J197" i="15"/>
  <c r="J204" i="15"/>
  <c r="J357" i="3"/>
  <c r="J224" i="15"/>
  <c r="J215" i="15"/>
  <c r="J222" i="15"/>
  <c r="J358" i="3"/>
  <c r="J360" i="3"/>
  <c r="J168" i="15"/>
  <c r="J138" i="15"/>
  <c r="J145" i="15"/>
  <c r="J158" i="15"/>
  <c r="J165" i="15"/>
  <c r="J362" i="3"/>
  <c r="J348" i="3"/>
  <c r="I146" i="15"/>
  <c r="I147" i="15"/>
  <c r="I149" i="15"/>
  <c r="J144" i="15"/>
  <c r="J152" i="15"/>
  <c r="J153" i="15"/>
  <c r="J154" i="15"/>
  <c r="I169" i="15"/>
  <c r="J164" i="15"/>
  <c r="J172" i="15"/>
  <c r="J173" i="15"/>
  <c r="J174" i="15"/>
  <c r="I187" i="15"/>
  <c r="I189" i="15"/>
  <c r="J185" i="15"/>
  <c r="J192" i="15"/>
  <c r="J193" i="15"/>
  <c r="J194" i="15"/>
  <c r="I207" i="15"/>
  <c r="J203" i="15"/>
  <c r="J210" i="15"/>
  <c r="J211" i="15"/>
  <c r="J212" i="15"/>
  <c r="I223" i="15"/>
  <c r="I225" i="15"/>
  <c r="J221" i="15"/>
  <c r="J228" i="15"/>
  <c r="J229" i="15"/>
  <c r="J230" i="15"/>
  <c r="J347" i="3"/>
  <c r="J350" i="3"/>
  <c r="J279" i="3"/>
  <c r="J280" i="3"/>
  <c r="J351" i="3"/>
  <c r="J353" i="3"/>
  <c r="J364" i="3"/>
  <c r="J303" i="3"/>
  <c r="K19" i="3"/>
  <c r="K42" i="3"/>
  <c r="K43" i="3"/>
  <c r="K44" i="3"/>
  <c r="K45" i="3"/>
  <c r="K46" i="3"/>
  <c r="K47" i="3"/>
  <c r="K48" i="3"/>
  <c r="K49" i="3"/>
  <c r="K50" i="3"/>
  <c r="K51" i="3"/>
  <c r="K52" i="3"/>
  <c r="K53" i="3"/>
  <c r="K54" i="3"/>
  <c r="K55" i="3"/>
  <c r="K56" i="3"/>
  <c r="K57" i="3"/>
  <c r="K58" i="3"/>
  <c r="K36" i="3"/>
  <c r="K59" i="3"/>
  <c r="K60" i="3"/>
  <c r="K61" i="3"/>
  <c r="K62" i="3"/>
  <c r="K63" i="3"/>
  <c r="K65" i="3"/>
  <c r="K160" i="3"/>
  <c r="K68" i="3"/>
  <c r="K105" i="3"/>
  <c r="K106" i="3"/>
  <c r="K107" i="3"/>
  <c r="K108" i="3"/>
  <c r="K109" i="3"/>
  <c r="K110" i="3"/>
  <c r="K111" i="3"/>
  <c r="K112" i="3"/>
  <c r="K113" i="3"/>
  <c r="K114" i="3"/>
  <c r="K115" i="3"/>
  <c r="K116" i="3"/>
  <c r="K117" i="3"/>
  <c r="K118" i="3"/>
  <c r="K119" i="3"/>
  <c r="K83" i="3"/>
  <c r="K120" i="3"/>
  <c r="K121" i="3"/>
  <c r="K122" i="3"/>
  <c r="K123" i="3"/>
  <c r="K124" i="3"/>
  <c r="K125" i="3"/>
  <c r="K126" i="3"/>
  <c r="K127" i="3"/>
  <c r="K128" i="3"/>
  <c r="K129" i="3"/>
  <c r="K130" i="3"/>
  <c r="K131" i="3"/>
  <c r="K132" i="3"/>
  <c r="K133" i="3"/>
  <c r="K134" i="3"/>
  <c r="K135" i="3"/>
  <c r="K136" i="3"/>
  <c r="K137" i="3"/>
  <c r="K138" i="3"/>
  <c r="K139" i="3"/>
  <c r="K140" i="3"/>
  <c r="K142" i="3"/>
  <c r="K161" i="3"/>
  <c r="K163" i="3"/>
  <c r="K271" i="3"/>
  <c r="K194" i="3"/>
  <c r="K213" i="3"/>
  <c r="K201" i="3"/>
  <c r="K195" i="3"/>
  <c r="K202" i="3"/>
  <c r="K197" i="3"/>
  <c r="K198" i="3"/>
  <c r="K199" i="3"/>
  <c r="K200" i="3"/>
  <c r="K204" i="3"/>
  <c r="K210" i="3"/>
  <c r="K179" i="3"/>
  <c r="K180" i="3"/>
  <c r="K181" i="3"/>
  <c r="K182" i="3"/>
  <c r="K186" i="3"/>
  <c r="K177" i="17"/>
  <c r="K167" i="17"/>
  <c r="K235" i="17"/>
  <c r="K167" i="3"/>
  <c r="K169" i="3"/>
  <c r="K206" i="3"/>
  <c r="K270" i="3"/>
  <c r="K275" i="3"/>
  <c r="K238" i="3"/>
  <c r="K217" i="3"/>
  <c r="K220" i="3"/>
  <c r="K222" i="3"/>
  <c r="K253" i="3"/>
  <c r="K239" i="3"/>
  <c r="K223" i="3"/>
  <c r="K254" i="3"/>
  <c r="K240" i="3"/>
  <c r="K224" i="3"/>
  <c r="K255" i="3"/>
  <c r="K237" i="3"/>
  <c r="K246" i="3"/>
  <c r="K261" i="3"/>
  <c r="K225" i="3"/>
  <c r="K256" i="3"/>
  <c r="K226" i="3"/>
  <c r="K257" i="3"/>
  <c r="K227" i="3"/>
  <c r="K258" i="3"/>
  <c r="K228" i="3"/>
  <c r="K259" i="3"/>
  <c r="K229" i="3"/>
  <c r="K260" i="3"/>
  <c r="K215" i="3"/>
  <c r="K219" i="3"/>
  <c r="K251" i="3"/>
  <c r="K221" i="3"/>
  <c r="K236" i="3"/>
  <c r="K252" i="3"/>
  <c r="K262" i="3"/>
  <c r="K263" i="3"/>
  <c r="K231" i="3"/>
  <c r="K264" i="3"/>
  <c r="K266" i="3"/>
  <c r="K268" i="3"/>
  <c r="K277" i="3"/>
  <c r="K335" i="3"/>
  <c r="K336" i="3"/>
  <c r="K339" i="3"/>
  <c r="K144" i="3"/>
  <c r="K147" i="3"/>
  <c r="K148" i="3"/>
  <c r="K153" i="3"/>
  <c r="K155" i="3"/>
  <c r="K157" i="3"/>
  <c r="K341" i="3"/>
  <c r="J283" i="3"/>
  <c r="J285" i="3"/>
  <c r="J286" i="3"/>
  <c r="J379" i="3"/>
  <c r="J380" i="3"/>
  <c r="J307" i="3"/>
  <c r="K343" i="3"/>
  <c r="K367" i="3"/>
  <c r="K369" i="3"/>
  <c r="K368" i="3"/>
  <c r="K370" i="3"/>
  <c r="K372" i="3"/>
  <c r="K342" i="3"/>
  <c r="K345" i="3"/>
  <c r="K188" i="15"/>
  <c r="K179" i="15"/>
  <c r="K186" i="15"/>
  <c r="K355" i="3"/>
  <c r="K206" i="15"/>
  <c r="K197" i="15"/>
  <c r="K204" i="15"/>
  <c r="K357" i="3"/>
  <c r="K224" i="15"/>
  <c r="K215" i="15"/>
  <c r="K222" i="15"/>
  <c r="K358" i="3"/>
  <c r="K360" i="3"/>
  <c r="K168" i="15"/>
  <c r="K138" i="15"/>
  <c r="K145" i="15"/>
  <c r="K158" i="15"/>
  <c r="K165" i="15"/>
  <c r="K362" i="3"/>
  <c r="K348" i="3"/>
  <c r="J146" i="15"/>
  <c r="J147" i="15"/>
  <c r="J149" i="15"/>
  <c r="K144" i="15"/>
  <c r="K152" i="15"/>
  <c r="K153" i="15"/>
  <c r="K154" i="15"/>
  <c r="J166" i="15"/>
  <c r="J167" i="15"/>
  <c r="J169" i="15"/>
  <c r="K164" i="15"/>
  <c r="K172" i="15"/>
  <c r="K173" i="15"/>
  <c r="K174" i="15"/>
  <c r="J187" i="15"/>
  <c r="J189" i="15"/>
  <c r="K185" i="15"/>
  <c r="K192" i="15"/>
  <c r="K193" i="15"/>
  <c r="K194" i="15"/>
  <c r="J205" i="15"/>
  <c r="J207" i="15"/>
  <c r="K203" i="15"/>
  <c r="K210" i="15"/>
  <c r="K211" i="15"/>
  <c r="K212" i="15"/>
  <c r="J223" i="15"/>
  <c r="J225" i="15"/>
  <c r="K221" i="15"/>
  <c r="K228" i="15"/>
  <c r="K229" i="15"/>
  <c r="K230" i="15"/>
  <c r="K347" i="3"/>
  <c r="K350" i="3"/>
  <c r="K279" i="3"/>
  <c r="K280" i="3"/>
  <c r="K351" i="3"/>
  <c r="K353" i="3"/>
  <c r="K364" i="3"/>
  <c r="K303" i="3"/>
  <c r="L19" i="3"/>
  <c r="L42" i="3"/>
  <c r="L43" i="3"/>
  <c r="L44" i="3"/>
  <c r="L45" i="3"/>
  <c r="L46" i="3"/>
  <c r="L47" i="3"/>
  <c r="L48" i="3"/>
  <c r="L49" i="3"/>
  <c r="L50" i="3"/>
  <c r="L51" i="3"/>
  <c r="L52" i="3"/>
  <c r="L53" i="3"/>
  <c r="L54" i="3"/>
  <c r="L55" i="3"/>
  <c r="L56" i="3"/>
  <c r="L57" i="3"/>
  <c r="L58" i="3"/>
  <c r="L36" i="3"/>
  <c r="L59" i="3"/>
  <c r="L60" i="3"/>
  <c r="L61" i="3"/>
  <c r="L62" i="3"/>
  <c r="L63" i="3"/>
  <c r="L65" i="3"/>
  <c r="L160" i="3"/>
  <c r="L68" i="3"/>
  <c r="L105" i="3"/>
  <c r="L106" i="3"/>
  <c r="L107" i="3"/>
  <c r="L108" i="3"/>
  <c r="L109" i="3"/>
  <c r="L110" i="3"/>
  <c r="L111" i="3"/>
  <c r="L112" i="3"/>
  <c r="L113" i="3"/>
  <c r="L114" i="3"/>
  <c r="L115" i="3"/>
  <c r="L116" i="3"/>
  <c r="L117" i="3"/>
  <c r="L118" i="3"/>
  <c r="L119" i="3"/>
  <c r="L83" i="3"/>
  <c r="L120" i="3"/>
  <c r="L121" i="3"/>
  <c r="L122" i="3"/>
  <c r="L123" i="3"/>
  <c r="L124" i="3"/>
  <c r="L125" i="3"/>
  <c r="L126" i="3"/>
  <c r="L127" i="3"/>
  <c r="L128" i="3"/>
  <c r="L129" i="3"/>
  <c r="L130" i="3"/>
  <c r="L131" i="3"/>
  <c r="L132" i="3"/>
  <c r="L133" i="3"/>
  <c r="L134" i="3"/>
  <c r="L135" i="3"/>
  <c r="L136" i="3"/>
  <c r="L137" i="3"/>
  <c r="L138" i="3"/>
  <c r="L139" i="3"/>
  <c r="L140" i="3"/>
  <c r="L142" i="3"/>
  <c r="L161" i="3"/>
  <c r="L163" i="3"/>
  <c r="L271" i="3"/>
  <c r="L194" i="3"/>
  <c r="L213" i="3"/>
  <c r="L201" i="3"/>
  <c r="L195" i="3"/>
  <c r="L202" i="3"/>
  <c r="L197" i="3"/>
  <c r="L198" i="3"/>
  <c r="L199" i="3"/>
  <c r="L200" i="3"/>
  <c r="L204" i="3"/>
  <c r="L210" i="3"/>
  <c r="L179" i="3"/>
  <c r="L180" i="3"/>
  <c r="L181" i="3"/>
  <c r="L182" i="3"/>
  <c r="L186" i="3"/>
  <c r="L177" i="17"/>
  <c r="L167" i="17"/>
  <c r="L235" i="17"/>
  <c r="L167" i="3"/>
  <c r="L169" i="3"/>
  <c r="L206" i="3"/>
  <c r="L270" i="3"/>
  <c r="L275" i="3"/>
  <c r="L238" i="3"/>
  <c r="L217" i="3"/>
  <c r="L220" i="3"/>
  <c r="L222" i="3"/>
  <c r="L253" i="3"/>
  <c r="L239" i="3"/>
  <c r="L223" i="3"/>
  <c r="L254" i="3"/>
  <c r="L240" i="3"/>
  <c r="L224" i="3"/>
  <c r="L255" i="3"/>
  <c r="L237" i="3"/>
  <c r="L246" i="3"/>
  <c r="L261" i="3"/>
  <c r="L225" i="3"/>
  <c r="L256" i="3"/>
  <c r="L226" i="3"/>
  <c r="L257" i="3"/>
  <c r="L227" i="3"/>
  <c r="L258" i="3"/>
  <c r="L228" i="3"/>
  <c r="L259" i="3"/>
  <c r="L229" i="3"/>
  <c r="L260" i="3"/>
  <c r="L215" i="3"/>
  <c r="L219" i="3"/>
  <c r="L251" i="3"/>
  <c r="L221" i="3"/>
  <c r="L236" i="3"/>
  <c r="L252" i="3"/>
  <c r="L262" i="3"/>
  <c r="L263" i="3"/>
  <c r="L231" i="3"/>
  <c r="L264" i="3"/>
  <c r="L266" i="3"/>
  <c r="L268" i="3"/>
  <c r="L277" i="3"/>
  <c r="L335" i="3"/>
  <c r="L336" i="3"/>
  <c r="L339" i="3"/>
  <c r="L144" i="3"/>
  <c r="L147" i="3"/>
  <c r="L148" i="3"/>
  <c r="L153" i="3"/>
  <c r="L155" i="3"/>
  <c r="L157" i="3"/>
  <c r="L341" i="3"/>
  <c r="K283" i="3"/>
  <c r="K285" i="3"/>
  <c r="K286" i="3"/>
  <c r="K379" i="3"/>
  <c r="K380" i="3"/>
  <c r="K307" i="3"/>
  <c r="L343" i="3"/>
  <c r="L367" i="3"/>
  <c r="L369" i="3"/>
  <c r="L368" i="3"/>
  <c r="L370" i="3"/>
  <c r="L372" i="3"/>
  <c r="L342" i="3"/>
  <c r="L345" i="3"/>
  <c r="L188" i="15"/>
  <c r="L179" i="15"/>
  <c r="L186" i="15"/>
  <c r="L355" i="3"/>
  <c r="L206" i="15"/>
  <c r="L197" i="15"/>
  <c r="L204" i="15"/>
  <c r="L357" i="3"/>
  <c r="L224" i="15"/>
  <c r="L215" i="15"/>
  <c r="L222" i="15"/>
  <c r="L358" i="3"/>
  <c r="L360" i="3"/>
  <c r="L168" i="15"/>
  <c r="L138" i="15"/>
  <c r="L145" i="15"/>
  <c r="L158" i="15"/>
  <c r="L165" i="15"/>
  <c r="L362" i="3"/>
  <c r="L348" i="3"/>
  <c r="K146" i="15"/>
  <c r="K147" i="15"/>
  <c r="K149" i="15"/>
  <c r="L144" i="15"/>
  <c r="L152" i="15"/>
  <c r="L153" i="15"/>
  <c r="L154" i="15"/>
  <c r="K166" i="15"/>
  <c r="K167" i="15"/>
  <c r="K169" i="15"/>
  <c r="L164" i="15"/>
  <c r="L172" i="15"/>
  <c r="L173" i="15"/>
  <c r="L174" i="15"/>
  <c r="K187" i="15"/>
  <c r="K189" i="15"/>
  <c r="L185" i="15"/>
  <c r="L192" i="15"/>
  <c r="L193" i="15"/>
  <c r="L194" i="15"/>
  <c r="K205" i="15"/>
  <c r="K207" i="15"/>
  <c r="L203" i="15"/>
  <c r="L210" i="15"/>
  <c r="L211" i="15"/>
  <c r="L212" i="15"/>
  <c r="K223" i="15"/>
  <c r="K225" i="15"/>
  <c r="L221" i="15"/>
  <c r="L228" i="15"/>
  <c r="L229" i="15"/>
  <c r="L230" i="15"/>
  <c r="L347" i="3"/>
  <c r="L350" i="3"/>
  <c r="L279" i="3"/>
  <c r="L280" i="3"/>
  <c r="L351" i="3"/>
  <c r="L353" i="3"/>
  <c r="L364" i="3"/>
  <c r="L303" i="3"/>
  <c r="L187" i="15"/>
  <c r="L189" i="15"/>
  <c r="L312" i="3"/>
  <c r="L205" i="15"/>
  <c r="L207" i="15"/>
  <c r="L314" i="3"/>
  <c r="L223" i="15"/>
  <c r="L225" i="15"/>
  <c r="L315" i="3"/>
  <c r="L317" i="3"/>
  <c r="E115" i="15"/>
  <c r="H383" i="3"/>
  <c r="H384" i="3"/>
  <c r="H387" i="3"/>
  <c r="H389" i="3"/>
  <c r="G402" i="3"/>
  <c r="G403" i="3"/>
  <c r="G404" i="3"/>
  <c r="H405" i="3"/>
  <c r="H391" i="3"/>
  <c r="H390" i="3"/>
  <c r="H393" i="3"/>
  <c r="I383" i="3"/>
  <c r="I384" i="3"/>
  <c r="I387" i="3"/>
  <c r="I389" i="3"/>
  <c r="H402" i="3"/>
  <c r="H403" i="3"/>
  <c r="H404" i="3"/>
  <c r="I405" i="3"/>
  <c r="I391" i="3"/>
  <c r="I390" i="3"/>
  <c r="I393" i="3"/>
  <c r="J383" i="3"/>
  <c r="J384" i="3"/>
  <c r="J387" i="3"/>
  <c r="J389" i="3"/>
  <c r="I402" i="3"/>
  <c r="I403" i="3"/>
  <c r="I404" i="3"/>
  <c r="J405" i="3"/>
  <c r="J391" i="3"/>
  <c r="J390" i="3"/>
  <c r="J393" i="3"/>
  <c r="K383" i="3"/>
  <c r="K384" i="3"/>
  <c r="K387" i="3"/>
  <c r="K389" i="3"/>
  <c r="J402" i="3"/>
  <c r="J403" i="3"/>
  <c r="J404" i="3"/>
  <c r="K405" i="3"/>
  <c r="K391" i="3"/>
  <c r="K390" i="3"/>
  <c r="K393" i="3"/>
  <c r="L383" i="3"/>
  <c r="L384" i="3"/>
  <c r="L387" i="3"/>
  <c r="L389" i="3"/>
  <c r="K402" i="3"/>
  <c r="K403" i="3"/>
  <c r="K404" i="3"/>
  <c r="L405" i="3"/>
  <c r="L391" i="3"/>
  <c r="L390" i="3"/>
  <c r="L393" i="3"/>
  <c r="M19" i="3"/>
  <c r="M42" i="3"/>
  <c r="M43" i="3"/>
  <c r="M44" i="3"/>
  <c r="M45" i="3"/>
  <c r="M46" i="3"/>
  <c r="M47" i="3"/>
  <c r="M48" i="3"/>
  <c r="M49" i="3"/>
  <c r="M50" i="3"/>
  <c r="M51" i="3"/>
  <c r="M52" i="3"/>
  <c r="M53" i="3"/>
  <c r="M54" i="3"/>
  <c r="M55" i="3"/>
  <c r="M56" i="3"/>
  <c r="M57" i="3"/>
  <c r="M58" i="3"/>
  <c r="M36" i="3"/>
  <c r="M59" i="3"/>
  <c r="M60" i="3"/>
  <c r="M61" i="3"/>
  <c r="M62" i="3"/>
  <c r="M63" i="3"/>
  <c r="M65" i="3"/>
  <c r="M160" i="3"/>
  <c r="M68" i="3"/>
  <c r="M105" i="3"/>
  <c r="M106" i="3"/>
  <c r="M107" i="3"/>
  <c r="M108" i="3"/>
  <c r="M109" i="3"/>
  <c r="M110" i="3"/>
  <c r="M111" i="3"/>
  <c r="M112" i="3"/>
  <c r="M113" i="3"/>
  <c r="M114" i="3"/>
  <c r="M115" i="3"/>
  <c r="M116" i="3"/>
  <c r="M117" i="3"/>
  <c r="M118" i="3"/>
  <c r="M119" i="3"/>
  <c r="M83" i="3"/>
  <c r="M120" i="3"/>
  <c r="M121" i="3"/>
  <c r="M122" i="3"/>
  <c r="M123" i="3"/>
  <c r="M124" i="3"/>
  <c r="M125" i="3"/>
  <c r="M126" i="3"/>
  <c r="M127" i="3"/>
  <c r="M128" i="3"/>
  <c r="M129" i="3"/>
  <c r="M130" i="3"/>
  <c r="M131" i="3"/>
  <c r="M132" i="3"/>
  <c r="M133" i="3"/>
  <c r="M134" i="3"/>
  <c r="M135" i="3"/>
  <c r="M136" i="3"/>
  <c r="M137" i="3"/>
  <c r="M138" i="3"/>
  <c r="M139" i="3"/>
  <c r="M140" i="3"/>
  <c r="M142" i="3"/>
  <c r="M161" i="3"/>
  <c r="M163" i="3"/>
  <c r="M271" i="3"/>
  <c r="M194" i="3"/>
  <c r="M213" i="3"/>
  <c r="M201" i="3"/>
  <c r="M195" i="3"/>
  <c r="M202" i="3"/>
  <c r="M197" i="3"/>
  <c r="M198" i="3"/>
  <c r="M199" i="3"/>
  <c r="M200" i="3"/>
  <c r="M204" i="3"/>
  <c r="M210" i="3"/>
  <c r="M179" i="3"/>
  <c r="M180" i="3"/>
  <c r="M181" i="3"/>
  <c r="M182" i="3"/>
  <c r="M186" i="3"/>
  <c r="M177" i="17"/>
  <c r="M167" i="17"/>
  <c r="M235" i="17"/>
  <c r="M167" i="3"/>
  <c r="M169" i="3"/>
  <c r="M206" i="3"/>
  <c r="M270" i="3"/>
  <c r="M275" i="3"/>
  <c r="M238" i="3"/>
  <c r="M217" i="3"/>
  <c r="M220" i="3"/>
  <c r="M222" i="3"/>
  <c r="M253" i="3"/>
  <c r="M239" i="3"/>
  <c r="M223" i="3"/>
  <c r="M254" i="3"/>
  <c r="M240" i="3"/>
  <c r="M224" i="3"/>
  <c r="M255" i="3"/>
  <c r="M237" i="3"/>
  <c r="M246" i="3"/>
  <c r="M261" i="3"/>
  <c r="M225" i="3"/>
  <c r="M256" i="3"/>
  <c r="M226" i="3"/>
  <c r="M257" i="3"/>
  <c r="M227" i="3"/>
  <c r="M258" i="3"/>
  <c r="M228" i="3"/>
  <c r="M259" i="3"/>
  <c r="M229" i="3"/>
  <c r="M260" i="3"/>
  <c r="M215" i="3"/>
  <c r="M219" i="3"/>
  <c r="M251" i="3"/>
  <c r="M221" i="3"/>
  <c r="M236" i="3"/>
  <c r="M252" i="3"/>
  <c r="M262" i="3"/>
  <c r="M263" i="3"/>
  <c r="M231" i="3"/>
  <c r="M264" i="3"/>
  <c r="M266" i="3"/>
  <c r="M268" i="3"/>
  <c r="M277" i="3"/>
  <c r="M383" i="3"/>
  <c r="M384" i="3"/>
  <c r="M387" i="3"/>
  <c r="M144" i="3"/>
  <c r="M147" i="3"/>
  <c r="M148" i="3"/>
  <c r="M153" i="3"/>
  <c r="M155" i="3"/>
  <c r="M157" i="3"/>
  <c r="M389" i="3"/>
  <c r="L402" i="3"/>
  <c r="L403" i="3"/>
  <c r="L404" i="3"/>
  <c r="M405" i="3"/>
  <c r="M391" i="3"/>
  <c r="M367" i="3"/>
  <c r="M369" i="3"/>
  <c r="M368" i="3"/>
  <c r="M370" i="3"/>
  <c r="M372" i="3"/>
  <c r="M342" i="3"/>
  <c r="M390" i="3"/>
  <c r="M393" i="3"/>
  <c r="N19" i="3"/>
  <c r="N42" i="3"/>
  <c r="N43" i="3"/>
  <c r="N44" i="3"/>
  <c r="N45" i="3"/>
  <c r="N46" i="3"/>
  <c r="N47" i="3"/>
  <c r="N48" i="3"/>
  <c r="N49" i="3"/>
  <c r="N50" i="3"/>
  <c r="N51" i="3"/>
  <c r="N52" i="3"/>
  <c r="N53" i="3"/>
  <c r="N54" i="3"/>
  <c r="N55" i="3"/>
  <c r="N56" i="3"/>
  <c r="N57" i="3"/>
  <c r="N58" i="3"/>
  <c r="N36" i="3"/>
  <c r="N59" i="3"/>
  <c r="N60" i="3"/>
  <c r="N61" i="3"/>
  <c r="N62" i="3"/>
  <c r="N63" i="3"/>
  <c r="N65" i="3"/>
  <c r="N160" i="3"/>
  <c r="N68" i="3"/>
  <c r="N105" i="3"/>
  <c r="N106" i="3"/>
  <c r="N107" i="3"/>
  <c r="N108" i="3"/>
  <c r="N109" i="3"/>
  <c r="N110" i="3"/>
  <c r="N111" i="3"/>
  <c r="N112" i="3"/>
  <c r="N113" i="3"/>
  <c r="N114" i="3"/>
  <c r="N115" i="3"/>
  <c r="N116" i="3"/>
  <c r="N117" i="3"/>
  <c r="N118" i="3"/>
  <c r="N119" i="3"/>
  <c r="N83" i="3"/>
  <c r="N120" i="3"/>
  <c r="N121" i="3"/>
  <c r="N122" i="3"/>
  <c r="N123" i="3"/>
  <c r="N124" i="3"/>
  <c r="N125" i="3"/>
  <c r="N126" i="3"/>
  <c r="N127" i="3"/>
  <c r="N128" i="3"/>
  <c r="N129" i="3"/>
  <c r="N130" i="3"/>
  <c r="N131" i="3"/>
  <c r="N132" i="3"/>
  <c r="N133" i="3"/>
  <c r="N134" i="3"/>
  <c r="N135" i="3"/>
  <c r="N136" i="3"/>
  <c r="N137" i="3"/>
  <c r="N138" i="3"/>
  <c r="N139" i="3"/>
  <c r="N140" i="3"/>
  <c r="N142" i="3"/>
  <c r="N161" i="3"/>
  <c r="N163" i="3"/>
  <c r="N271" i="3"/>
  <c r="N194" i="3"/>
  <c r="N213" i="3"/>
  <c r="N201" i="3"/>
  <c r="N195" i="3"/>
  <c r="N202" i="3"/>
  <c r="N197" i="3"/>
  <c r="N198" i="3"/>
  <c r="N199" i="3"/>
  <c r="N200" i="3"/>
  <c r="N204" i="3"/>
  <c r="N210" i="3"/>
  <c r="N179" i="3"/>
  <c r="N180" i="3"/>
  <c r="N181" i="3"/>
  <c r="N182" i="3"/>
  <c r="N186" i="3"/>
  <c r="N177" i="17"/>
  <c r="N167" i="17"/>
  <c r="N235" i="17"/>
  <c r="N167" i="3"/>
  <c r="N169" i="3"/>
  <c r="N206" i="3"/>
  <c r="N270" i="3"/>
  <c r="N275" i="3"/>
  <c r="N238" i="3"/>
  <c r="N217" i="3"/>
  <c r="N220" i="3"/>
  <c r="N222" i="3"/>
  <c r="N253" i="3"/>
  <c r="N239" i="3"/>
  <c r="N223" i="3"/>
  <c r="N254" i="3"/>
  <c r="N240" i="3"/>
  <c r="N224" i="3"/>
  <c r="N255" i="3"/>
  <c r="N237" i="3"/>
  <c r="N246" i="3"/>
  <c r="N261" i="3"/>
  <c r="N225" i="3"/>
  <c r="N256" i="3"/>
  <c r="N226" i="3"/>
  <c r="N257" i="3"/>
  <c r="N227" i="3"/>
  <c r="N258" i="3"/>
  <c r="N228" i="3"/>
  <c r="N259" i="3"/>
  <c r="N229" i="3"/>
  <c r="N260" i="3"/>
  <c r="N215" i="3"/>
  <c r="N219" i="3"/>
  <c r="N251" i="3"/>
  <c r="N221" i="3"/>
  <c r="N236" i="3"/>
  <c r="N252" i="3"/>
  <c r="N262" i="3"/>
  <c r="N263" i="3"/>
  <c r="N231" i="3"/>
  <c r="N264" i="3"/>
  <c r="N266" i="3"/>
  <c r="N268" i="3"/>
  <c r="N277" i="3"/>
  <c r="N383" i="3"/>
  <c r="N384" i="3"/>
  <c r="N387" i="3"/>
  <c r="N144" i="3"/>
  <c r="N147" i="3"/>
  <c r="N148" i="3"/>
  <c r="N153" i="3"/>
  <c r="N155" i="3"/>
  <c r="N157" i="3"/>
  <c r="N389" i="3"/>
  <c r="M402" i="3"/>
  <c r="M403" i="3"/>
  <c r="M404" i="3"/>
  <c r="N405" i="3"/>
  <c r="N391" i="3"/>
  <c r="N367" i="3"/>
  <c r="N369" i="3"/>
  <c r="N368" i="3"/>
  <c r="N370" i="3"/>
  <c r="N372" i="3"/>
  <c r="N342" i="3"/>
  <c r="N390" i="3"/>
  <c r="N393" i="3"/>
  <c r="O19" i="3"/>
  <c r="O42" i="3"/>
  <c r="O43" i="3"/>
  <c r="O44" i="3"/>
  <c r="O45" i="3"/>
  <c r="O46" i="3"/>
  <c r="O47" i="3"/>
  <c r="O48" i="3"/>
  <c r="O49" i="3"/>
  <c r="O50" i="3"/>
  <c r="O51" i="3"/>
  <c r="O52" i="3"/>
  <c r="O53" i="3"/>
  <c r="O54" i="3"/>
  <c r="O55" i="3"/>
  <c r="O56" i="3"/>
  <c r="O57" i="3"/>
  <c r="O58" i="3"/>
  <c r="O36" i="3"/>
  <c r="O59" i="3"/>
  <c r="O60" i="3"/>
  <c r="O61" i="3"/>
  <c r="O62" i="3"/>
  <c r="O63" i="3"/>
  <c r="O65" i="3"/>
  <c r="O160" i="3"/>
  <c r="O68" i="3"/>
  <c r="O105" i="3"/>
  <c r="O106" i="3"/>
  <c r="O107" i="3"/>
  <c r="O108" i="3"/>
  <c r="O109" i="3"/>
  <c r="O110" i="3"/>
  <c r="O111" i="3"/>
  <c r="O112" i="3"/>
  <c r="O113" i="3"/>
  <c r="O114" i="3"/>
  <c r="O115" i="3"/>
  <c r="O116" i="3"/>
  <c r="O117" i="3"/>
  <c r="O118" i="3"/>
  <c r="O119" i="3"/>
  <c r="O83" i="3"/>
  <c r="O120" i="3"/>
  <c r="O121" i="3"/>
  <c r="O122" i="3"/>
  <c r="O123" i="3"/>
  <c r="O124" i="3"/>
  <c r="O125" i="3"/>
  <c r="O126" i="3"/>
  <c r="O127" i="3"/>
  <c r="O128" i="3"/>
  <c r="O129" i="3"/>
  <c r="O130" i="3"/>
  <c r="O131" i="3"/>
  <c r="O132" i="3"/>
  <c r="O133" i="3"/>
  <c r="O134" i="3"/>
  <c r="O135" i="3"/>
  <c r="O136" i="3"/>
  <c r="O137" i="3"/>
  <c r="O138" i="3"/>
  <c r="O139" i="3"/>
  <c r="O140" i="3"/>
  <c r="O142" i="3"/>
  <c r="O161" i="3"/>
  <c r="O163" i="3"/>
  <c r="O271" i="3"/>
  <c r="O194" i="3"/>
  <c r="O213" i="3"/>
  <c r="O201" i="3"/>
  <c r="O195" i="3"/>
  <c r="O202" i="3"/>
  <c r="O197" i="3"/>
  <c r="O198" i="3"/>
  <c r="O199" i="3"/>
  <c r="O200" i="3"/>
  <c r="O204" i="3"/>
  <c r="O210" i="3"/>
  <c r="O179" i="3"/>
  <c r="O180" i="3"/>
  <c r="O181" i="3"/>
  <c r="O182" i="3"/>
  <c r="O186" i="3"/>
  <c r="O177" i="17"/>
  <c r="O167" i="17"/>
  <c r="O235" i="17"/>
  <c r="O167" i="3"/>
  <c r="O169" i="3"/>
  <c r="O206" i="3"/>
  <c r="O270" i="3"/>
  <c r="O275" i="3"/>
  <c r="O238" i="3"/>
  <c r="O217" i="3"/>
  <c r="O220" i="3"/>
  <c r="O222" i="3"/>
  <c r="O253" i="3"/>
  <c r="O239" i="3"/>
  <c r="O223" i="3"/>
  <c r="O254" i="3"/>
  <c r="O240" i="3"/>
  <c r="O224" i="3"/>
  <c r="O255" i="3"/>
  <c r="O237" i="3"/>
  <c r="O246" i="3"/>
  <c r="O261" i="3"/>
  <c r="O225" i="3"/>
  <c r="O256" i="3"/>
  <c r="O226" i="3"/>
  <c r="O257" i="3"/>
  <c r="O227" i="3"/>
  <c r="O258" i="3"/>
  <c r="O228" i="3"/>
  <c r="O259" i="3"/>
  <c r="O229" i="3"/>
  <c r="O260" i="3"/>
  <c r="O215" i="3"/>
  <c r="O219" i="3"/>
  <c r="O251" i="3"/>
  <c r="O221" i="3"/>
  <c r="O236" i="3"/>
  <c r="O252" i="3"/>
  <c r="O262" i="3"/>
  <c r="O263" i="3"/>
  <c r="O231" i="3"/>
  <c r="O264" i="3"/>
  <c r="O266" i="3"/>
  <c r="O268" i="3"/>
  <c r="O277" i="3"/>
  <c r="O383" i="3"/>
  <c r="O384" i="3"/>
  <c r="O387" i="3"/>
  <c r="O144" i="3"/>
  <c r="O147" i="3"/>
  <c r="O148" i="3"/>
  <c r="O153" i="3"/>
  <c r="O155" i="3"/>
  <c r="O157" i="3"/>
  <c r="O389" i="3"/>
  <c r="N402" i="3"/>
  <c r="N403" i="3"/>
  <c r="N404" i="3"/>
  <c r="O405" i="3"/>
  <c r="O391" i="3"/>
  <c r="O367" i="3"/>
  <c r="O369" i="3"/>
  <c r="O368" i="3"/>
  <c r="O370" i="3"/>
  <c r="O372" i="3"/>
  <c r="O342" i="3"/>
  <c r="O390" i="3"/>
  <c r="O393" i="3"/>
  <c r="P19" i="3"/>
  <c r="P42" i="3"/>
  <c r="P43" i="3"/>
  <c r="P44" i="3"/>
  <c r="P45" i="3"/>
  <c r="P46" i="3"/>
  <c r="P47" i="3"/>
  <c r="P48" i="3"/>
  <c r="P49" i="3"/>
  <c r="P50" i="3"/>
  <c r="P51" i="3"/>
  <c r="P52" i="3"/>
  <c r="P53" i="3"/>
  <c r="P54" i="3"/>
  <c r="P55" i="3"/>
  <c r="P56" i="3"/>
  <c r="P57" i="3"/>
  <c r="P58" i="3"/>
  <c r="P36" i="3"/>
  <c r="P59" i="3"/>
  <c r="P60" i="3"/>
  <c r="P61" i="3"/>
  <c r="P62" i="3"/>
  <c r="P63" i="3"/>
  <c r="P65" i="3"/>
  <c r="P160" i="3"/>
  <c r="P68" i="3"/>
  <c r="P105" i="3"/>
  <c r="P106" i="3"/>
  <c r="P107" i="3"/>
  <c r="P108" i="3"/>
  <c r="P109" i="3"/>
  <c r="P110" i="3"/>
  <c r="P111" i="3"/>
  <c r="P112" i="3"/>
  <c r="P113" i="3"/>
  <c r="P114" i="3"/>
  <c r="P115" i="3"/>
  <c r="P116" i="3"/>
  <c r="P117" i="3"/>
  <c r="P118" i="3"/>
  <c r="P119" i="3"/>
  <c r="P83" i="3"/>
  <c r="P120" i="3"/>
  <c r="P121" i="3"/>
  <c r="P122" i="3"/>
  <c r="P123" i="3"/>
  <c r="P124" i="3"/>
  <c r="P125" i="3"/>
  <c r="P126" i="3"/>
  <c r="P127" i="3"/>
  <c r="P128" i="3"/>
  <c r="P129" i="3"/>
  <c r="P130" i="3"/>
  <c r="P131" i="3"/>
  <c r="P132" i="3"/>
  <c r="P133" i="3"/>
  <c r="P134" i="3"/>
  <c r="P135" i="3"/>
  <c r="P136" i="3"/>
  <c r="P137" i="3"/>
  <c r="P138" i="3"/>
  <c r="P139" i="3"/>
  <c r="P140" i="3"/>
  <c r="P142" i="3"/>
  <c r="P161" i="3"/>
  <c r="P163" i="3"/>
  <c r="P271" i="3"/>
  <c r="P194" i="3"/>
  <c r="P213" i="3"/>
  <c r="P201" i="3"/>
  <c r="P195" i="3"/>
  <c r="P202" i="3"/>
  <c r="P197" i="3"/>
  <c r="P198" i="3"/>
  <c r="P199" i="3"/>
  <c r="P200" i="3"/>
  <c r="P204" i="3"/>
  <c r="P210" i="3"/>
  <c r="P179" i="3"/>
  <c r="P180" i="3"/>
  <c r="P181" i="3"/>
  <c r="P182" i="3"/>
  <c r="P186" i="3"/>
  <c r="P177" i="17"/>
  <c r="P167" i="17"/>
  <c r="P235" i="17"/>
  <c r="P167" i="3"/>
  <c r="P169" i="3"/>
  <c r="P206" i="3"/>
  <c r="P270" i="3"/>
  <c r="P275" i="3"/>
  <c r="P238" i="3"/>
  <c r="P217" i="3"/>
  <c r="P220" i="3"/>
  <c r="P222" i="3"/>
  <c r="P253" i="3"/>
  <c r="P239" i="3"/>
  <c r="P223" i="3"/>
  <c r="P254" i="3"/>
  <c r="P240" i="3"/>
  <c r="P224" i="3"/>
  <c r="P255" i="3"/>
  <c r="P237" i="3"/>
  <c r="P246" i="3"/>
  <c r="P261" i="3"/>
  <c r="P225" i="3"/>
  <c r="P256" i="3"/>
  <c r="P226" i="3"/>
  <c r="P257" i="3"/>
  <c r="P227" i="3"/>
  <c r="P258" i="3"/>
  <c r="P228" i="3"/>
  <c r="P259" i="3"/>
  <c r="P229" i="3"/>
  <c r="P260" i="3"/>
  <c r="P215" i="3"/>
  <c r="P219" i="3"/>
  <c r="P251" i="3"/>
  <c r="P221" i="3"/>
  <c r="P236" i="3"/>
  <c r="P252" i="3"/>
  <c r="P262" i="3"/>
  <c r="P263" i="3"/>
  <c r="P231" i="3"/>
  <c r="P264" i="3"/>
  <c r="P266" i="3"/>
  <c r="P268" i="3"/>
  <c r="P277" i="3"/>
  <c r="P383" i="3"/>
  <c r="P384" i="3"/>
  <c r="P387" i="3"/>
  <c r="P144" i="3"/>
  <c r="P147" i="3"/>
  <c r="P148" i="3"/>
  <c r="P153" i="3"/>
  <c r="P155" i="3"/>
  <c r="P157" i="3"/>
  <c r="P389" i="3"/>
  <c r="O402" i="3"/>
  <c r="O403" i="3"/>
  <c r="O404" i="3"/>
  <c r="P405" i="3"/>
  <c r="P391" i="3"/>
  <c r="P367" i="3"/>
  <c r="P369" i="3"/>
  <c r="P368" i="3"/>
  <c r="P370" i="3"/>
  <c r="P372" i="3"/>
  <c r="P342" i="3"/>
  <c r="P390" i="3"/>
  <c r="P393" i="3"/>
  <c r="Q19" i="3"/>
  <c r="Q42" i="3"/>
  <c r="Q43" i="3"/>
  <c r="Q44" i="3"/>
  <c r="Q45" i="3"/>
  <c r="Q46" i="3"/>
  <c r="Q47" i="3"/>
  <c r="Q48" i="3"/>
  <c r="Q49" i="3"/>
  <c r="Q50" i="3"/>
  <c r="Q51" i="3"/>
  <c r="Q52" i="3"/>
  <c r="Q53" i="3"/>
  <c r="Q54" i="3"/>
  <c r="Q55" i="3"/>
  <c r="Q56" i="3"/>
  <c r="Q57" i="3"/>
  <c r="Q58" i="3"/>
  <c r="Q36" i="3"/>
  <c r="Q59" i="3"/>
  <c r="Q60" i="3"/>
  <c r="Q61" i="3"/>
  <c r="Q62" i="3"/>
  <c r="Q63" i="3"/>
  <c r="Q65" i="3"/>
  <c r="Q160" i="3"/>
  <c r="Q68" i="3"/>
  <c r="Q105" i="3"/>
  <c r="Q106" i="3"/>
  <c r="Q107" i="3"/>
  <c r="Q108" i="3"/>
  <c r="Q109" i="3"/>
  <c r="Q110" i="3"/>
  <c r="Q111" i="3"/>
  <c r="Q112" i="3"/>
  <c r="Q113" i="3"/>
  <c r="Q114" i="3"/>
  <c r="Q115" i="3"/>
  <c r="Q116" i="3"/>
  <c r="Q117" i="3"/>
  <c r="Q118" i="3"/>
  <c r="Q119" i="3"/>
  <c r="Q83" i="3"/>
  <c r="Q120" i="3"/>
  <c r="Q121" i="3"/>
  <c r="Q122" i="3"/>
  <c r="Q123" i="3"/>
  <c r="Q124" i="3"/>
  <c r="Q125" i="3"/>
  <c r="Q126" i="3"/>
  <c r="Q127" i="3"/>
  <c r="Q128" i="3"/>
  <c r="Q129" i="3"/>
  <c r="Q130" i="3"/>
  <c r="Q131" i="3"/>
  <c r="Q132" i="3"/>
  <c r="Q133" i="3"/>
  <c r="Q134" i="3"/>
  <c r="Q135" i="3"/>
  <c r="Q136" i="3"/>
  <c r="Q137" i="3"/>
  <c r="Q138" i="3"/>
  <c r="Q139" i="3"/>
  <c r="Q140" i="3"/>
  <c r="Q142" i="3"/>
  <c r="Q161" i="3"/>
  <c r="Q163" i="3"/>
  <c r="Q271" i="3"/>
  <c r="Q194" i="3"/>
  <c r="Q213" i="3"/>
  <c r="Q201" i="3"/>
  <c r="Q195" i="3"/>
  <c r="Q202" i="3"/>
  <c r="Q197" i="3"/>
  <c r="Q198" i="3"/>
  <c r="Q199" i="3"/>
  <c r="Q200" i="3"/>
  <c r="Q204" i="3"/>
  <c r="Q210" i="3"/>
  <c r="Q179" i="3"/>
  <c r="Q180" i="3"/>
  <c r="Q181" i="3"/>
  <c r="Q182" i="3"/>
  <c r="Q186" i="3"/>
  <c r="Q177" i="17"/>
  <c r="Q167" i="17"/>
  <c r="Q235" i="17"/>
  <c r="Q167" i="3"/>
  <c r="Q169" i="3"/>
  <c r="Q206" i="3"/>
  <c r="Q270" i="3"/>
  <c r="Q275" i="3"/>
  <c r="Q238" i="3"/>
  <c r="Q217" i="3"/>
  <c r="Q220" i="3"/>
  <c r="Q222" i="3"/>
  <c r="Q253" i="3"/>
  <c r="Q239" i="3"/>
  <c r="Q223" i="3"/>
  <c r="Q254" i="3"/>
  <c r="Q240" i="3"/>
  <c r="Q224" i="3"/>
  <c r="Q255" i="3"/>
  <c r="Q237" i="3"/>
  <c r="Q246" i="3"/>
  <c r="Q261" i="3"/>
  <c r="Q225" i="3"/>
  <c r="Q256" i="3"/>
  <c r="Q226" i="3"/>
  <c r="Q257" i="3"/>
  <c r="Q227" i="3"/>
  <c r="Q258" i="3"/>
  <c r="Q228" i="3"/>
  <c r="Q259" i="3"/>
  <c r="Q229" i="3"/>
  <c r="Q260" i="3"/>
  <c r="Q215" i="3"/>
  <c r="Q219" i="3"/>
  <c r="Q251" i="3"/>
  <c r="Q221" i="3"/>
  <c r="Q236" i="3"/>
  <c r="Q252" i="3"/>
  <c r="Q262" i="3"/>
  <c r="Q263" i="3"/>
  <c r="Q231" i="3"/>
  <c r="Q264" i="3"/>
  <c r="Q266" i="3"/>
  <c r="Q268" i="3"/>
  <c r="Q277" i="3"/>
  <c r="Q383" i="3"/>
  <c r="Q384" i="3"/>
  <c r="Q387" i="3"/>
  <c r="Q144" i="3"/>
  <c r="Q147" i="3"/>
  <c r="Q148" i="3"/>
  <c r="Q153" i="3"/>
  <c r="Q155" i="3"/>
  <c r="Q157" i="3"/>
  <c r="Q389" i="3"/>
  <c r="P402" i="3"/>
  <c r="P403" i="3"/>
  <c r="P404" i="3"/>
  <c r="Q405" i="3"/>
  <c r="Q391" i="3"/>
  <c r="Q367" i="3"/>
  <c r="Q369" i="3"/>
  <c r="Q368" i="3"/>
  <c r="Q370" i="3"/>
  <c r="Q372" i="3"/>
  <c r="Q342" i="3"/>
  <c r="Q390" i="3"/>
  <c r="Q393" i="3"/>
  <c r="R19" i="3"/>
  <c r="R42" i="3"/>
  <c r="R43" i="3"/>
  <c r="R44" i="3"/>
  <c r="R45" i="3"/>
  <c r="R46" i="3"/>
  <c r="R47" i="3"/>
  <c r="R48" i="3"/>
  <c r="R49" i="3"/>
  <c r="R50" i="3"/>
  <c r="R51" i="3"/>
  <c r="R52" i="3"/>
  <c r="R53" i="3"/>
  <c r="R54" i="3"/>
  <c r="R55" i="3"/>
  <c r="R56" i="3"/>
  <c r="R57" i="3"/>
  <c r="R58" i="3"/>
  <c r="R36" i="3"/>
  <c r="R59" i="3"/>
  <c r="R60" i="3"/>
  <c r="R61" i="3"/>
  <c r="R62" i="3"/>
  <c r="R63" i="3"/>
  <c r="R65" i="3"/>
  <c r="R160" i="3"/>
  <c r="R68" i="3"/>
  <c r="R105" i="3"/>
  <c r="R106" i="3"/>
  <c r="R107" i="3"/>
  <c r="R108" i="3"/>
  <c r="R109" i="3"/>
  <c r="R110" i="3"/>
  <c r="R111" i="3"/>
  <c r="R112" i="3"/>
  <c r="R113" i="3"/>
  <c r="R114" i="3"/>
  <c r="R115" i="3"/>
  <c r="R116" i="3"/>
  <c r="R117" i="3"/>
  <c r="R118" i="3"/>
  <c r="R119" i="3"/>
  <c r="R83" i="3"/>
  <c r="R120" i="3"/>
  <c r="R121" i="3"/>
  <c r="R122" i="3"/>
  <c r="R123" i="3"/>
  <c r="R124" i="3"/>
  <c r="R125" i="3"/>
  <c r="R126" i="3"/>
  <c r="R127" i="3"/>
  <c r="R128" i="3"/>
  <c r="R129" i="3"/>
  <c r="R130" i="3"/>
  <c r="R131" i="3"/>
  <c r="R132" i="3"/>
  <c r="R133" i="3"/>
  <c r="R134" i="3"/>
  <c r="R135" i="3"/>
  <c r="R136" i="3"/>
  <c r="R137" i="3"/>
  <c r="R138" i="3"/>
  <c r="R139" i="3"/>
  <c r="R140" i="3"/>
  <c r="R142" i="3"/>
  <c r="R161" i="3"/>
  <c r="R163" i="3"/>
  <c r="R271" i="3"/>
  <c r="R194" i="3"/>
  <c r="R213" i="3"/>
  <c r="R201" i="3"/>
  <c r="R195" i="3"/>
  <c r="R202" i="3"/>
  <c r="R197" i="3"/>
  <c r="R198" i="3"/>
  <c r="R199" i="3"/>
  <c r="R200" i="3"/>
  <c r="R204" i="3"/>
  <c r="R210" i="3"/>
  <c r="R179" i="3"/>
  <c r="R180" i="3"/>
  <c r="R181" i="3"/>
  <c r="R182" i="3"/>
  <c r="R186" i="3"/>
  <c r="R177" i="17"/>
  <c r="R167" i="17"/>
  <c r="R235" i="17"/>
  <c r="R167" i="3"/>
  <c r="R169" i="3"/>
  <c r="R206" i="3"/>
  <c r="R270" i="3"/>
  <c r="R275" i="3"/>
  <c r="R238" i="3"/>
  <c r="R217" i="3"/>
  <c r="R220" i="3"/>
  <c r="R222" i="3"/>
  <c r="R253" i="3"/>
  <c r="R239" i="3"/>
  <c r="R223" i="3"/>
  <c r="R254" i="3"/>
  <c r="R240" i="3"/>
  <c r="R224" i="3"/>
  <c r="R255" i="3"/>
  <c r="R237" i="3"/>
  <c r="R246" i="3"/>
  <c r="R261" i="3"/>
  <c r="R225" i="3"/>
  <c r="R256" i="3"/>
  <c r="R226" i="3"/>
  <c r="R257" i="3"/>
  <c r="R227" i="3"/>
  <c r="R258" i="3"/>
  <c r="R228" i="3"/>
  <c r="R259" i="3"/>
  <c r="R229" i="3"/>
  <c r="R260" i="3"/>
  <c r="R215" i="3"/>
  <c r="R219" i="3"/>
  <c r="R251" i="3"/>
  <c r="R221" i="3"/>
  <c r="R236" i="3"/>
  <c r="R252" i="3"/>
  <c r="R262" i="3"/>
  <c r="R263" i="3"/>
  <c r="R231" i="3"/>
  <c r="R264" i="3"/>
  <c r="R266" i="3"/>
  <c r="R268" i="3"/>
  <c r="R277" i="3"/>
  <c r="R383" i="3"/>
  <c r="R384" i="3"/>
  <c r="R387" i="3"/>
  <c r="R144" i="3"/>
  <c r="R147" i="3"/>
  <c r="R148" i="3"/>
  <c r="R153" i="3"/>
  <c r="R155" i="3"/>
  <c r="R157" i="3"/>
  <c r="R389" i="3"/>
  <c r="Q402" i="3"/>
  <c r="Q403" i="3"/>
  <c r="Q404" i="3"/>
  <c r="R405" i="3"/>
  <c r="R391" i="3"/>
  <c r="R367" i="3"/>
  <c r="R369" i="3"/>
  <c r="R368" i="3"/>
  <c r="R370" i="3"/>
  <c r="R372" i="3"/>
  <c r="R342" i="3"/>
  <c r="R390" i="3"/>
  <c r="R393" i="3"/>
  <c r="S19" i="3"/>
  <c r="S42" i="3"/>
  <c r="S43" i="3"/>
  <c r="S44" i="3"/>
  <c r="S45" i="3"/>
  <c r="S46" i="3"/>
  <c r="S47" i="3"/>
  <c r="S48" i="3"/>
  <c r="S49" i="3"/>
  <c r="S50" i="3"/>
  <c r="S51" i="3"/>
  <c r="S52" i="3"/>
  <c r="S53" i="3"/>
  <c r="S54" i="3"/>
  <c r="S55" i="3"/>
  <c r="S56" i="3"/>
  <c r="S57" i="3"/>
  <c r="S58" i="3"/>
  <c r="S36" i="3"/>
  <c r="S59" i="3"/>
  <c r="S60" i="3"/>
  <c r="S61" i="3"/>
  <c r="S62" i="3"/>
  <c r="S63" i="3"/>
  <c r="S65" i="3"/>
  <c r="S160" i="3"/>
  <c r="S68" i="3"/>
  <c r="S105" i="3"/>
  <c r="S106" i="3"/>
  <c r="S107" i="3"/>
  <c r="S108" i="3"/>
  <c r="S109" i="3"/>
  <c r="S110" i="3"/>
  <c r="S111" i="3"/>
  <c r="S112" i="3"/>
  <c r="S113" i="3"/>
  <c r="S114" i="3"/>
  <c r="S115" i="3"/>
  <c r="S116" i="3"/>
  <c r="S117" i="3"/>
  <c r="S118" i="3"/>
  <c r="S119" i="3"/>
  <c r="S83" i="3"/>
  <c r="S120" i="3"/>
  <c r="S121" i="3"/>
  <c r="S122" i="3"/>
  <c r="S123" i="3"/>
  <c r="S124" i="3"/>
  <c r="S125" i="3"/>
  <c r="S126" i="3"/>
  <c r="S127" i="3"/>
  <c r="S128" i="3"/>
  <c r="S129" i="3"/>
  <c r="S130" i="3"/>
  <c r="S131" i="3"/>
  <c r="S132" i="3"/>
  <c r="S133" i="3"/>
  <c r="S134" i="3"/>
  <c r="S135" i="3"/>
  <c r="S136" i="3"/>
  <c r="S137" i="3"/>
  <c r="S138" i="3"/>
  <c r="S139" i="3"/>
  <c r="S140" i="3"/>
  <c r="S142" i="3"/>
  <c r="S161" i="3"/>
  <c r="S163" i="3"/>
  <c r="S271" i="3"/>
  <c r="S194" i="3"/>
  <c r="S213" i="3"/>
  <c r="S201" i="3"/>
  <c r="S195" i="3"/>
  <c r="S202" i="3"/>
  <c r="S197" i="3"/>
  <c r="S198" i="3"/>
  <c r="S199" i="3"/>
  <c r="S200" i="3"/>
  <c r="S204" i="3"/>
  <c r="S210" i="3"/>
  <c r="S179" i="3"/>
  <c r="S180" i="3"/>
  <c r="S181" i="3"/>
  <c r="S182" i="3"/>
  <c r="S186" i="3"/>
  <c r="S177" i="17"/>
  <c r="S167" i="17"/>
  <c r="S235" i="17"/>
  <c r="S167" i="3"/>
  <c r="S169" i="3"/>
  <c r="S206" i="3"/>
  <c r="S270" i="3"/>
  <c r="S275" i="3"/>
  <c r="S238" i="3"/>
  <c r="S217" i="3"/>
  <c r="S220" i="3"/>
  <c r="S222" i="3"/>
  <c r="S253" i="3"/>
  <c r="S239" i="3"/>
  <c r="S223" i="3"/>
  <c r="S254" i="3"/>
  <c r="S240" i="3"/>
  <c r="S224" i="3"/>
  <c r="S255" i="3"/>
  <c r="S237" i="3"/>
  <c r="S246" i="3"/>
  <c r="S261" i="3"/>
  <c r="S225" i="3"/>
  <c r="S256" i="3"/>
  <c r="S226" i="3"/>
  <c r="S257" i="3"/>
  <c r="S227" i="3"/>
  <c r="S258" i="3"/>
  <c r="S228" i="3"/>
  <c r="S259" i="3"/>
  <c r="S229" i="3"/>
  <c r="S260" i="3"/>
  <c r="S215" i="3"/>
  <c r="S219" i="3"/>
  <c r="S251" i="3"/>
  <c r="S221" i="3"/>
  <c r="S236" i="3"/>
  <c r="S252" i="3"/>
  <c r="S262" i="3"/>
  <c r="S263" i="3"/>
  <c r="S231" i="3"/>
  <c r="S264" i="3"/>
  <c r="S266" i="3"/>
  <c r="S268" i="3"/>
  <c r="S277" i="3"/>
  <c r="S383" i="3"/>
  <c r="S384" i="3"/>
  <c r="S387" i="3"/>
  <c r="S144" i="3"/>
  <c r="S147" i="3"/>
  <c r="S148" i="3"/>
  <c r="S153" i="3"/>
  <c r="S155" i="3"/>
  <c r="S157" i="3"/>
  <c r="S389" i="3"/>
  <c r="R402" i="3"/>
  <c r="R403" i="3"/>
  <c r="R404" i="3"/>
  <c r="S405" i="3"/>
  <c r="S391" i="3"/>
  <c r="S367" i="3"/>
  <c r="S369" i="3"/>
  <c r="S368" i="3"/>
  <c r="S370" i="3"/>
  <c r="S372" i="3"/>
  <c r="S342" i="3"/>
  <c r="S390" i="3"/>
  <c r="S393" i="3"/>
  <c r="T19" i="3"/>
  <c r="T42" i="3"/>
  <c r="T43" i="3"/>
  <c r="T44" i="3"/>
  <c r="T45" i="3"/>
  <c r="T46" i="3"/>
  <c r="T47" i="3"/>
  <c r="T48" i="3"/>
  <c r="T49" i="3"/>
  <c r="T50" i="3"/>
  <c r="T51" i="3"/>
  <c r="T52" i="3"/>
  <c r="T53" i="3"/>
  <c r="T54" i="3"/>
  <c r="T55" i="3"/>
  <c r="T56" i="3"/>
  <c r="T57" i="3"/>
  <c r="T58" i="3"/>
  <c r="T36" i="3"/>
  <c r="T59" i="3"/>
  <c r="T60" i="3"/>
  <c r="T61" i="3"/>
  <c r="T62" i="3"/>
  <c r="T63" i="3"/>
  <c r="T65" i="3"/>
  <c r="T160" i="3"/>
  <c r="T68" i="3"/>
  <c r="T105" i="3"/>
  <c r="T106" i="3"/>
  <c r="T107" i="3"/>
  <c r="T108" i="3"/>
  <c r="T109" i="3"/>
  <c r="T110" i="3"/>
  <c r="T111" i="3"/>
  <c r="T112" i="3"/>
  <c r="T113" i="3"/>
  <c r="T114" i="3"/>
  <c r="T115" i="3"/>
  <c r="T116" i="3"/>
  <c r="T117" i="3"/>
  <c r="T118" i="3"/>
  <c r="T119" i="3"/>
  <c r="T83" i="3"/>
  <c r="T120" i="3"/>
  <c r="T121" i="3"/>
  <c r="T122" i="3"/>
  <c r="T123" i="3"/>
  <c r="T124" i="3"/>
  <c r="T125" i="3"/>
  <c r="T126" i="3"/>
  <c r="T127" i="3"/>
  <c r="T128" i="3"/>
  <c r="T129" i="3"/>
  <c r="T130" i="3"/>
  <c r="T131" i="3"/>
  <c r="T132" i="3"/>
  <c r="T133" i="3"/>
  <c r="T134" i="3"/>
  <c r="T135" i="3"/>
  <c r="T136" i="3"/>
  <c r="T137" i="3"/>
  <c r="T138" i="3"/>
  <c r="T139" i="3"/>
  <c r="T140" i="3"/>
  <c r="T142" i="3"/>
  <c r="T161" i="3"/>
  <c r="T163" i="3"/>
  <c r="T271" i="3"/>
  <c r="T194" i="3"/>
  <c r="T213" i="3"/>
  <c r="T201" i="3"/>
  <c r="T195" i="3"/>
  <c r="T202" i="3"/>
  <c r="T197" i="3"/>
  <c r="T198" i="3"/>
  <c r="T199" i="3"/>
  <c r="T200" i="3"/>
  <c r="T204" i="3"/>
  <c r="T210" i="3"/>
  <c r="T179" i="3"/>
  <c r="T180" i="3"/>
  <c r="T181" i="3"/>
  <c r="T182" i="3"/>
  <c r="T186" i="3"/>
  <c r="T177" i="17"/>
  <c r="T167" i="17"/>
  <c r="T235" i="17"/>
  <c r="T167" i="3"/>
  <c r="T169" i="3"/>
  <c r="T206" i="3"/>
  <c r="T270" i="3"/>
  <c r="T275" i="3"/>
  <c r="T238" i="3"/>
  <c r="T217" i="3"/>
  <c r="T220" i="3"/>
  <c r="T222" i="3"/>
  <c r="T253" i="3"/>
  <c r="T239" i="3"/>
  <c r="T223" i="3"/>
  <c r="T254" i="3"/>
  <c r="T240" i="3"/>
  <c r="T224" i="3"/>
  <c r="T255" i="3"/>
  <c r="T237" i="3"/>
  <c r="T246" i="3"/>
  <c r="T261" i="3"/>
  <c r="T225" i="3"/>
  <c r="T256" i="3"/>
  <c r="T226" i="3"/>
  <c r="T257" i="3"/>
  <c r="T227" i="3"/>
  <c r="T258" i="3"/>
  <c r="T228" i="3"/>
  <c r="T259" i="3"/>
  <c r="T229" i="3"/>
  <c r="T260" i="3"/>
  <c r="T215" i="3"/>
  <c r="T219" i="3"/>
  <c r="T251" i="3"/>
  <c r="T221" i="3"/>
  <c r="T236" i="3"/>
  <c r="T252" i="3"/>
  <c r="T262" i="3"/>
  <c r="T263" i="3"/>
  <c r="T231" i="3"/>
  <c r="T264" i="3"/>
  <c r="T266" i="3"/>
  <c r="T268" i="3"/>
  <c r="T277" i="3"/>
  <c r="T383" i="3"/>
  <c r="T384" i="3"/>
  <c r="T387" i="3"/>
  <c r="T144" i="3"/>
  <c r="T147" i="3"/>
  <c r="T148" i="3"/>
  <c r="T153" i="3"/>
  <c r="T155" i="3"/>
  <c r="T157" i="3"/>
  <c r="T389" i="3"/>
  <c r="S402" i="3"/>
  <c r="S403" i="3"/>
  <c r="S404" i="3"/>
  <c r="T405" i="3"/>
  <c r="T391" i="3"/>
  <c r="T367" i="3"/>
  <c r="T369" i="3"/>
  <c r="T368" i="3"/>
  <c r="T370" i="3"/>
  <c r="T372" i="3"/>
  <c r="T342" i="3"/>
  <c r="T390" i="3"/>
  <c r="T393" i="3"/>
  <c r="U19" i="3"/>
  <c r="U42" i="3"/>
  <c r="U43" i="3"/>
  <c r="U44" i="3"/>
  <c r="U45" i="3"/>
  <c r="U46" i="3"/>
  <c r="U47" i="3"/>
  <c r="U48" i="3"/>
  <c r="U49" i="3"/>
  <c r="U50" i="3"/>
  <c r="U51" i="3"/>
  <c r="U52" i="3"/>
  <c r="U53" i="3"/>
  <c r="U54" i="3"/>
  <c r="U55" i="3"/>
  <c r="U56" i="3"/>
  <c r="U57" i="3"/>
  <c r="U58" i="3"/>
  <c r="U36" i="3"/>
  <c r="U59" i="3"/>
  <c r="U60" i="3"/>
  <c r="U61" i="3"/>
  <c r="U62" i="3"/>
  <c r="U63" i="3"/>
  <c r="U65" i="3"/>
  <c r="U160" i="3"/>
  <c r="U68" i="3"/>
  <c r="U105" i="3"/>
  <c r="U106" i="3"/>
  <c r="U107" i="3"/>
  <c r="U108" i="3"/>
  <c r="U109" i="3"/>
  <c r="U110" i="3"/>
  <c r="U111" i="3"/>
  <c r="U112" i="3"/>
  <c r="U113" i="3"/>
  <c r="U114" i="3"/>
  <c r="U115" i="3"/>
  <c r="U116" i="3"/>
  <c r="U117" i="3"/>
  <c r="U118" i="3"/>
  <c r="U119" i="3"/>
  <c r="U83" i="3"/>
  <c r="U120" i="3"/>
  <c r="U121" i="3"/>
  <c r="U122" i="3"/>
  <c r="U123" i="3"/>
  <c r="U124" i="3"/>
  <c r="U125" i="3"/>
  <c r="U126" i="3"/>
  <c r="U127" i="3"/>
  <c r="U128" i="3"/>
  <c r="U129" i="3"/>
  <c r="U130" i="3"/>
  <c r="U131" i="3"/>
  <c r="U132" i="3"/>
  <c r="U133" i="3"/>
  <c r="U134" i="3"/>
  <c r="U135" i="3"/>
  <c r="U136" i="3"/>
  <c r="U137" i="3"/>
  <c r="U138" i="3"/>
  <c r="U139" i="3"/>
  <c r="U140" i="3"/>
  <c r="U142" i="3"/>
  <c r="U161" i="3"/>
  <c r="U163" i="3"/>
  <c r="U271" i="3"/>
  <c r="U194" i="3"/>
  <c r="U213" i="3"/>
  <c r="U201" i="3"/>
  <c r="U195" i="3"/>
  <c r="U202" i="3"/>
  <c r="U197" i="3"/>
  <c r="U198" i="3"/>
  <c r="U199" i="3"/>
  <c r="U200" i="3"/>
  <c r="U204" i="3"/>
  <c r="U210" i="3"/>
  <c r="U179" i="3"/>
  <c r="U180" i="3"/>
  <c r="U181" i="3"/>
  <c r="U182" i="3"/>
  <c r="U186" i="3"/>
  <c r="U177" i="17"/>
  <c r="U167" i="17"/>
  <c r="U235" i="17"/>
  <c r="U167" i="3"/>
  <c r="U169" i="3"/>
  <c r="U206" i="3"/>
  <c r="U270" i="3"/>
  <c r="U275" i="3"/>
  <c r="U238" i="3"/>
  <c r="U217" i="3"/>
  <c r="U220" i="3"/>
  <c r="U222" i="3"/>
  <c r="U253" i="3"/>
  <c r="U239" i="3"/>
  <c r="U223" i="3"/>
  <c r="U254" i="3"/>
  <c r="U240" i="3"/>
  <c r="U224" i="3"/>
  <c r="U255" i="3"/>
  <c r="U237" i="3"/>
  <c r="U246" i="3"/>
  <c r="U261" i="3"/>
  <c r="U225" i="3"/>
  <c r="U256" i="3"/>
  <c r="U226" i="3"/>
  <c r="U257" i="3"/>
  <c r="U227" i="3"/>
  <c r="U258" i="3"/>
  <c r="U228" i="3"/>
  <c r="U259" i="3"/>
  <c r="U229" i="3"/>
  <c r="U260" i="3"/>
  <c r="U215" i="3"/>
  <c r="U219" i="3"/>
  <c r="U251" i="3"/>
  <c r="U221" i="3"/>
  <c r="U236" i="3"/>
  <c r="U252" i="3"/>
  <c r="U262" i="3"/>
  <c r="U263" i="3"/>
  <c r="U231" i="3"/>
  <c r="U264" i="3"/>
  <c r="U266" i="3"/>
  <c r="U268" i="3"/>
  <c r="U277" i="3"/>
  <c r="U383" i="3"/>
  <c r="U384" i="3"/>
  <c r="U387" i="3"/>
  <c r="U144" i="3"/>
  <c r="U147" i="3"/>
  <c r="U148" i="3"/>
  <c r="U153" i="3"/>
  <c r="U155" i="3"/>
  <c r="U157" i="3"/>
  <c r="U389" i="3"/>
  <c r="T402" i="3"/>
  <c r="T403" i="3"/>
  <c r="T404" i="3"/>
  <c r="U405" i="3"/>
  <c r="U391" i="3"/>
  <c r="U367" i="3"/>
  <c r="U369" i="3"/>
  <c r="U368" i="3"/>
  <c r="U370" i="3"/>
  <c r="U372" i="3"/>
  <c r="U342" i="3"/>
  <c r="U390" i="3"/>
  <c r="U393" i="3"/>
  <c r="V19" i="3"/>
  <c r="V42" i="3"/>
  <c r="V43" i="3"/>
  <c r="V44" i="3"/>
  <c r="V45" i="3"/>
  <c r="V46" i="3"/>
  <c r="V47" i="3"/>
  <c r="V48" i="3"/>
  <c r="V49" i="3"/>
  <c r="V50" i="3"/>
  <c r="V51" i="3"/>
  <c r="V52" i="3"/>
  <c r="V53" i="3"/>
  <c r="V54" i="3"/>
  <c r="V55" i="3"/>
  <c r="V56" i="3"/>
  <c r="V57" i="3"/>
  <c r="V58" i="3"/>
  <c r="V36" i="3"/>
  <c r="V59" i="3"/>
  <c r="V60" i="3"/>
  <c r="V61" i="3"/>
  <c r="V62" i="3"/>
  <c r="V63" i="3"/>
  <c r="V65" i="3"/>
  <c r="V160" i="3"/>
  <c r="V68" i="3"/>
  <c r="V105" i="3"/>
  <c r="V106" i="3"/>
  <c r="V107" i="3"/>
  <c r="V108" i="3"/>
  <c r="V109" i="3"/>
  <c r="V110" i="3"/>
  <c r="V111" i="3"/>
  <c r="V112" i="3"/>
  <c r="V113" i="3"/>
  <c r="V114" i="3"/>
  <c r="V115" i="3"/>
  <c r="V116" i="3"/>
  <c r="V117" i="3"/>
  <c r="V118" i="3"/>
  <c r="V119" i="3"/>
  <c r="V83" i="3"/>
  <c r="V120" i="3"/>
  <c r="V121" i="3"/>
  <c r="V122" i="3"/>
  <c r="V123" i="3"/>
  <c r="V124" i="3"/>
  <c r="V125" i="3"/>
  <c r="V126" i="3"/>
  <c r="V127" i="3"/>
  <c r="V128" i="3"/>
  <c r="V129" i="3"/>
  <c r="V130" i="3"/>
  <c r="V131" i="3"/>
  <c r="V132" i="3"/>
  <c r="V133" i="3"/>
  <c r="V134" i="3"/>
  <c r="V135" i="3"/>
  <c r="V136" i="3"/>
  <c r="V137" i="3"/>
  <c r="V138" i="3"/>
  <c r="V139" i="3"/>
  <c r="V140" i="3"/>
  <c r="V142" i="3"/>
  <c r="V161" i="3"/>
  <c r="V163" i="3"/>
  <c r="V271" i="3"/>
  <c r="V194" i="3"/>
  <c r="V213" i="3"/>
  <c r="V201" i="3"/>
  <c r="V195" i="3"/>
  <c r="V202" i="3"/>
  <c r="V197" i="3"/>
  <c r="V198" i="3"/>
  <c r="V199" i="3"/>
  <c r="V200" i="3"/>
  <c r="V204" i="3"/>
  <c r="V210" i="3"/>
  <c r="V179" i="3"/>
  <c r="V180" i="3"/>
  <c r="V181" i="3"/>
  <c r="V182" i="3"/>
  <c r="V186" i="3"/>
  <c r="V177" i="17"/>
  <c r="V167" i="17"/>
  <c r="V235" i="17"/>
  <c r="V167" i="3"/>
  <c r="V169" i="3"/>
  <c r="V206" i="3"/>
  <c r="V270" i="3"/>
  <c r="V275" i="3"/>
  <c r="V238" i="3"/>
  <c r="V217" i="3"/>
  <c r="V220" i="3"/>
  <c r="V222" i="3"/>
  <c r="V253" i="3"/>
  <c r="V239" i="3"/>
  <c r="V223" i="3"/>
  <c r="V254" i="3"/>
  <c r="V240" i="3"/>
  <c r="V224" i="3"/>
  <c r="V255" i="3"/>
  <c r="V237" i="3"/>
  <c r="V246" i="3"/>
  <c r="V261" i="3"/>
  <c r="V225" i="3"/>
  <c r="V256" i="3"/>
  <c r="V226" i="3"/>
  <c r="V257" i="3"/>
  <c r="V227" i="3"/>
  <c r="V258" i="3"/>
  <c r="V228" i="3"/>
  <c r="V259" i="3"/>
  <c r="V229" i="3"/>
  <c r="V260" i="3"/>
  <c r="V215" i="3"/>
  <c r="V219" i="3"/>
  <c r="V251" i="3"/>
  <c r="V221" i="3"/>
  <c r="V236" i="3"/>
  <c r="V252" i="3"/>
  <c r="V262" i="3"/>
  <c r="V263" i="3"/>
  <c r="V231" i="3"/>
  <c r="V264" i="3"/>
  <c r="V266" i="3"/>
  <c r="V268" i="3"/>
  <c r="V277" i="3"/>
  <c r="V383" i="3"/>
  <c r="V384" i="3"/>
  <c r="V387" i="3"/>
  <c r="V144" i="3"/>
  <c r="V147" i="3"/>
  <c r="V148" i="3"/>
  <c r="V153" i="3"/>
  <c r="V155" i="3"/>
  <c r="V157" i="3"/>
  <c r="V389" i="3"/>
  <c r="U402" i="3"/>
  <c r="U403" i="3"/>
  <c r="U404" i="3"/>
  <c r="V405" i="3"/>
  <c r="V391" i="3"/>
  <c r="V367" i="3"/>
  <c r="V369" i="3"/>
  <c r="V368" i="3"/>
  <c r="V370" i="3"/>
  <c r="V372" i="3"/>
  <c r="V342" i="3"/>
  <c r="V390" i="3"/>
  <c r="V393" i="3"/>
  <c r="W19" i="3"/>
  <c r="W42" i="3"/>
  <c r="W43" i="3"/>
  <c r="W44" i="3"/>
  <c r="W45" i="3"/>
  <c r="W46" i="3"/>
  <c r="W47" i="3"/>
  <c r="W48" i="3"/>
  <c r="W49" i="3"/>
  <c r="W50" i="3"/>
  <c r="W51" i="3"/>
  <c r="W52" i="3"/>
  <c r="W53" i="3"/>
  <c r="W54" i="3"/>
  <c r="W55" i="3"/>
  <c r="W56" i="3"/>
  <c r="W57" i="3"/>
  <c r="W58" i="3"/>
  <c r="W36" i="3"/>
  <c r="W59" i="3"/>
  <c r="W60" i="3"/>
  <c r="W61" i="3"/>
  <c r="W62" i="3"/>
  <c r="W63" i="3"/>
  <c r="W65" i="3"/>
  <c r="W160" i="3"/>
  <c r="W68" i="3"/>
  <c r="W105" i="3"/>
  <c r="W106" i="3"/>
  <c r="W107" i="3"/>
  <c r="W108" i="3"/>
  <c r="W109" i="3"/>
  <c r="W110" i="3"/>
  <c r="W111" i="3"/>
  <c r="W112" i="3"/>
  <c r="W113" i="3"/>
  <c r="W114" i="3"/>
  <c r="W115" i="3"/>
  <c r="W116" i="3"/>
  <c r="W117" i="3"/>
  <c r="W118" i="3"/>
  <c r="W119" i="3"/>
  <c r="W83" i="3"/>
  <c r="W120" i="3"/>
  <c r="W121" i="3"/>
  <c r="W122" i="3"/>
  <c r="W123" i="3"/>
  <c r="W124" i="3"/>
  <c r="W125" i="3"/>
  <c r="W126" i="3"/>
  <c r="W127" i="3"/>
  <c r="W128" i="3"/>
  <c r="W129" i="3"/>
  <c r="W130" i="3"/>
  <c r="W131" i="3"/>
  <c r="W132" i="3"/>
  <c r="W133" i="3"/>
  <c r="W134" i="3"/>
  <c r="W135" i="3"/>
  <c r="W136" i="3"/>
  <c r="W137" i="3"/>
  <c r="W138" i="3"/>
  <c r="W139" i="3"/>
  <c r="W140" i="3"/>
  <c r="W142" i="3"/>
  <c r="W161" i="3"/>
  <c r="W163" i="3"/>
  <c r="W271" i="3"/>
  <c r="W194" i="3"/>
  <c r="W213" i="3"/>
  <c r="W201" i="3"/>
  <c r="W195" i="3"/>
  <c r="W202" i="3"/>
  <c r="W197" i="3"/>
  <c r="W198" i="3"/>
  <c r="W199" i="3"/>
  <c r="W200" i="3"/>
  <c r="W204" i="3"/>
  <c r="W210" i="3"/>
  <c r="W179" i="3"/>
  <c r="W180" i="3"/>
  <c r="W181" i="3"/>
  <c r="W182" i="3"/>
  <c r="W186" i="3"/>
  <c r="W177" i="17"/>
  <c r="W167" i="17"/>
  <c r="W235" i="17"/>
  <c r="W167" i="3"/>
  <c r="W169" i="3"/>
  <c r="W206" i="3"/>
  <c r="W270" i="3"/>
  <c r="W275" i="3"/>
  <c r="W238" i="3"/>
  <c r="W217" i="3"/>
  <c r="W220" i="3"/>
  <c r="W222" i="3"/>
  <c r="W253" i="3"/>
  <c r="W239" i="3"/>
  <c r="W223" i="3"/>
  <c r="W254" i="3"/>
  <c r="W240" i="3"/>
  <c r="W224" i="3"/>
  <c r="W255" i="3"/>
  <c r="W237" i="3"/>
  <c r="W246" i="3"/>
  <c r="W261" i="3"/>
  <c r="W225" i="3"/>
  <c r="W256" i="3"/>
  <c r="W226" i="3"/>
  <c r="W257" i="3"/>
  <c r="W227" i="3"/>
  <c r="W258" i="3"/>
  <c r="W228" i="3"/>
  <c r="W259" i="3"/>
  <c r="W229" i="3"/>
  <c r="W260" i="3"/>
  <c r="W215" i="3"/>
  <c r="W219" i="3"/>
  <c r="W251" i="3"/>
  <c r="W221" i="3"/>
  <c r="W236" i="3"/>
  <c r="W252" i="3"/>
  <c r="W262" i="3"/>
  <c r="W263" i="3"/>
  <c r="W231" i="3"/>
  <c r="W264" i="3"/>
  <c r="W266" i="3"/>
  <c r="W268" i="3"/>
  <c r="W277" i="3"/>
  <c r="W383" i="3"/>
  <c r="W384" i="3"/>
  <c r="W387" i="3"/>
  <c r="W144" i="3"/>
  <c r="W147" i="3"/>
  <c r="W148" i="3"/>
  <c r="W153" i="3"/>
  <c r="W155" i="3"/>
  <c r="W157" i="3"/>
  <c r="W389" i="3"/>
  <c r="V402" i="3"/>
  <c r="V403" i="3"/>
  <c r="V404" i="3"/>
  <c r="W405" i="3"/>
  <c r="W391" i="3"/>
  <c r="W367" i="3"/>
  <c r="W369" i="3"/>
  <c r="W368" i="3"/>
  <c r="W370" i="3"/>
  <c r="W372" i="3"/>
  <c r="W342" i="3"/>
  <c r="W390" i="3"/>
  <c r="W393" i="3"/>
  <c r="X19" i="3"/>
  <c r="X42" i="3"/>
  <c r="X43" i="3"/>
  <c r="X44" i="3"/>
  <c r="X45" i="3"/>
  <c r="X46" i="3"/>
  <c r="X47" i="3"/>
  <c r="X48" i="3"/>
  <c r="X49" i="3"/>
  <c r="X50" i="3"/>
  <c r="X51" i="3"/>
  <c r="X52" i="3"/>
  <c r="X53" i="3"/>
  <c r="X54" i="3"/>
  <c r="X55" i="3"/>
  <c r="X56" i="3"/>
  <c r="X57" i="3"/>
  <c r="X58" i="3"/>
  <c r="X36" i="3"/>
  <c r="X59" i="3"/>
  <c r="X60" i="3"/>
  <c r="X61" i="3"/>
  <c r="X62" i="3"/>
  <c r="X63" i="3"/>
  <c r="X65" i="3"/>
  <c r="X160" i="3"/>
  <c r="X68" i="3"/>
  <c r="X105" i="3"/>
  <c r="X106" i="3"/>
  <c r="X107" i="3"/>
  <c r="X108" i="3"/>
  <c r="X109" i="3"/>
  <c r="X110" i="3"/>
  <c r="X111" i="3"/>
  <c r="X112" i="3"/>
  <c r="X113" i="3"/>
  <c r="X114" i="3"/>
  <c r="X115" i="3"/>
  <c r="X116" i="3"/>
  <c r="X117" i="3"/>
  <c r="X118" i="3"/>
  <c r="X119" i="3"/>
  <c r="X83" i="3"/>
  <c r="X120" i="3"/>
  <c r="X121" i="3"/>
  <c r="X122" i="3"/>
  <c r="X123" i="3"/>
  <c r="X124" i="3"/>
  <c r="X125" i="3"/>
  <c r="X126" i="3"/>
  <c r="X127" i="3"/>
  <c r="X128" i="3"/>
  <c r="X129" i="3"/>
  <c r="X130" i="3"/>
  <c r="X131" i="3"/>
  <c r="X132" i="3"/>
  <c r="X133" i="3"/>
  <c r="X134" i="3"/>
  <c r="X135" i="3"/>
  <c r="X136" i="3"/>
  <c r="X137" i="3"/>
  <c r="X138" i="3"/>
  <c r="X139" i="3"/>
  <c r="X140" i="3"/>
  <c r="X142" i="3"/>
  <c r="X161" i="3"/>
  <c r="X163" i="3"/>
  <c r="X271" i="3"/>
  <c r="X194" i="3"/>
  <c r="X213" i="3"/>
  <c r="X201" i="3"/>
  <c r="X195" i="3"/>
  <c r="X202" i="3"/>
  <c r="X197" i="3"/>
  <c r="X198" i="3"/>
  <c r="X199" i="3"/>
  <c r="X200" i="3"/>
  <c r="X204" i="3"/>
  <c r="X210" i="3"/>
  <c r="X179" i="3"/>
  <c r="X180" i="3"/>
  <c r="X181" i="3"/>
  <c r="X182" i="3"/>
  <c r="X186" i="3"/>
  <c r="X177" i="17"/>
  <c r="X167" i="17"/>
  <c r="X235" i="17"/>
  <c r="X167" i="3"/>
  <c r="X169" i="3"/>
  <c r="X206" i="3"/>
  <c r="X270" i="3"/>
  <c r="X275" i="3"/>
  <c r="X238" i="3"/>
  <c r="X217" i="3"/>
  <c r="X220" i="3"/>
  <c r="X222" i="3"/>
  <c r="X253" i="3"/>
  <c r="X239" i="3"/>
  <c r="X223" i="3"/>
  <c r="X254" i="3"/>
  <c r="X240" i="3"/>
  <c r="X224" i="3"/>
  <c r="X255" i="3"/>
  <c r="X237" i="3"/>
  <c r="X246" i="3"/>
  <c r="X261" i="3"/>
  <c r="X225" i="3"/>
  <c r="X256" i="3"/>
  <c r="X226" i="3"/>
  <c r="X257" i="3"/>
  <c r="X227" i="3"/>
  <c r="X258" i="3"/>
  <c r="X228" i="3"/>
  <c r="X259" i="3"/>
  <c r="X229" i="3"/>
  <c r="X260" i="3"/>
  <c r="X215" i="3"/>
  <c r="X219" i="3"/>
  <c r="X251" i="3"/>
  <c r="X221" i="3"/>
  <c r="X236" i="3"/>
  <c r="X252" i="3"/>
  <c r="X262" i="3"/>
  <c r="X263" i="3"/>
  <c r="X231" i="3"/>
  <c r="X264" i="3"/>
  <c r="X266" i="3"/>
  <c r="X268" i="3"/>
  <c r="X277" i="3"/>
  <c r="X383" i="3"/>
  <c r="X384" i="3"/>
  <c r="X387" i="3"/>
  <c r="X144" i="3"/>
  <c r="X147" i="3"/>
  <c r="X148" i="3"/>
  <c r="X153" i="3"/>
  <c r="X155" i="3"/>
  <c r="X157" i="3"/>
  <c r="X389" i="3"/>
  <c r="W402" i="3"/>
  <c r="W403" i="3"/>
  <c r="W404" i="3"/>
  <c r="X405" i="3"/>
  <c r="X391" i="3"/>
  <c r="X367" i="3"/>
  <c r="X369" i="3"/>
  <c r="X368" i="3"/>
  <c r="X370" i="3"/>
  <c r="X372" i="3"/>
  <c r="X342" i="3"/>
  <c r="X390" i="3"/>
  <c r="X393" i="3"/>
  <c r="Y19" i="3"/>
  <c r="Y42" i="3"/>
  <c r="Y43" i="3"/>
  <c r="Y44" i="3"/>
  <c r="Y45" i="3"/>
  <c r="Y46" i="3"/>
  <c r="Y47" i="3"/>
  <c r="Y48" i="3"/>
  <c r="Y49" i="3"/>
  <c r="Y50" i="3"/>
  <c r="Y51" i="3"/>
  <c r="Y52" i="3"/>
  <c r="Y53" i="3"/>
  <c r="Y54" i="3"/>
  <c r="Y55" i="3"/>
  <c r="Y56" i="3"/>
  <c r="Y57" i="3"/>
  <c r="Y58" i="3"/>
  <c r="Y36" i="3"/>
  <c r="Y59" i="3"/>
  <c r="Y60" i="3"/>
  <c r="Y61" i="3"/>
  <c r="Y62" i="3"/>
  <c r="Y63" i="3"/>
  <c r="Y65" i="3"/>
  <c r="Y160" i="3"/>
  <c r="Y68" i="3"/>
  <c r="Y105" i="3"/>
  <c r="Y106" i="3"/>
  <c r="Y107" i="3"/>
  <c r="Y108" i="3"/>
  <c r="Y109" i="3"/>
  <c r="Y110" i="3"/>
  <c r="Y111" i="3"/>
  <c r="Y112" i="3"/>
  <c r="Y113" i="3"/>
  <c r="Y114" i="3"/>
  <c r="Y115" i="3"/>
  <c r="Y116" i="3"/>
  <c r="Y117" i="3"/>
  <c r="Y118" i="3"/>
  <c r="Y119" i="3"/>
  <c r="Y83" i="3"/>
  <c r="Y120" i="3"/>
  <c r="Y121" i="3"/>
  <c r="Y122" i="3"/>
  <c r="Y123" i="3"/>
  <c r="Y124" i="3"/>
  <c r="Y125" i="3"/>
  <c r="Y126" i="3"/>
  <c r="Y127" i="3"/>
  <c r="Y128" i="3"/>
  <c r="Y129" i="3"/>
  <c r="Y130" i="3"/>
  <c r="Y131" i="3"/>
  <c r="Y132" i="3"/>
  <c r="Y133" i="3"/>
  <c r="Y134" i="3"/>
  <c r="Y135" i="3"/>
  <c r="Y136" i="3"/>
  <c r="Y137" i="3"/>
  <c r="Y138" i="3"/>
  <c r="Y139" i="3"/>
  <c r="Y140" i="3"/>
  <c r="Y142" i="3"/>
  <c r="Y161" i="3"/>
  <c r="Y163" i="3"/>
  <c r="Y271" i="3"/>
  <c r="Y194" i="3"/>
  <c r="Y213" i="3"/>
  <c r="Y201" i="3"/>
  <c r="Y195" i="3"/>
  <c r="Y202" i="3"/>
  <c r="Y197" i="3"/>
  <c r="Y198" i="3"/>
  <c r="Y199" i="3"/>
  <c r="Y200" i="3"/>
  <c r="Y204" i="3"/>
  <c r="Y210" i="3"/>
  <c r="Y179" i="3"/>
  <c r="Y180" i="3"/>
  <c r="Y181" i="3"/>
  <c r="Y182" i="3"/>
  <c r="Y186" i="3"/>
  <c r="Y177" i="17"/>
  <c r="Y167" i="17"/>
  <c r="Y235" i="17"/>
  <c r="Y167" i="3"/>
  <c r="Y169" i="3"/>
  <c r="Y206" i="3"/>
  <c r="Y270" i="3"/>
  <c r="Y275" i="3"/>
  <c r="Y238" i="3"/>
  <c r="Y217" i="3"/>
  <c r="Y220" i="3"/>
  <c r="Y222" i="3"/>
  <c r="Y253" i="3"/>
  <c r="Y239" i="3"/>
  <c r="Y223" i="3"/>
  <c r="Y254" i="3"/>
  <c r="Y240" i="3"/>
  <c r="Y224" i="3"/>
  <c r="Y255" i="3"/>
  <c r="Y237" i="3"/>
  <c r="Y246" i="3"/>
  <c r="Y261" i="3"/>
  <c r="Y225" i="3"/>
  <c r="Y256" i="3"/>
  <c r="Y226" i="3"/>
  <c r="Y257" i="3"/>
  <c r="Y227" i="3"/>
  <c r="Y258" i="3"/>
  <c r="Y228" i="3"/>
  <c r="Y259" i="3"/>
  <c r="Y229" i="3"/>
  <c r="Y260" i="3"/>
  <c r="Y215" i="3"/>
  <c r="Y219" i="3"/>
  <c r="Y251" i="3"/>
  <c r="Y221" i="3"/>
  <c r="Y236" i="3"/>
  <c r="Y252" i="3"/>
  <c r="Y262" i="3"/>
  <c r="Y263" i="3"/>
  <c r="Y231" i="3"/>
  <c r="Y264" i="3"/>
  <c r="Y266" i="3"/>
  <c r="Y268" i="3"/>
  <c r="Y277" i="3"/>
  <c r="Y383" i="3"/>
  <c r="Y384" i="3"/>
  <c r="Y387" i="3"/>
  <c r="Y144" i="3"/>
  <c r="Y147" i="3"/>
  <c r="Y148" i="3"/>
  <c r="Y153" i="3"/>
  <c r="Y155" i="3"/>
  <c r="Y157" i="3"/>
  <c r="Y389" i="3"/>
  <c r="X402" i="3"/>
  <c r="X403" i="3"/>
  <c r="X404" i="3"/>
  <c r="Y405" i="3"/>
  <c r="Y391" i="3"/>
  <c r="Y367" i="3"/>
  <c r="Y369" i="3"/>
  <c r="Y368" i="3"/>
  <c r="Y370" i="3"/>
  <c r="Y372" i="3"/>
  <c r="Y342" i="3"/>
  <c r="Y390" i="3"/>
  <c r="Y393" i="3"/>
  <c r="Z19" i="3"/>
  <c r="Z42" i="3"/>
  <c r="Z43" i="3"/>
  <c r="Z44" i="3"/>
  <c r="Z45" i="3"/>
  <c r="Z46" i="3"/>
  <c r="Z47" i="3"/>
  <c r="Z48" i="3"/>
  <c r="Z49" i="3"/>
  <c r="Z50" i="3"/>
  <c r="Z51" i="3"/>
  <c r="Z52" i="3"/>
  <c r="Z53" i="3"/>
  <c r="Z54" i="3"/>
  <c r="Z55" i="3"/>
  <c r="Z56" i="3"/>
  <c r="Z57" i="3"/>
  <c r="Z58" i="3"/>
  <c r="Z36" i="3"/>
  <c r="Z59" i="3"/>
  <c r="Z60" i="3"/>
  <c r="Z61" i="3"/>
  <c r="Z62" i="3"/>
  <c r="Z63" i="3"/>
  <c r="Z65" i="3"/>
  <c r="Z160" i="3"/>
  <c r="Z68" i="3"/>
  <c r="Z105" i="3"/>
  <c r="Z106" i="3"/>
  <c r="Z107" i="3"/>
  <c r="Z108" i="3"/>
  <c r="Z109" i="3"/>
  <c r="Z110" i="3"/>
  <c r="Z111" i="3"/>
  <c r="Z112" i="3"/>
  <c r="Z113" i="3"/>
  <c r="Z114" i="3"/>
  <c r="Z115" i="3"/>
  <c r="Z116" i="3"/>
  <c r="Z117" i="3"/>
  <c r="Z118" i="3"/>
  <c r="Z119" i="3"/>
  <c r="Z83" i="3"/>
  <c r="Z120" i="3"/>
  <c r="Z121" i="3"/>
  <c r="Z122" i="3"/>
  <c r="Z123" i="3"/>
  <c r="Z124" i="3"/>
  <c r="Z125" i="3"/>
  <c r="Z126" i="3"/>
  <c r="Z127" i="3"/>
  <c r="Z128" i="3"/>
  <c r="Z129" i="3"/>
  <c r="Z130" i="3"/>
  <c r="Z131" i="3"/>
  <c r="Z132" i="3"/>
  <c r="Z133" i="3"/>
  <c r="Z134" i="3"/>
  <c r="Z135" i="3"/>
  <c r="Z136" i="3"/>
  <c r="Z137" i="3"/>
  <c r="Z138" i="3"/>
  <c r="Z139" i="3"/>
  <c r="Z140" i="3"/>
  <c r="Z142" i="3"/>
  <c r="Z161" i="3"/>
  <c r="Z163" i="3"/>
  <c r="Z271" i="3"/>
  <c r="Z194" i="3"/>
  <c r="Z213" i="3"/>
  <c r="Z201" i="3"/>
  <c r="Z195" i="3"/>
  <c r="Z202" i="3"/>
  <c r="Z197" i="3"/>
  <c r="Z198" i="3"/>
  <c r="Z199" i="3"/>
  <c r="Z200" i="3"/>
  <c r="Z204" i="3"/>
  <c r="Z210" i="3"/>
  <c r="Z179" i="3"/>
  <c r="Z180" i="3"/>
  <c r="Z181" i="3"/>
  <c r="Z182" i="3"/>
  <c r="Z186" i="3"/>
  <c r="Z177" i="17"/>
  <c r="Z167" i="17"/>
  <c r="Z235" i="17"/>
  <c r="Z167" i="3"/>
  <c r="Z169" i="3"/>
  <c r="Z206" i="3"/>
  <c r="Z270" i="3"/>
  <c r="Z275" i="3"/>
  <c r="Z238" i="3"/>
  <c r="Z217" i="3"/>
  <c r="Z220" i="3"/>
  <c r="Z222" i="3"/>
  <c r="Z253" i="3"/>
  <c r="Z239" i="3"/>
  <c r="Z223" i="3"/>
  <c r="Z254" i="3"/>
  <c r="Z240" i="3"/>
  <c r="Z224" i="3"/>
  <c r="Z255" i="3"/>
  <c r="Z237" i="3"/>
  <c r="Z246" i="3"/>
  <c r="Z261" i="3"/>
  <c r="Z225" i="3"/>
  <c r="Z256" i="3"/>
  <c r="Z226" i="3"/>
  <c r="Z257" i="3"/>
  <c r="Z227" i="3"/>
  <c r="Z258" i="3"/>
  <c r="Z228" i="3"/>
  <c r="Z259" i="3"/>
  <c r="Z229" i="3"/>
  <c r="Z260" i="3"/>
  <c r="Z215" i="3"/>
  <c r="Z219" i="3"/>
  <c r="Z251" i="3"/>
  <c r="Z221" i="3"/>
  <c r="Z236" i="3"/>
  <c r="Z252" i="3"/>
  <c r="Z262" i="3"/>
  <c r="Z263" i="3"/>
  <c r="Z231" i="3"/>
  <c r="Z264" i="3"/>
  <c r="Z266" i="3"/>
  <c r="Z268" i="3"/>
  <c r="Z277" i="3"/>
  <c r="Z383" i="3"/>
  <c r="Z384" i="3"/>
  <c r="Z387" i="3"/>
  <c r="Z144" i="3"/>
  <c r="Z147" i="3"/>
  <c r="Z148" i="3"/>
  <c r="Z153" i="3"/>
  <c r="Z155" i="3"/>
  <c r="Z157" i="3"/>
  <c r="Z389" i="3"/>
  <c r="Y402" i="3"/>
  <c r="Y403" i="3"/>
  <c r="Y404" i="3"/>
  <c r="Z405" i="3"/>
  <c r="Z391" i="3"/>
  <c r="Z367" i="3"/>
  <c r="Z369" i="3"/>
  <c r="Z368" i="3"/>
  <c r="Z370" i="3"/>
  <c r="Z372" i="3"/>
  <c r="Z342" i="3"/>
  <c r="Z390" i="3"/>
  <c r="Z393" i="3"/>
  <c r="AA19" i="3"/>
  <c r="AA42" i="3"/>
  <c r="AA43" i="3"/>
  <c r="AA44" i="3"/>
  <c r="AA45" i="3"/>
  <c r="AA46" i="3"/>
  <c r="AA47" i="3"/>
  <c r="AA48" i="3"/>
  <c r="AA49" i="3"/>
  <c r="AA50" i="3"/>
  <c r="AA51" i="3"/>
  <c r="AA52" i="3"/>
  <c r="AA53" i="3"/>
  <c r="AA54" i="3"/>
  <c r="AA55" i="3"/>
  <c r="AA56" i="3"/>
  <c r="AA57" i="3"/>
  <c r="AA58" i="3"/>
  <c r="AA36" i="3"/>
  <c r="AA59" i="3"/>
  <c r="AA60" i="3"/>
  <c r="AA61" i="3"/>
  <c r="AA62" i="3"/>
  <c r="AA63" i="3"/>
  <c r="AA65" i="3"/>
  <c r="AA160" i="3"/>
  <c r="AA68" i="3"/>
  <c r="AA105" i="3"/>
  <c r="AA106" i="3"/>
  <c r="AA107" i="3"/>
  <c r="AA108" i="3"/>
  <c r="AA109" i="3"/>
  <c r="AA110" i="3"/>
  <c r="AA111" i="3"/>
  <c r="AA112" i="3"/>
  <c r="AA113" i="3"/>
  <c r="AA114" i="3"/>
  <c r="AA115" i="3"/>
  <c r="AA116" i="3"/>
  <c r="AA117" i="3"/>
  <c r="AA118" i="3"/>
  <c r="AA119" i="3"/>
  <c r="AA83" i="3"/>
  <c r="AA120" i="3"/>
  <c r="AA121" i="3"/>
  <c r="AA122" i="3"/>
  <c r="AA123" i="3"/>
  <c r="AA124" i="3"/>
  <c r="AA125" i="3"/>
  <c r="AA126" i="3"/>
  <c r="AA127" i="3"/>
  <c r="AA128" i="3"/>
  <c r="AA129" i="3"/>
  <c r="AA130" i="3"/>
  <c r="AA131" i="3"/>
  <c r="AA132" i="3"/>
  <c r="AA133" i="3"/>
  <c r="AA134" i="3"/>
  <c r="AA135" i="3"/>
  <c r="AA136" i="3"/>
  <c r="AA137" i="3"/>
  <c r="AA138" i="3"/>
  <c r="AA139" i="3"/>
  <c r="AA140" i="3"/>
  <c r="AA142" i="3"/>
  <c r="AA161" i="3"/>
  <c r="AA163" i="3"/>
  <c r="AA271" i="3"/>
  <c r="AA194" i="3"/>
  <c r="AA213" i="3"/>
  <c r="AA201" i="3"/>
  <c r="AA195" i="3"/>
  <c r="AA202" i="3"/>
  <c r="AA197" i="3"/>
  <c r="AA198" i="3"/>
  <c r="AA199" i="3"/>
  <c r="AA200" i="3"/>
  <c r="AA204" i="3"/>
  <c r="AA210" i="3"/>
  <c r="AA179" i="3"/>
  <c r="AA180" i="3"/>
  <c r="AA181" i="3"/>
  <c r="AA182" i="3"/>
  <c r="AA186" i="3"/>
  <c r="AA177" i="17"/>
  <c r="AA167" i="17"/>
  <c r="AA235" i="17"/>
  <c r="AA167" i="3"/>
  <c r="AA169" i="3"/>
  <c r="AA206" i="3"/>
  <c r="AA270" i="3"/>
  <c r="AA275" i="3"/>
  <c r="AA238" i="3"/>
  <c r="AA217" i="3"/>
  <c r="AA220" i="3"/>
  <c r="AA222" i="3"/>
  <c r="AA253" i="3"/>
  <c r="AA239" i="3"/>
  <c r="AA223" i="3"/>
  <c r="AA254" i="3"/>
  <c r="AA240" i="3"/>
  <c r="AA224" i="3"/>
  <c r="AA255" i="3"/>
  <c r="AA237" i="3"/>
  <c r="AA246" i="3"/>
  <c r="AA261" i="3"/>
  <c r="AA225" i="3"/>
  <c r="AA256" i="3"/>
  <c r="AA226" i="3"/>
  <c r="AA257" i="3"/>
  <c r="AA227" i="3"/>
  <c r="AA258" i="3"/>
  <c r="AA228" i="3"/>
  <c r="AA259" i="3"/>
  <c r="AA229" i="3"/>
  <c r="AA260" i="3"/>
  <c r="AA215" i="3"/>
  <c r="AA219" i="3"/>
  <c r="AA251" i="3"/>
  <c r="AA221" i="3"/>
  <c r="AA236" i="3"/>
  <c r="AA252" i="3"/>
  <c r="AA262" i="3"/>
  <c r="AA263" i="3"/>
  <c r="AA231" i="3"/>
  <c r="AA264" i="3"/>
  <c r="AA266" i="3"/>
  <c r="AA268" i="3"/>
  <c r="AA277" i="3"/>
  <c r="AA383" i="3"/>
  <c r="AA384" i="3"/>
  <c r="AA387" i="3"/>
  <c r="AA144" i="3"/>
  <c r="AA147" i="3"/>
  <c r="AA148" i="3"/>
  <c r="AA153" i="3"/>
  <c r="AA155" i="3"/>
  <c r="AA157" i="3"/>
  <c r="AA389" i="3"/>
  <c r="Z402" i="3"/>
  <c r="Z403" i="3"/>
  <c r="Z404" i="3"/>
  <c r="AA405" i="3"/>
  <c r="AA391" i="3"/>
  <c r="AA367" i="3"/>
  <c r="AA369" i="3"/>
  <c r="AA368" i="3"/>
  <c r="AA370" i="3"/>
  <c r="AA372" i="3"/>
  <c r="AA342" i="3"/>
  <c r="AA390" i="3"/>
  <c r="AA393" i="3"/>
  <c r="H82" i="15"/>
  <c r="G312" i="3"/>
  <c r="G314" i="3"/>
  <c r="G315" i="3"/>
  <c r="G317" i="3"/>
  <c r="H92" i="15"/>
  <c r="H93" i="15"/>
  <c r="G98" i="15"/>
  <c r="H98" i="15"/>
  <c r="I82" i="15"/>
  <c r="H312" i="3"/>
  <c r="H314" i="3"/>
  <c r="H315" i="3"/>
  <c r="H317" i="3"/>
  <c r="I92" i="15"/>
  <c r="I93" i="15"/>
  <c r="I98" i="15"/>
  <c r="J82" i="15"/>
  <c r="I312" i="3"/>
  <c r="I314" i="3"/>
  <c r="I315" i="3"/>
  <c r="I317" i="3"/>
  <c r="J92" i="15"/>
  <c r="J93" i="15"/>
  <c r="J98" i="15"/>
  <c r="K82" i="15"/>
  <c r="J312" i="3"/>
  <c r="J314" i="3"/>
  <c r="J315" i="3"/>
  <c r="J317" i="3"/>
  <c r="K92" i="15"/>
  <c r="K93" i="15"/>
  <c r="K98" i="15"/>
  <c r="L82" i="15"/>
  <c r="K312" i="3"/>
  <c r="K314" i="3"/>
  <c r="K315" i="3"/>
  <c r="K317" i="3"/>
  <c r="L92" i="15"/>
  <c r="L93" i="15"/>
  <c r="L98" i="15"/>
  <c r="D117" i="15"/>
  <c r="F82" i="15"/>
  <c r="E113" i="15"/>
  <c r="E117" i="15"/>
  <c r="L126" i="15"/>
  <c r="G88" i="15"/>
  <c r="G90" i="15"/>
  <c r="G99" i="15"/>
  <c r="G19" i="17"/>
  <c r="G42" i="17"/>
  <c r="G43" i="17"/>
  <c r="G44" i="17"/>
  <c r="G45" i="17"/>
  <c r="G46" i="17"/>
  <c r="G47" i="17"/>
  <c r="G48" i="17"/>
  <c r="G49" i="17"/>
  <c r="G50" i="17"/>
  <c r="G51" i="17"/>
  <c r="G52" i="17"/>
  <c r="G53" i="17"/>
  <c r="G54" i="17"/>
  <c r="G55" i="17"/>
  <c r="G56" i="17"/>
  <c r="G57" i="17"/>
  <c r="G58" i="17"/>
  <c r="G36" i="17"/>
  <c r="G59" i="17"/>
  <c r="G60" i="17"/>
  <c r="G61" i="17"/>
  <c r="G62" i="17"/>
  <c r="G63" i="17"/>
  <c r="G65" i="17"/>
  <c r="G160" i="17"/>
  <c r="G68" i="17"/>
  <c r="G105" i="17"/>
  <c r="G106" i="17"/>
  <c r="G107" i="17"/>
  <c r="G108" i="17"/>
  <c r="G109" i="17"/>
  <c r="G110" i="17"/>
  <c r="G111" i="17"/>
  <c r="G112" i="17"/>
  <c r="G113" i="17"/>
  <c r="G114" i="17"/>
  <c r="G115" i="17"/>
  <c r="G116" i="17"/>
  <c r="G117" i="17"/>
  <c r="G118" i="17"/>
  <c r="G119" i="17"/>
  <c r="G83" i="17"/>
  <c r="G120" i="17"/>
  <c r="G121" i="17"/>
  <c r="G122" i="17"/>
  <c r="G123" i="17"/>
  <c r="G124" i="17"/>
  <c r="G125" i="17"/>
  <c r="G126" i="17"/>
  <c r="G127" i="17"/>
  <c r="G128" i="17"/>
  <c r="G129" i="17"/>
  <c r="G130" i="17"/>
  <c r="G131" i="17"/>
  <c r="G132" i="17"/>
  <c r="G133" i="17"/>
  <c r="G134" i="17"/>
  <c r="G135" i="17"/>
  <c r="G136" i="17"/>
  <c r="G137" i="17"/>
  <c r="G138" i="17"/>
  <c r="G139" i="17"/>
  <c r="G140" i="17"/>
  <c r="G142" i="17"/>
  <c r="G161" i="17"/>
  <c r="G163" i="17"/>
  <c r="G275" i="17"/>
  <c r="G166" i="17"/>
  <c r="G260" i="17"/>
  <c r="G267" i="17"/>
  <c r="G261" i="17"/>
  <c r="G268" i="17"/>
  <c r="G264" i="17"/>
  <c r="G266" i="17"/>
  <c r="G270" i="17"/>
  <c r="G272" i="17"/>
  <c r="G274" i="17"/>
  <c r="G276" i="17"/>
  <c r="G279" i="17"/>
  <c r="G181" i="17"/>
  <c r="G184" i="17"/>
  <c r="G186" i="17"/>
  <c r="G202" i="17"/>
  <c r="G218" i="17"/>
  <c r="G187" i="17"/>
  <c r="G203" i="17"/>
  <c r="G219" i="17"/>
  <c r="G188" i="17"/>
  <c r="G204" i="17"/>
  <c r="G220" i="17"/>
  <c r="G189" i="17"/>
  <c r="G221" i="17"/>
  <c r="G190" i="17"/>
  <c r="G222" i="17"/>
  <c r="G191" i="17"/>
  <c r="G223" i="17"/>
  <c r="G192" i="17"/>
  <c r="G224" i="17"/>
  <c r="G193" i="17"/>
  <c r="G225" i="17"/>
  <c r="G201" i="17"/>
  <c r="G210" i="17"/>
  <c r="G226" i="17"/>
  <c r="G179" i="17"/>
  <c r="G183" i="17"/>
  <c r="G216" i="17"/>
  <c r="G200" i="17"/>
  <c r="G185" i="17"/>
  <c r="G217" i="17"/>
  <c r="G227" i="17"/>
  <c r="G228" i="17"/>
  <c r="G195" i="17"/>
  <c r="G229" i="17"/>
  <c r="G231" i="17"/>
  <c r="G233" i="17"/>
  <c r="G281" i="17"/>
  <c r="G391" i="17"/>
  <c r="G392" i="17"/>
  <c r="G345" i="17"/>
  <c r="G393" i="17"/>
  <c r="G395" i="17"/>
  <c r="G144" i="17"/>
  <c r="G147" i="17"/>
  <c r="G148" i="17"/>
  <c r="G153" i="17"/>
  <c r="G155" i="17"/>
  <c r="G157" i="17"/>
  <c r="G397" i="17"/>
  <c r="G376" i="17"/>
  <c r="G378" i="17"/>
  <c r="G375" i="17"/>
  <c r="G377" i="17"/>
  <c r="G380" i="17"/>
  <c r="G350" i="17"/>
  <c r="G398" i="17"/>
  <c r="G401" i="17"/>
  <c r="H19" i="17"/>
  <c r="H42" i="17"/>
  <c r="H43" i="17"/>
  <c r="H44" i="17"/>
  <c r="H45" i="17"/>
  <c r="H46" i="17"/>
  <c r="H47" i="17"/>
  <c r="H48" i="17"/>
  <c r="H49" i="17"/>
  <c r="H50" i="17"/>
  <c r="H51" i="17"/>
  <c r="H52" i="17"/>
  <c r="H53" i="17"/>
  <c r="H54" i="17"/>
  <c r="H55" i="17"/>
  <c r="H56" i="17"/>
  <c r="H57" i="17"/>
  <c r="H58" i="17"/>
  <c r="H36" i="17"/>
  <c r="H59" i="17"/>
  <c r="H60" i="17"/>
  <c r="H61" i="17"/>
  <c r="H62" i="17"/>
  <c r="H63" i="17"/>
  <c r="H65" i="17"/>
  <c r="H160" i="17"/>
  <c r="H68" i="17"/>
  <c r="H105" i="17"/>
  <c r="H106" i="17"/>
  <c r="H107" i="17"/>
  <c r="H108" i="17"/>
  <c r="H109" i="17"/>
  <c r="H110" i="17"/>
  <c r="H111" i="17"/>
  <c r="H112" i="17"/>
  <c r="H113" i="17"/>
  <c r="H114" i="17"/>
  <c r="H115" i="17"/>
  <c r="H116" i="17"/>
  <c r="H117" i="17"/>
  <c r="H118" i="17"/>
  <c r="H119" i="17"/>
  <c r="H83" i="17"/>
  <c r="H120" i="17"/>
  <c r="H121" i="17"/>
  <c r="H122" i="17"/>
  <c r="H123" i="17"/>
  <c r="H124" i="17"/>
  <c r="H125" i="17"/>
  <c r="H126" i="17"/>
  <c r="H127" i="17"/>
  <c r="H128" i="17"/>
  <c r="H129" i="17"/>
  <c r="H130" i="17"/>
  <c r="H131" i="17"/>
  <c r="H132" i="17"/>
  <c r="H133" i="17"/>
  <c r="H134" i="17"/>
  <c r="H135" i="17"/>
  <c r="H136" i="17"/>
  <c r="H137" i="17"/>
  <c r="H138" i="17"/>
  <c r="H139" i="17"/>
  <c r="H140" i="17"/>
  <c r="H142" i="17"/>
  <c r="H161" i="17"/>
  <c r="H163" i="17"/>
  <c r="H275" i="17"/>
  <c r="H166" i="17"/>
  <c r="H260" i="17"/>
  <c r="H267" i="17"/>
  <c r="H261" i="17"/>
  <c r="H268" i="17"/>
  <c r="H256" i="17"/>
  <c r="H263" i="17"/>
  <c r="H257" i="17"/>
  <c r="H264" i="17"/>
  <c r="H258" i="17"/>
  <c r="H265" i="17"/>
  <c r="H259" i="17"/>
  <c r="H266" i="17"/>
  <c r="H270" i="17"/>
  <c r="G173" i="17"/>
  <c r="H174" i="17"/>
  <c r="H238" i="17"/>
  <c r="H245" i="17"/>
  <c r="H239" i="17"/>
  <c r="H246" i="17"/>
  <c r="H240" i="17"/>
  <c r="H247" i="17"/>
  <c r="H241" i="17"/>
  <c r="H248" i="17"/>
  <c r="H252" i="17"/>
  <c r="H272" i="17"/>
  <c r="H274" i="17"/>
  <c r="H276" i="17"/>
  <c r="H279" i="17"/>
  <c r="H179" i="17"/>
  <c r="H183" i="17"/>
  <c r="H216" i="17"/>
  <c r="H185" i="17"/>
  <c r="H200" i="17"/>
  <c r="H217" i="17"/>
  <c r="H181" i="17"/>
  <c r="H184" i="17"/>
  <c r="H186" i="17"/>
  <c r="H202" i="17"/>
  <c r="H218" i="17"/>
  <c r="H187" i="17"/>
  <c r="H203" i="17"/>
  <c r="H219" i="17"/>
  <c r="H188" i="17"/>
  <c r="H204" i="17"/>
  <c r="H220" i="17"/>
  <c r="H189" i="17"/>
  <c r="H221" i="17"/>
  <c r="H190" i="17"/>
  <c r="H222" i="17"/>
  <c r="H191" i="17"/>
  <c r="H223" i="17"/>
  <c r="H192" i="17"/>
  <c r="H224" i="17"/>
  <c r="H193" i="17"/>
  <c r="H225" i="17"/>
  <c r="H201" i="17"/>
  <c r="H210" i="17"/>
  <c r="H226" i="17"/>
  <c r="H227" i="17"/>
  <c r="H228" i="17"/>
  <c r="H195" i="17"/>
  <c r="H229" i="17"/>
  <c r="H231" i="17"/>
  <c r="H233" i="17"/>
  <c r="H281" i="17"/>
  <c r="H391" i="17"/>
  <c r="H392" i="17"/>
  <c r="H345" i="17"/>
  <c r="H393" i="17"/>
  <c r="H395" i="17"/>
  <c r="H144" i="17"/>
  <c r="H147" i="17"/>
  <c r="H148" i="17"/>
  <c r="H153" i="17"/>
  <c r="H155" i="17"/>
  <c r="H157" i="17"/>
  <c r="H397" i="17"/>
  <c r="G410" i="17"/>
  <c r="G411" i="17"/>
  <c r="G412" i="17"/>
  <c r="H413" i="17"/>
  <c r="H399" i="17"/>
  <c r="H376" i="17"/>
  <c r="H378" i="17"/>
  <c r="H375" i="17"/>
  <c r="H377" i="17"/>
  <c r="H380" i="17"/>
  <c r="H350" i="17"/>
  <c r="H398" i="17"/>
  <c r="H401" i="17"/>
  <c r="I19" i="17"/>
  <c r="I42" i="17"/>
  <c r="I43" i="17"/>
  <c r="I44" i="17"/>
  <c r="I45" i="17"/>
  <c r="I46" i="17"/>
  <c r="I47" i="17"/>
  <c r="I48" i="17"/>
  <c r="I49" i="17"/>
  <c r="I50" i="17"/>
  <c r="I51" i="17"/>
  <c r="I52" i="17"/>
  <c r="I53" i="17"/>
  <c r="I54" i="17"/>
  <c r="I55" i="17"/>
  <c r="I56" i="17"/>
  <c r="I57" i="17"/>
  <c r="I58" i="17"/>
  <c r="I36" i="17"/>
  <c r="I59" i="17"/>
  <c r="I60" i="17"/>
  <c r="I61" i="17"/>
  <c r="I62" i="17"/>
  <c r="I63" i="17"/>
  <c r="I65" i="17"/>
  <c r="I160" i="17"/>
  <c r="I68" i="17"/>
  <c r="I105" i="17"/>
  <c r="I106" i="17"/>
  <c r="I107" i="17"/>
  <c r="I108" i="17"/>
  <c r="I109" i="17"/>
  <c r="I110" i="17"/>
  <c r="I111" i="17"/>
  <c r="I112" i="17"/>
  <c r="I113" i="17"/>
  <c r="I114" i="17"/>
  <c r="I115" i="17"/>
  <c r="I116" i="17"/>
  <c r="I117" i="17"/>
  <c r="I118" i="17"/>
  <c r="I119" i="17"/>
  <c r="I83" i="17"/>
  <c r="I120" i="17"/>
  <c r="I121" i="17"/>
  <c r="I122" i="17"/>
  <c r="I123" i="17"/>
  <c r="I124" i="17"/>
  <c r="I125" i="17"/>
  <c r="I126" i="17"/>
  <c r="I127" i="17"/>
  <c r="I128" i="17"/>
  <c r="I129" i="17"/>
  <c r="I130" i="17"/>
  <c r="I131" i="17"/>
  <c r="I132" i="17"/>
  <c r="I133" i="17"/>
  <c r="I134" i="17"/>
  <c r="I135" i="17"/>
  <c r="I136" i="17"/>
  <c r="I137" i="17"/>
  <c r="I138" i="17"/>
  <c r="I139" i="17"/>
  <c r="I140" i="17"/>
  <c r="I142" i="17"/>
  <c r="I161" i="17"/>
  <c r="I163" i="17"/>
  <c r="I275" i="17"/>
  <c r="I166" i="17"/>
  <c r="I260" i="17"/>
  <c r="I267" i="17"/>
  <c r="I261" i="17"/>
  <c r="I268" i="17"/>
  <c r="I256" i="17"/>
  <c r="I263" i="17"/>
  <c r="I257" i="17"/>
  <c r="I264" i="17"/>
  <c r="I258" i="17"/>
  <c r="I265" i="17"/>
  <c r="I259" i="17"/>
  <c r="I266" i="17"/>
  <c r="I270" i="17"/>
  <c r="I174" i="17"/>
  <c r="I238" i="17"/>
  <c r="I245" i="17"/>
  <c r="I239" i="17"/>
  <c r="I246" i="17"/>
  <c r="I240" i="17"/>
  <c r="I247" i="17"/>
  <c r="I241" i="17"/>
  <c r="I248" i="17"/>
  <c r="I252" i="17"/>
  <c r="I272" i="17"/>
  <c r="I274" i="17"/>
  <c r="I276" i="17"/>
  <c r="I279" i="17"/>
  <c r="I179" i="17"/>
  <c r="I183" i="17"/>
  <c r="I216" i="17"/>
  <c r="I185" i="17"/>
  <c r="I200" i="17"/>
  <c r="I217" i="17"/>
  <c r="I181" i="17"/>
  <c r="I184" i="17"/>
  <c r="I186" i="17"/>
  <c r="I202" i="17"/>
  <c r="I218" i="17"/>
  <c r="I187" i="17"/>
  <c r="I203" i="17"/>
  <c r="I219" i="17"/>
  <c r="I188" i="17"/>
  <c r="I204" i="17"/>
  <c r="I220" i="17"/>
  <c r="I189" i="17"/>
  <c r="I221" i="17"/>
  <c r="I190" i="17"/>
  <c r="I222" i="17"/>
  <c r="I191" i="17"/>
  <c r="I223" i="17"/>
  <c r="I192" i="17"/>
  <c r="I224" i="17"/>
  <c r="I193" i="17"/>
  <c r="I225" i="17"/>
  <c r="I201" i="17"/>
  <c r="I210" i="17"/>
  <c r="I226" i="17"/>
  <c r="I227" i="17"/>
  <c r="I228" i="17"/>
  <c r="I195" i="17"/>
  <c r="I229" i="17"/>
  <c r="I231" i="17"/>
  <c r="I233" i="17"/>
  <c r="I281" i="17"/>
  <c r="I391" i="17"/>
  <c r="I392" i="17"/>
  <c r="I345" i="17"/>
  <c r="I393" i="17"/>
  <c r="I395" i="17"/>
  <c r="I144" i="17"/>
  <c r="I147" i="17"/>
  <c r="I148" i="17"/>
  <c r="I153" i="17"/>
  <c r="I155" i="17"/>
  <c r="I157" i="17"/>
  <c r="I397" i="17"/>
  <c r="H410" i="17"/>
  <c r="H411" i="17"/>
  <c r="H412" i="17"/>
  <c r="I413" i="17"/>
  <c r="I399" i="17"/>
  <c r="I376" i="17"/>
  <c r="I378" i="17"/>
  <c r="I375" i="17"/>
  <c r="I377" i="17"/>
  <c r="I380" i="17"/>
  <c r="I350" i="17"/>
  <c r="I398" i="17"/>
  <c r="I401" i="17"/>
  <c r="J19" i="17"/>
  <c r="J42" i="17"/>
  <c r="J43" i="17"/>
  <c r="J44" i="17"/>
  <c r="J45" i="17"/>
  <c r="J46" i="17"/>
  <c r="J47" i="17"/>
  <c r="J48" i="17"/>
  <c r="J49" i="17"/>
  <c r="J50" i="17"/>
  <c r="J51" i="17"/>
  <c r="J52" i="17"/>
  <c r="J53" i="17"/>
  <c r="J54" i="17"/>
  <c r="J55" i="17"/>
  <c r="J56" i="17"/>
  <c r="J57" i="17"/>
  <c r="J58" i="17"/>
  <c r="J36" i="17"/>
  <c r="J59" i="17"/>
  <c r="J60" i="17"/>
  <c r="J61" i="17"/>
  <c r="J62" i="17"/>
  <c r="J63" i="17"/>
  <c r="J65" i="17"/>
  <c r="J160" i="17"/>
  <c r="J68" i="17"/>
  <c r="J105" i="17"/>
  <c r="J106" i="17"/>
  <c r="J107" i="17"/>
  <c r="J108" i="17"/>
  <c r="J109" i="17"/>
  <c r="J110" i="17"/>
  <c r="J111" i="17"/>
  <c r="J112" i="17"/>
  <c r="J113" i="17"/>
  <c r="J114" i="17"/>
  <c r="J115" i="17"/>
  <c r="J116" i="17"/>
  <c r="J117" i="17"/>
  <c r="J118" i="17"/>
  <c r="J119" i="17"/>
  <c r="J83" i="17"/>
  <c r="J120" i="17"/>
  <c r="J121" i="17"/>
  <c r="J122" i="17"/>
  <c r="J123" i="17"/>
  <c r="J124" i="17"/>
  <c r="J125" i="17"/>
  <c r="J126" i="17"/>
  <c r="J127" i="17"/>
  <c r="J128" i="17"/>
  <c r="J129" i="17"/>
  <c r="J130" i="17"/>
  <c r="J131" i="17"/>
  <c r="J132" i="17"/>
  <c r="J133" i="17"/>
  <c r="J134" i="17"/>
  <c r="J135" i="17"/>
  <c r="J136" i="17"/>
  <c r="J137" i="17"/>
  <c r="J138" i="17"/>
  <c r="J139" i="17"/>
  <c r="J140" i="17"/>
  <c r="J142" i="17"/>
  <c r="J161" i="17"/>
  <c r="J163" i="17"/>
  <c r="J275" i="17"/>
  <c r="J166" i="17"/>
  <c r="J260" i="17"/>
  <c r="J267" i="17"/>
  <c r="J261" i="17"/>
  <c r="J268" i="17"/>
  <c r="J256" i="17"/>
  <c r="J263" i="17"/>
  <c r="J257" i="17"/>
  <c r="J264" i="17"/>
  <c r="J258" i="17"/>
  <c r="J265" i="17"/>
  <c r="J259" i="17"/>
  <c r="J266" i="17"/>
  <c r="J270" i="17"/>
  <c r="J174" i="17"/>
  <c r="J238" i="17"/>
  <c r="J245" i="17"/>
  <c r="J239" i="17"/>
  <c r="J246" i="17"/>
  <c r="J240" i="17"/>
  <c r="J247" i="17"/>
  <c r="J241" i="17"/>
  <c r="J248" i="17"/>
  <c r="J252" i="17"/>
  <c r="J272" i="17"/>
  <c r="J274" i="17"/>
  <c r="J276" i="17"/>
  <c r="J279" i="17"/>
  <c r="J179" i="17"/>
  <c r="J183" i="17"/>
  <c r="J216" i="17"/>
  <c r="J185" i="17"/>
  <c r="J200" i="17"/>
  <c r="J217" i="17"/>
  <c r="J181" i="17"/>
  <c r="J184" i="17"/>
  <c r="J186" i="17"/>
  <c r="J202" i="17"/>
  <c r="J218" i="17"/>
  <c r="J187" i="17"/>
  <c r="J203" i="17"/>
  <c r="J219" i="17"/>
  <c r="J188" i="17"/>
  <c r="J204" i="17"/>
  <c r="J220" i="17"/>
  <c r="J189" i="17"/>
  <c r="J221" i="17"/>
  <c r="J190" i="17"/>
  <c r="J222" i="17"/>
  <c r="J191" i="17"/>
  <c r="J223" i="17"/>
  <c r="J192" i="17"/>
  <c r="J224" i="17"/>
  <c r="J193" i="17"/>
  <c r="J225" i="17"/>
  <c r="J201" i="17"/>
  <c r="J210" i="17"/>
  <c r="J226" i="17"/>
  <c r="J227" i="17"/>
  <c r="J228" i="17"/>
  <c r="J195" i="17"/>
  <c r="J229" i="17"/>
  <c r="J231" i="17"/>
  <c r="J233" i="17"/>
  <c r="J281" i="17"/>
  <c r="J391" i="17"/>
  <c r="J392" i="17"/>
  <c r="J345" i="17"/>
  <c r="J393" i="17"/>
  <c r="J395" i="17"/>
  <c r="J144" i="17"/>
  <c r="J147" i="17"/>
  <c r="J148" i="17"/>
  <c r="J153" i="17"/>
  <c r="J155" i="17"/>
  <c r="J157" i="17"/>
  <c r="J397" i="17"/>
  <c r="I410" i="17"/>
  <c r="I411" i="17"/>
  <c r="I412" i="17"/>
  <c r="J413" i="17"/>
  <c r="J399" i="17"/>
  <c r="J376" i="17"/>
  <c r="J378" i="17"/>
  <c r="J375" i="17"/>
  <c r="J377" i="17"/>
  <c r="J380" i="17"/>
  <c r="J350" i="17"/>
  <c r="J398" i="17"/>
  <c r="J401" i="17"/>
  <c r="K19" i="17"/>
  <c r="K42" i="17"/>
  <c r="K43" i="17"/>
  <c r="K44" i="17"/>
  <c r="K45" i="17"/>
  <c r="K46" i="17"/>
  <c r="K47" i="17"/>
  <c r="K48" i="17"/>
  <c r="K49" i="17"/>
  <c r="K50" i="17"/>
  <c r="K51" i="17"/>
  <c r="K52" i="17"/>
  <c r="K53" i="17"/>
  <c r="K54" i="17"/>
  <c r="K55" i="17"/>
  <c r="K56" i="17"/>
  <c r="K57" i="17"/>
  <c r="K58" i="17"/>
  <c r="K36" i="17"/>
  <c r="K59" i="17"/>
  <c r="K60" i="17"/>
  <c r="K61" i="17"/>
  <c r="K62" i="17"/>
  <c r="K63" i="17"/>
  <c r="K65" i="17"/>
  <c r="K160" i="17"/>
  <c r="K68" i="17"/>
  <c r="K105" i="17"/>
  <c r="K106" i="17"/>
  <c r="K107" i="17"/>
  <c r="K108" i="17"/>
  <c r="K109" i="17"/>
  <c r="K110" i="17"/>
  <c r="K111" i="17"/>
  <c r="K112" i="17"/>
  <c r="K113" i="17"/>
  <c r="K114" i="17"/>
  <c r="K115" i="17"/>
  <c r="K116" i="17"/>
  <c r="K117" i="17"/>
  <c r="K118" i="17"/>
  <c r="K119" i="17"/>
  <c r="K83" i="17"/>
  <c r="K120" i="17"/>
  <c r="K121" i="17"/>
  <c r="K122" i="17"/>
  <c r="K123" i="17"/>
  <c r="K124" i="17"/>
  <c r="K125" i="17"/>
  <c r="K126" i="17"/>
  <c r="K127" i="17"/>
  <c r="K128" i="17"/>
  <c r="K129" i="17"/>
  <c r="K130" i="17"/>
  <c r="K131" i="17"/>
  <c r="K132" i="17"/>
  <c r="K133" i="17"/>
  <c r="K134" i="17"/>
  <c r="K135" i="17"/>
  <c r="K136" i="17"/>
  <c r="K137" i="17"/>
  <c r="K138" i="17"/>
  <c r="K139" i="17"/>
  <c r="K140" i="17"/>
  <c r="K142" i="17"/>
  <c r="K161" i="17"/>
  <c r="K163" i="17"/>
  <c r="K275" i="17"/>
  <c r="K166" i="17"/>
  <c r="K260" i="17"/>
  <c r="K267" i="17"/>
  <c r="K261" i="17"/>
  <c r="K268" i="17"/>
  <c r="K256" i="17"/>
  <c r="K263" i="17"/>
  <c r="K257" i="17"/>
  <c r="K264" i="17"/>
  <c r="K258" i="17"/>
  <c r="K265" i="17"/>
  <c r="K259" i="17"/>
  <c r="K266" i="17"/>
  <c r="K270" i="17"/>
  <c r="K174" i="17"/>
  <c r="K238" i="17"/>
  <c r="K245" i="17"/>
  <c r="K239" i="17"/>
  <c r="K246" i="17"/>
  <c r="K240" i="17"/>
  <c r="K247" i="17"/>
  <c r="K241" i="17"/>
  <c r="K248" i="17"/>
  <c r="K252" i="17"/>
  <c r="K272" i="17"/>
  <c r="K274" i="17"/>
  <c r="K276" i="17"/>
  <c r="K279" i="17"/>
  <c r="K179" i="17"/>
  <c r="K183" i="17"/>
  <c r="K216" i="17"/>
  <c r="K185" i="17"/>
  <c r="K200" i="17"/>
  <c r="K217" i="17"/>
  <c r="K181" i="17"/>
  <c r="K184" i="17"/>
  <c r="K186" i="17"/>
  <c r="K202" i="17"/>
  <c r="K218" i="17"/>
  <c r="K187" i="17"/>
  <c r="K203" i="17"/>
  <c r="K219" i="17"/>
  <c r="K188" i="17"/>
  <c r="K204" i="17"/>
  <c r="K220" i="17"/>
  <c r="K189" i="17"/>
  <c r="K221" i="17"/>
  <c r="K190" i="17"/>
  <c r="K222" i="17"/>
  <c r="K191" i="17"/>
  <c r="K223" i="17"/>
  <c r="K192" i="17"/>
  <c r="K224" i="17"/>
  <c r="K193" i="17"/>
  <c r="K225" i="17"/>
  <c r="K201" i="17"/>
  <c r="K210" i="17"/>
  <c r="K226" i="17"/>
  <c r="K227" i="17"/>
  <c r="K228" i="17"/>
  <c r="K195" i="17"/>
  <c r="K229" i="17"/>
  <c r="K231" i="17"/>
  <c r="K233" i="17"/>
  <c r="K281" i="17"/>
  <c r="K391" i="17"/>
  <c r="K392" i="17"/>
  <c r="K345" i="17"/>
  <c r="K393" i="17"/>
  <c r="K395" i="17"/>
  <c r="K144" i="17"/>
  <c r="K147" i="17"/>
  <c r="K148" i="17"/>
  <c r="K153" i="17"/>
  <c r="K155" i="17"/>
  <c r="K157" i="17"/>
  <c r="K397" i="17"/>
  <c r="J410" i="17"/>
  <c r="J411" i="17"/>
  <c r="J412" i="17"/>
  <c r="K413" i="17"/>
  <c r="K399" i="17"/>
  <c r="K376" i="17"/>
  <c r="K378" i="17"/>
  <c r="K375" i="17"/>
  <c r="K377" i="17"/>
  <c r="K380" i="17"/>
  <c r="K350" i="17"/>
  <c r="K398" i="17"/>
  <c r="K401" i="17"/>
  <c r="L19" i="17"/>
  <c r="L42" i="17"/>
  <c r="L43" i="17"/>
  <c r="L44" i="17"/>
  <c r="L45" i="17"/>
  <c r="L46" i="17"/>
  <c r="L47" i="17"/>
  <c r="L48" i="17"/>
  <c r="L49" i="17"/>
  <c r="L50" i="17"/>
  <c r="L51" i="17"/>
  <c r="L52" i="17"/>
  <c r="L53" i="17"/>
  <c r="L54" i="17"/>
  <c r="L55" i="17"/>
  <c r="L56" i="17"/>
  <c r="L57" i="17"/>
  <c r="L58" i="17"/>
  <c r="L36" i="17"/>
  <c r="L59" i="17"/>
  <c r="L60" i="17"/>
  <c r="L61" i="17"/>
  <c r="L62" i="17"/>
  <c r="L63" i="17"/>
  <c r="L65" i="17"/>
  <c r="L160" i="17"/>
  <c r="L68" i="17"/>
  <c r="L105" i="17"/>
  <c r="L106" i="17"/>
  <c r="L107" i="17"/>
  <c r="L108" i="17"/>
  <c r="L109" i="17"/>
  <c r="L110" i="17"/>
  <c r="L111" i="17"/>
  <c r="L112" i="17"/>
  <c r="L113" i="17"/>
  <c r="L114" i="17"/>
  <c r="L115" i="17"/>
  <c r="L116" i="17"/>
  <c r="L117" i="17"/>
  <c r="L118" i="17"/>
  <c r="L119" i="17"/>
  <c r="L83" i="17"/>
  <c r="L120" i="17"/>
  <c r="L121" i="17"/>
  <c r="L122" i="17"/>
  <c r="L123" i="17"/>
  <c r="L124" i="17"/>
  <c r="L125" i="17"/>
  <c r="L126" i="17"/>
  <c r="L127" i="17"/>
  <c r="L128" i="17"/>
  <c r="L129" i="17"/>
  <c r="L130" i="17"/>
  <c r="L131" i="17"/>
  <c r="L132" i="17"/>
  <c r="L133" i="17"/>
  <c r="L134" i="17"/>
  <c r="L135" i="17"/>
  <c r="L136" i="17"/>
  <c r="L137" i="17"/>
  <c r="L138" i="17"/>
  <c r="L139" i="17"/>
  <c r="L140" i="17"/>
  <c r="L142" i="17"/>
  <c r="L161" i="17"/>
  <c r="L163" i="17"/>
  <c r="L275" i="17"/>
  <c r="L166" i="17"/>
  <c r="L260" i="17"/>
  <c r="L267" i="17"/>
  <c r="L261" i="17"/>
  <c r="L268" i="17"/>
  <c r="L256" i="17"/>
  <c r="L263" i="17"/>
  <c r="L257" i="17"/>
  <c r="L264" i="17"/>
  <c r="L258" i="17"/>
  <c r="L265" i="17"/>
  <c r="L259" i="17"/>
  <c r="L266" i="17"/>
  <c r="L270" i="17"/>
  <c r="L174" i="17"/>
  <c r="L238" i="17"/>
  <c r="L245" i="17"/>
  <c r="L239" i="17"/>
  <c r="L246" i="17"/>
  <c r="L240" i="17"/>
  <c r="L247" i="17"/>
  <c r="L241" i="17"/>
  <c r="L248" i="17"/>
  <c r="L252" i="17"/>
  <c r="L272" i="17"/>
  <c r="L274" i="17"/>
  <c r="L146" i="15"/>
  <c r="L166" i="15"/>
  <c r="L276" i="17"/>
  <c r="L279" i="17"/>
  <c r="L179" i="17"/>
  <c r="L183" i="17"/>
  <c r="L216" i="17"/>
  <c r="L185" i="17"/>
  <c r="L200" i="17"/>
  <c r="L217" i="17"/>
  <c r="L181" i="17"/>
  <c r="L184" i="17"/>
  <c r="L186" i="17"/>
  <c r="L202" i="17"/>
  <c r="L218" i="17"/>
  <c r="L187" i="17"/>
  <c r="L203" i="17"/>
  <c r="L219" i="17"/>
  <c r="L188" i="17"/>
  <c r="L204" i="17"/>
  <c r="L220" i="17"/>
  <c r="L189" i="17"/>
  <c r="L221" i="17"/>
  <c r="L190" i="17"/>
  <c r="L222" i="17"/>
  <c r="L191" i="17"/>
  <c r="L223" i="17"/>
  <c r="L192" i="17"/>
  <c r="L224" i="17"/>
  <c r="L193" i="17"/>
  <c r="L225" i="17"/>
  <c r="L201" i="17"/>
  <c r="L210" i="17"/>
  <c r="L226" i="17"/>
  <c r="L227" i="17"/>
  <c r="L228" i="17"/>
  <c r="L195" i="17"/>
  <c r="L229" i="17"/>
  <c r="L231" i="17"/>
  <c r="L233" i="17"/>
  <c r="L281" i="17"/>
  <c r="L391" i="17"/>
  <c r="L392" i="17"/>
  <c r="L345" i="17"/>
  <c r="L393" i="17"/>
  <c r="L395" i="17"/>
  <c r="L144" i="17"/>
  <c r="L147" i="17"/>
  <c r="L148" i="17"/>
  <c r="L153" i="17"/>
  <c r="L155" i="17"/>
  <c r="L157" i="17"/>
  <c r="L397" i="17"/>
  <c r="K410" i="17"/>
  <c r="K411" i="17"/>
  <c r="K412" i="17"/>
  <c r="L413" i="17"/>
  <c r="L399" i="17"/>
  <c r="L376" i="17"/>
  <c r="L378" i="17"/>
  <c r="L375" i="17"/>
  <c r="L377" i="17"/>
  <c r="L380" i="17"/>
  <c r="L350" i="17"/>
  <c r="L398" i="17"/>
  <c r="L401" i="17"/>
  <c r="M19" i="17"/>
  <c r="M42" i="17"/>
  <c r="M43" i="17"/>
  <c r="M44" i="17"/>
  <c r="M45" i="17"/>
  <c r="M46" i="17"/>
  <c r="M47" i="17"/>
  <c r="M48" i="17"/>
  <c r="M49" i="17"/>
  <c r="M50" i="17"/>
  <c r="M51" i="17"/>
  <c r="M52" i="17"/>
  <c r="M53" i="17"/>
  <c r="M54" i="17"/>
  <c r="M55" i="17"/>
  <c r="M56" i="17"/>
  <c r="M57" i="17"/>
  <c r="M58" i="17"/>
  <c r="M36" i="17"/>
  <c r="M59" i="17"/>
  <c r="M60" i="17"/>
  <c r="M61" i="17"/>
  <c r="M62" i="17"/>
  <c r="M63" i="17"/>
  <c r="M65" i="17"/>
  <c r="M160" i="17"/>
  <c r="M68" i="17"/>
  <c r="M105" i="17"/>
  <c r="M106" i="17"/>
  <c r="M107" i="17"/>
  <c r="M108" i="17"/>
  <c r="M109" i="17"/>
  <c r="M110" i="17"/>
  <c r="M111" i="17"/>
  <c r="M112" i="17"/>
  <c r="M113" i="17"/>
  <c r="M114" i="17"/>
  <c r="M115" i="17"/>
  <c r="M116" i="17"/>
  <c r="M117" i="17"/>
  <c r="M118" i="17"/>
  <c r="M119" i="17"/>
  <c r="M83" i="17"/>
  <c r="M120" i="17"/>
  <c r="M121" i="17"/>
  <c r="M122" i="17"/>
  <c r="M123" i="17"/>
  <c r="M124" i="17"/>
  <c r="M125" i="17"/>
  <c r="M126" i="17"/>
  <c r="M127" i="17"/>
  <c r="M128" i="17"/>
  <c r="M129" i="17"/>
  <c r="M130" i="17"/>
  <c r="M131" i="17"/>
  <c r="M132" i="17"/>
  <c r="M133" i="17"/>
  <c r="M134" i="17"/>
  <c r="M135" i="17"/>
  <c r="M136" i="17"/>
  <c r="M137" i="17"/>
  <c r="M138" i="17"/>
  <c r="M139" i="17"/>
  <c r="M140" i="17"/>
  <c r="M142" i="17"/>
  <c r="M161" i="17"/>
  <c r="M163" i="17"/>
  <c r="M275" i="17"/>
  <c r="M166" i="17"/>
  <c r="M260" i="17"/>
  <c r="M267" i="17"/>
  <c r="M261" i="17"/>
  <c r="M268" i="17"/>
  <c r="M256" i="17"/>
  <c r="M263" i="17"/>
  <c r="M257" i="17"/>
  <c r="M264" i="17"/>
  <c r="M258" i="17"/>
  <c r="M265" i="17"/>
  <c r="M259" i="17"/>
  <c r="M266" i="17"/>
  <c r="M270" i="17"/>
  <c r="M174" i="17"/>
  <c r="M238" i="17"/>
  <c r="M245" i="17"/>
  <c r="M239" i="17"/>
  <c r="M246" i="17"/>
  <c r="M240" i="17"/>
  <c r="M247" i="17"/>
  <c r="M241" i="17"/>
  <c r="M248" i="17"/>
  <c r="M252" i="17"/>
  <c r="M272" i="17"/>
  <c r="M274" i="17"/>
  <c r="M138" i="15"/>
  <c r="M145" i="15"/>
  <c r="M146" i="15"/>
  <c r="M158" i="15"/>
  <c r="M165" i="15"/>
  <c r="M166" i="15"/>
  <c r="M276" i="17"/>
  <c r="M279" i="17"/>
  <c r="M179" i="17"/>
  <c r="M183" i="17"/>
  <c r="M216" i="17"/>
  <c r="M185" i="17"/>
  <c r="M200" i="17"/>
  <c r="M217" i="17"/>
  <c r="M181" i="17"/>
  <c r="M184" i="17"/>
  <c r="M186" i="17"/>
  <c r="M202" i="17"/>
  <c r="M218" i="17"/>
  <c r="M187" i="17"/>
  <c r="M203" i="17"/>
  <c r="M219" i="17"/>
  <c r="M188" i="17"/>
  <c r="M204" i="17"/>
  <c r="M220" i="17"/>
  <c r="M189" i="17"/>
  <c r="M221" i="17"/>
  <c r="M190" i="17"/>
  <c r="M222" i="17"/>
  <c r="M191" i="17"/>
  <c r="M223" i="17"/>
  <c r="M192" i="17"/>
  <c r="M224" i="17"/>
  <c r="M193" i="17"/>
  <c r="M225" i="17"/>
  <c r="M201" i="17"/>
  <c r="M210" i="17"/>
  <c r="M226" i="17"/>
  <c r="M227" i="17"/>
  <c r="M228" i="17"/>
  <c r="M195" i="17"/>
  <c r="M229" i="17"/>
  <c r="M231" i="17"/>
  <c r="M233" i="17"/>
  <c r="M281" i="17"/>
  <c r="M391" i="17"/>
  <c r="M392" i="17"/>
  <c r="M345" i="17"/>
  <c r="M393" i="17"/>
  <c r="M395" i="17"/>
  <c r="M144" i="17"/>
  <c r="M147" i="17"/>
  <c r="M148" i="17"/>
  <c r="M153" i="17"/>
  <c r="M155" i="17"/>
  <c r="M157" i="17"/>
  <c r="M397" i="17"/>
  <c r="L410" i="17"/>
  <c r="L411" i="17"/>
  <c r="L412" i="17"/>
  <c r="M413" i="17"/>
  <c r="M399" i="17"/>
  <c r="M376" i="17"/>
  <c r="M378" i="17"/>
  <c r="M375" i="17"/>
  <c r="M377" i="17"/>
  <c r="M380" i="17"/>
  <c r="M350" i="17"/>
  <c r="M398" i="17"/>
  <c r="M401" i="17"/>
  <c r="N19" i="17"/>
  <c r="N42" i="17"/>
  <c r="N43" i="17"/>
  <c r="N44" i="17"/>
  <c r="N45" i="17"/>
  <c r="N46" i="17"/>
  <c r="N47" i="17"/>
  <c r="N48" i="17"/>
  <c r="N49" i="17"/>
  <c r="N50" i="17"/>
  <c r="N51" i="17"/>
  <c r="N52" i="17"/>
  <c r="N53" i="17"/>
  <c r="N54" i="17"/>
  <c r="N55" i="17"/>
  <c r="N56" i="17"/>
  <c r="N57" i="17"/>
  <c r="N58" i="17"/>
  <c r="N36" i="17"/>
  <c r="N59" i="17"/>
  <c r="N60" i="17"/>
  <c r="N61" i="17"/>
  <c r="N62" i="17"/>
  <c r="N63" i="17"/>
  <c r="N65" i="17"/>
  <c r="N160" i="17"/>
  <c r="N68" i="17"/>
  <c r="N105" i="17"/>
  <c r="N106" i="17"/>
  <c r="N107" i="17"/>
  <c r="N108" i="17"/>
  <c r="N109" i="17"/>
  <c r="N110" i="17"/>
  <c r="N111" i="17"/>
  <c r="N112" i="17"/>
  <c r="N113" i="17"/>
  <c r="N114" i="17"/>
  <c r="N115" i="17"/>
  <c r="N116" i="17"/>
  <c r="N117" i="17"/>
  <c r="N118" i="17"/>
  <c r="N119" i="17"/>
  <c r="N83" i="17"/>
  <c r="N120" i="17"/>
  <c r="N121" i="17"/>
  <c r="N122" i="17"/>
  <c r="N123" i="17"/>
  <c r="N124" i="17"/>
  <c r="N125" i="17"/>
  <c r="N126" i="17"/>
  <c r="N127" i="17"/>
  <c r="N128" i="17"/>
  <c r="N129" i="17"/>
  <c r="N130" i="17"/>
  <c r="N131" i="17"/>
  <c r="N132" i="17"/>
  <c r="N133" i="17"/>
  <c r="N134" i="17"/>
  <c r="N135" i="17"/>
  <c r="N136" i="17"/>
  <c r="N137" i="17"/>
  <c r="N138" i="17"/>
  <c r="N139" i="17"/>
  <c r="N140" i="17"/>
  <c r="N142" i="17"/>
  <c r="N161" i="17"/>
  <c r="N163" i="17"/>
  <c r="N275" i="17"/>
  <c r="N166" i="17"/>
  <c r="N260" i="17"/>
  <c r="N267" i="17"/>
  <c r="N261" i="17"/>
  <c r="N268" i="17"/>
  <c r="N256" i="17"/>
  <c r="N263" i="17"/>
  <c r="N257" i="17"/>
  <c r="N264" i="17"/>
  <c r="N258" i="17"/>
  <c r="N265" i="17"/>
  <c r="N259" i="17"/>
  <c r="N266" i="17"/>
  <c r="N270" i="17"/>
  <c r="N174" i="17"/>
  <c r="N238" i="17"/>
  <c r="N245" i="17"/>
  <c r="N239" i="17"/>
  <c r="N246" i="17"/>
  <c r="N240" i="17"/>
  <c r="N247" i="17"/>
  <c r="N241" i="17"/>
  <c r="N248" i="17"/>
  <c r="N252" i="17"/>
  <c r="N272" i="17"/>
  <c r="N274" i="17"/>
  <c r="N138" i="15"/>
  <c r="N145" i="15"/>
  <c r="N146" i="15"/>
  <c r="N158" i="15"/>
  <c r="N165" i="15"/>
  <c r="N166" i="15"/>
  <c r="N276" i="17"/>
  <c r="N279" i="17"/>
  <c r="N179" i="17"/>
  <c r="N183" i="17"/>
  <c r="N216" i="17"/>
  <c r="N185" i="17"/>
  <c r="N200" i="17"/>
  <c r="N217" i="17"/>
  <c r="N181" i="17"/>
  <c r="N184" i="17"/>
  <c r="N186" i="17"/>
  <c r="N202" i="17"/>
  <c r="N218" i="17"/>
  <c r="N187" i="17"/>
  <c r="N203" i="17"/>
  <c r="N219" i="17"/>
  <c r="N188" i="17"/>
  <c r="N204" i="17"/>
  <c r="N220" i="17"/>
  <c r="N189" i="17"/>
  <c r="N221" i="17"/>
  <c r="N190" i="17"/>
  <c r="N222" i="17"/>
  <c r="N191" i="17"/>
  <c r="N223" i="17"/>
  <c r="N192" i="17"/>
  <c r="N224" i="17"/>
  <c r="N193" i="17"/>
  <c r="N225" i="17"/>
  <c r="N201" i="17"/>
  <c r="N210" i="17"/>
  <c r="N226" i="17"/>
  <c r="N227" i="17"/>
  <c r="N228" i="17"/>
  <c r="N195" i="17"/>
  <c r="N229" i="17"/>
  <c r="N231" i="17"/>
  <c r="N233" i="17"/>
  <c r="N281" i="17"/>
  <c r="N391" i="17"/>
  <c r="N392" i="17"/>
  <c r="N345" i="17"/>
  <c r="N393" i="17"/>
  <c r="N395" i="17"/>
  <c r="N144" i="17"/>
  <c r="N147" i="17"/>
  <c r="N148" i="17"/>
  <c r="N153" i="17"/>
  <c r="N155" i="17"/>
  <c r="N157" i="17"/>
  <c r="N397" i="17"/>
  <c r="M410" i="17"/>
  <c r="M411" i="17"/>
  <c r="M412" i="17"/>
  <c r="N413" i="17"/>
  <c r="N399" i="17"/>
  <c r="N376" i="17"/>
  <c r="N378" i="17"/>
  <c r="N375" i="17"/>
  <c r="N377" i="17"/>
  <c r="N380" i="17"/>
  <c r="N350" i="17"/>
  <c r="N398" i="17"/>
  <c r="N401" i="17"/>
  <c r="O19" i="17"/>
  <c r="O42" i="17"/>
  <c r="O43" i="17"/>
  <c r="O44" i="17"/>
  <c r="O45" i="17"/>
  <c r="O46" i="17"/>
  <c r="O47" i="17"/>
  <c r="O48" i="17"/>
  <c r="O49" i="17"/>
  <c r="O50" i="17"/>
  <c r="O51" i="17"/>
  <c r="O52" i="17"/>
  <c r="O53" i="17"/>
  <c r="O54" i="17"/>
  <c r="O55" i="17"/>
  <c r="O56" i="17"/>
  <c r="O57" i="17"/>
  <c r="O58" i="17"/>
  <c r="O36" i="17"/>
  <c r="O59" i="17"/>
  <c r="O60" i="17"/>
  <c r="O61" i="17"/>
  <c r="O62" i="17"/>
  <c r="O63" i="17"/>
  <c r="O65" i="17"/>
  <c r="O160" i="17"/>
  <c r="O68" i="17"/>
  <c r="O105" i="17"/>
  <c r="O106" i="17"/>
  <c r="O107" i="17"/>
  <c r="O108" i="17"/>
  <c r="O109" i="17"/>
  <c r="O110" i="17"/>
  <c r="O111" i="17"/>
  <c r="O112" i="17"/>
  <c r="O113" i="17"/>
  <c r="O114" i="17"/>
  <c r="O115" i="17"/>
  <c r="O116" i="17"/>
  <c r="O117" i="17"/>
  <c r="O118" i="17"/>
  <c r="O119" i="17"/>
  <c r="O83" i="17"/>
  <c r="O120" i="17"/>
  <c r="O121" i="17"/>
  <c r="O122" i="17"/>
  <c r="O123" i="17"/>
  <c r="O124" i="17"/>
  <c r="O125" i="17"/>
  <c r="O126" i="17"/>
  <c r="O127" i="17"/>
  <c r="O128" i="17"/>
  <c r="O129" i="17"/>
  <c r="O130" i="17"/>
  <c r="O131" i="17"/>
  <c r="O132" i="17"/>
  <c r="O133" i="17"/>
  <c r="O134" i="17"/>
  <c r="O135" i="17"/>
  <c r="O136" i="17"/>
  <c r="O137" i="17"/>
  <c r="O138" i="17"/>
  <c r="O139" i="17"/>
  <c r="O140" i="17"/>
  <c r="O142" i="17"/>
  <c r="O161" i="17"/>
  <c r="O163" i="17"/>
  <c r="O275" i="17"/>
  <c r="O166" i="17"/>
  <c r="O260" i="17"/>
  <c r="O267" i="17"/>
  <c r="O261" i="17"/>
  <c r="O268" i="17"/>
  <c r="O256" i="17"/>
  <c r="O263" i="17"/>
  <c r="O257" i="17"/>
  <c r="O264" i="17"/>
  <c r="O258" i="17"/>
  <c r="O265" i="17"/>
  <c r="O259" i="17"/>
  <c r="O266" i="17"/>
  <c r="O270" i="17"/>
  <c r="O174" i="17"/>
  <c r="O238" i="17"/>
  <c r="O245" i="17"/>
  <c r="O239" i="17"/>
  <c r="O246" i="17"/>
  <c r="O240" i="17"/>
  <c r="O247" i="17"/>
  <c r="O241" i="17"/>
  <c r="O248" i="17"/>
  <c r="O252" i="17"/>
  <c r="O272" i="17"/>
  <c r="O274" i="17"/>
  <c r="O138" i="15"/>
  <c r="O145" i="15"/>
  <c r="O146" i="15"/>
  <c r="O158" i="15"/>
  <c r="O165" i="15"/>
  <c r="O166" i="15"/>
  <c r="O276" i="17"/>
  <c r="O279" i="17"/>
  <c r="O179" i="17"/>
  <c r="O183" i="17"/>
  <c r="O216" i="17"/>
  <c r="O185" i="17"/>
  <c r="O200" i="17"/>
  <c r="O217" i="17"/>
  <c r="O181" i="17"/>
  <c r="O184" i="17"/>
  <c r="O186" i="17"/>
  <c r="O202" i="17"/>
  <c r="O218" i="17"/>
  <c r="O187" i="17"/>
  <c r="O203" i="17"/>
  <c r="O219" i="17"/>
  <c r="O188" i="17"/>
  <c r="O204" i="17"/>
  <c r="O220" i="17"/>
  <c r="O189" i="17"/>
  <c r="O221" i="17"/>
  <c r="O190" i="17"/>
  <c r="O222" i="17"/>
  <c r="O191" i="17"/>
  <c r="O223" i="17"/>
  <c r="O192" i="17"/>
  <c r="O224" i="17"/>
  <c r="O193" i="17"/>
  <c r="O225" i="17"/>
  <c r="O201" i="17"/>
  <c r="O210" i="17"/>
  <c r="O226" i="17"/>
  <c r="O227" i="17"/>
  <c r="O228" i="17"/>
  <c r="O195" i="17"/>
  <c r="O229" i="17"/>
  <c r="O231" i="17"/>
  <c r="O233" i="17"/>
  <c r="O281" i="17"/>
  <c r="O391" i="17"/>
  <c r="O392" i="17"/>
  <c r="O345" i="17"/>
  <c r="O393" i="17"/>
  <c r="O395" i="17"/>
  <c r="O144" i="17"/>
  <c r="O147" i="17"/>
  <c r="O148" i="17"/>
  <c r="O153" i="17"/>
  <c r="O155" i="17"/>
  <c r="O157" i="17"/>
  <c r="O397" i="17"/>
  <c r="N410" i="17"/>
  <c r="N411" i="17"/>
  <c r="N412" i="17"/>
  <c r="O413" i="17"/>
  <c r="O399" i="17"/>
  <c r="O376" i="17"/>
  <c r="O378" i="17"/>
  <c r="O375" i="17"/>
  <c r="O377" i="17"/>
  <c r="O380" i="17"/>
  <c r="O350" i="17"/>
  <c r="O398" i="17"/>
  <c r="O401" i="17"/>
  <c r="P19" i="17"/>
  <c r="P42" i="17"/>
  <c r="P43" i="17"/>
  <c r="P44" i="17"/>
  <c r="P45" i="17"/>
  <c r="P46" i="17"/>
  <c r="P47" i="17"/>
  <c r="P48" i="17"/>
  <c r="P49" i="17"/>
  <c r="P50" i="17"/>
  <c r="P51" i="17"/>
  <c r="P52" i="17"/>
  <c r="P53" i="17"/>
  <c r="P54" i="17"/>
  <c r="P55" i="17"/>
  <c r="P56" i="17"/>
  <c r="P57" i="17"/>
  <c r="P58" i="17"/>
  <c r="P36" i="17"/>
  <c r="P59" i="17"/>
  <c r="P60" i="17"/>
  <c r="P61" i="17"/>
  <c r="P62" i="17"/>
  <c r="P63" i="17"/>
  <c r="P65" i="17"/>
  <c r="P160" i="17"/>
  <c r="P68" i="17"/>
  <c r="P105" i="17"/>
  <c r="P106" i="17"/>
  <c r="P107" i="17"/>
  <c r="P108" i="17"/>
  <c r="P109" i="17"/>
  <c r="P110" i="17"/>
  <c r="P111" i="17"/>
  <c r="P112" i="17"/>
  <c r="P113" i="17"/>
  <c r="P114" i="17"/>
  <c r="P115" i="17"/>
  <c r="P116" i="17"/>
  <c r="P117" i="17"/>
  <c r="P118" i="17"/>
  <c r="P119" i="17"/>
  <c r="P83" i="17"/>
  <c r="P120" i="17"/>
  <c r="P121" i="17"/>
  <c r="P122" i="17"/>
  <c r="P123" i="17"/>
  <c r="P124" i="17"/>
  <c r="P125" i="17"/>
  <c r="P126" i="17"/>
  <c r="P127" i="17"/>
  <c r="P128" i="17"/>
  <c r="P129" i="17"/>
  <c r="P130" i="17"/>
  <c r="P131" i="17"/>
  <c r="P132" i="17"/>
  <c r="P133" i="17"/>
  <c r="P134" i="17"/>
  <c r="P135" i="17"/>
  <c r="P136" i="17"/>
  <c r="P137" i="17"/>
  <c r="P138" i="17"/>
  <c r="P139" i="17"/>
  <c r="P140" i="17"/>
  <c r="P142" i="17"/>
  <c r="P161" i="17"/>
  <c r="P163" i="17"/>
  <c r="P275" i="17"/>
  <c r="P166" i="17"/>
  <c r="P260" i="17"/>
  <c r="P267" i="17"/>
  <c r="P261" i="17"/>
  <c r="P268" i="17"/>
  <c r="P256" i="17"/>
  <c r="P263" i="17"/>
  <c r="P257" i="17"/>
  <c r="P264" i="17"/>
  <c r="P258" i="17"/>
  <c r="P265" i="17"/>
  <c r="P259" i="17"/>
  <c r="P266" i="17"/>
  <c r="P270" i="17"/>
  <c r="P174" i="17"/>
  <c r="P238" i="17"/>
  <c r="P245" i="17"/>
  <c r="P239" i="17"/>
  <c r="P246" i="17"/>
  <c r="P240" i="17"/>
  <c r="P247" i="17"/>
  <c r="P241" i="17"/>
  <c r="P248" i="17"/>
  <c r="P252" i="17"/>
  <c r="P272" i="17"/>
  <c r="P274" i="17"/>
  <c r="P138" i="15"/>
  <c r="P145" i="15"/>
  <c r="P146" i="15"/>
  <c r="P158" i="15"/>
  <c r="P165" i="15"/>
  <c r="P166" i="15"/>
  <c r="P276" i="17"/>
  <c r="P279" i="17"/>
  <c r="P179" i="17"/>
  <c r="P183" i="17"/>
  <c r="P216" i="17"/>
  <c r="P185" i="17"/>
  <c r="P200" i="17"/>
  <c r="P217" i="17"/>
  <c r="P181" i="17"/>
  <c r="P184" i="17"/>
  <c r="P186" i="17"/>
  <c r="P202" i="17"/>
  <c r="P218" i="17"/>
  <c r="P187" i="17"/>
  <c r="P203" i="17"/>
  <c r="P219" i="17"/>
  <c r="P188" i="17"/>
  <c r="P204" i="17"/>
  <c r="P220" i="17"/>
  <c r="P189" i="17"/>
  <c r="P221" i="17"/>
  <c r="P190" i="17"/>
  <c r="P222" i="17"/>
  <c r="P191" i="17"/>
  <c r="P223" i="17"/>
  <c r="P192" i="17"/>
  <c r="P224" i="17"/>
  <c r="P193" i="17"/>
  <c r="P225" i="17"/>
  <c r="P201" i="17"/>
  <c r="P210" i="17"/>
  <c r="P226" i="17"/>
  <c r="P227" i="17"/>
  <c r="P228" i="17"/>
  <c r="P195" i="17"/>
  <c r="P229" i="17"/>
  <c r="P231" i="17"/>
  <c r="P233" i="17"/>
  <c r="P281" i="17"/>
  <c r="P391" i="17"/>
  <c r="P392" i="17"/>
  <c r="P345" i="17"/>
  <c r="P393" i="17"/>
  <c r="P395" i="17"/>
  <c r="P144" i="17"/>
  <c r="P147" i="17"/>
  <c r="P148" i="17"/>
  <c r="P153" i="17"/>
  <c r="P155" i="17"/>
  <c r="P157" i="17"/>
  <c r="P397" i="17"/>
  <c r="O410" i="17"/>
  <c r="O411" i="17"/>
  <c r="O412" i="17"/>
  <c r="P413" i="17"/>
  <c r="P399" i="17"/>
  <c r="P376" i="17"/>
  <c r="P378" i="17"/>
  <c r="P375" i="17"/>
  <c r="P377" i="17"/>
  <c r="P380" i="17"/>
  <c r="P350" i="17"/>
  <c r="P398" i="17"/>
  <c r="P401" i="17"/>
  <c r="Q19" i="17"/>
  <c r="Q42" i="17"/>
  <c r="Q43" i="17"/>
  <c r="Q44" i="17"/>
  <c r="Q45" i="17"/>
  <c r="Q46" i="17"/>
  <c r="Q47" i="17"/>
  <c r="Q48" i="17"/>
  <c r="Q49" i="17"/>
  <c r="Q50" i="17"/>
  <c r="Q51" i="17"/>
  <c r="Q52" i="17"/>
  <c r="Q53" i="17"/>
  <c r="Q54" i="17"/>
  <c r="Q55" i="17"/>
  <c r="Q56" i="17"/>
  <c r="Q57" i="17"/>
  <c r="Q58" i="17"/>
  <c r="Q36" i="17"/>
  <c r="Q59" i="17"/>
  <c r="Q60" i="17"/>
  <c r="Q61" i="17"/>
  <c r="Q62" i="17"/>
  <c r="Q63" i="17"/>
  <c r="Q65" i="17"/>
  <c r="Q160" i="17"/>
  <c r="Q68" i="17"/>
  <c r="Q105" i="17"/>
  <c r="Q106" i="17"/>
  <c r="Q107" i="17"/>
  <c r="Q108" i="17"/>
  <c r="Q109" i="17"/>
  <c r="Q110" i="17"/>
  <c r="Q111" i="17"/>
  <c r="Q112" i="17"/>
  <c r="Q113" i="17"/>
  <c r="Q114" i="17"/>
  <c r="Q115" i="17"/>
  <c r="Q116" i="17"/>
  <c r="Q117" i="17"/>
  <c r="Q118" i="17"/>
  <c r="Q119" i="17"/>
  <c r="Q83" i="17"/>
  <c r="Q120" i="17"/>
  <c r="Q121" i="17"/>
  <c r="Q122" i="17"/>
  <c r="Q123" i="17"/>
  <c r="Q124" i="17"/>
  <c r="Q125" i="17"/>
  <c r="Q126" i="17"/>
  <c r="Q127" i="17"/>
  <c r="Q128" i="17"/>
  <c r="Q129" i="17"/>
  <c r="Q130" i="17"/>
  <c r="Q131" i="17"/>
  <c r="Q132" i="17"/>
  <c r="Q133" i="17"/>
  <c r="Q134" i="17"/>
  <c r="Q135" i="17"/>
  <c r="Q136" i="17"/>
  <c r="Q137" i="17"/>
  <c r="Q138" i="17"/>
  <c r="Q139" i="17"/>
  <c r="Q140" i="17"/>
  <c r="Q142" i="17"/>
  <c r="Q161" i="17"/>
  <c r="Q163" i="17"/>
  <c r="Q275" i="17"/>
  <c r="Q166" i="17"/>
  <c r="Q260" i="17"/>
  <c r="Q267" i="17"/>
  <c r="Q261" i="17"/>
  <c r="Q268" i="17"/>
  <c r="Q256" i="17"/>
  <c r="Q263" i="17"/>
  <c r="Q257" i="17"/>
  <c r="Q264" i="17"/>
  <c r="Q258" i="17"/>
  <c r="Q265" i="17"/>
  <c r="Q259" i="17"/>
  <c r="Q266" i="17"/>
  <c r="Q270" i="17"/>
  <c r="Q174" i="17"/>
  <c r="Q238" i="17"/>
  <c r="Q245" i="17"/>
  <c r="Q239" i="17"/>
  <c r="Q246" i="17"/>
  <c r="Q240" i="17"/>
  <c r="Q247" i="17"/>
  <c r="Q241" i="17"/>
  <c r="Q248" i="17"/>
  <c r="Q252" i="17"/>
  <c r="Q272" i="17"/>
  <c r="Q274" i="17"/>
  <c r="Q138" i="15"/>
  <c r="Q145" i="15"/>
  <c r="Q146" i="15"/>
  <c r="Q158" i="15"/>
  <c r="Q165" i="15"/>
  <c r="Q166" i="15"/>
  <c r="Q276" i="17"/>
  <c r="Q279" i="17"/>
  <c r="Q179" i="17"/>
  <c r="Q183" i="17"/>
  <c r="Q216" i="17"/>
  <c r="Q185" i="17"/>
  <c r="Q200" i="17"/>
  <c r="Q217" i="17"/>
  <c r="Q181" i="17"/>
  <c r="Q184" i="17"/>
  <c r="Q186" i="17"/>
  <c r="Q202" i="17"/>
  <c r="Q218" i="17"/>
  <c r="Q187" i="17"/>
  <c r="Q203" i="17"/>
  <c r="Q219" i="17"/>
  <c r="Q188" i="17"/>
  <c r="Q204" i="17"/>
  <c r="Q220" i="17"/>
  <c r="Q189" i="17"/>
  <c r="Q221" i="17"/>
  <c r="Q190" i="17"/>
  <c r="Q222" i="17"/>
  <c r="Q191" i="17"/>
  <c r="Q223" i="17"/>
  <c r="Q192" i="17"/>
  <c r="Q224" i="17"/>
  <c r="Q193" i="17"/>
  <c r="Q225" i="17"/>
  <c r="Q201" i="17"/>
  <c r="Q210" i="17"/>
  <c r="Q226" i="17"/>
  <c r="Q227" i="17"/>
  <c r="Q228" i="17"/>
  <c r="Q195" i="17"/>
  <c r="Q229" i="17"/>
  <c r="Q231" i="17"/>
  <c r="Q233" i="17"/>
  <c r="Q281" i="17"/>
  <c r="Q391" i="17"/>
  <c r="Q392" i="17"/>
  <c r="Q345" i="17"/>
  <c r="Q393" i="17"/>
  <c r="Q395" i="17"/>
  <c r="Q144" i="17"/>
  <c r="Q147" i="17"/>
  <c r="Q148" i="17"/>
  <c r="Q153" i="17"/>
  <c r="Q155" i="17"/>
  <c r="Q157" i="17"/>
  <c r="Q397" i="17"/>
  <c r="P410" i="17"/>
  <c r="P411" i="17"/>
  <c r="P412" i="17"/>
  <c r="Q413" i="17"/>
  <c r="Q399" i="17"/>
  <c r="Q376" i="17"/>
  <c r="Q378" i="17"/>
  <c r="Q375" i="17"/>
  <c r="Q377" i="17"/>
  <c r="Q380" i="17"/>
  <c r="Q350" i="17"/>
  <c r="Q398" i="17"/>
  <c r="Q401" i="17"/>
  <c r="R19" i="17"/>
  <c r="R42" i="17"/>
  <c r="R43" i="17"/>
  <c r="R44" i="17"/>
  <c r="R45" i="17"/>
  <c r="R46" i="17"/>
  <c r="R47" i="17"/>
  <c r="R48" i="17"/>
  <c r="R49" i="17"/>
  <c r="R50" i="17"/>
  <c r="R51" i="17"/>
  <c r="R52" i="17"/>
  <c r="R53" i="17"/>
  <c r="R54" i="17"/>
  <c r="R55" i="17"/>
  <c r="R56" i="17"/>
  <c r="R57" i="17"/>
  <c r="R58" i="17"/>
  <c r="R36" i="17"/>
  <c r="R59" i="17"/>
  <c r="R60" i="17"/>
  <c r="R61" i="17"/>
  <c r="R62" i="17"/>
  <c r="R63" i="17"/>
  <c r="R65" i="17"/>
  <c r="R160" i="17"/>
  <c r="R68" i="17"/>
  <c r="R105" i="17"/>
  <c r="R106" i="17"/>
  <c r="R107" i="17"/>
  <c r="R108" i="17"/>
  <c r="R109" i="17"/>
  <c r="R110" i="17"/>
  <c r="R111" i="17"/>
  <c r="R112" i="17"/>
  <c r="R113" i="17"/>
  <c r="R114" i="17"/>
  <c r="R115" i="17"/>
  <c r="R116" i="17"/>
  <c r="R117" i="17"/>
  <c r="R118" i="17"/>
  <c r="R119" i="17"/>
  <c r="R83" i="17"/>
  <c r="R120" i="17"/>
  <c r="R121" i="17"/>
  <c r="R122" i="17"/>
  <c r="R123" i="17"/>
  <c r="R124" i="17"/>
  <c r="R125" i="17"/>
  <c r="R126" i="17"/>
  <c r="R127" i="17"/>
  <c r="R128" i="17"/>
  <c r="R129" i="17"/>
  <c r="R130" i="17"/>
  <c r="R131" i="17"/>
  <c r="R132" i="17"/>
  <c r="R133" i="17"/>
  <c r="R134" i="17"/>
  <c r="R135" i="17"/>
  <c r="R136" i="17"/>
  <c r="R137" i="17"/>
  <c r="R138" i="17"/>
  <c r="R139" i="17"/>
  <c r="R140" i="17"/>
  <c r="R142" i="17"/>
  <c r="R161" i="17"/>
  <c r="R163" i="17"/>
  <c r="R275" i="17"/>
  <c r="R166" i="17"/>
  <c r="R260" i="17"/>
  <c r="R267" i="17"/>
  <c r="R261" i="17"/>
  <c r="R268" i="17"/>
  <c r="R256" i="17"/>
  <c r="R263" i="17"/>
  <c r="R257" i="17"/>
  <c r="R264" i="17"/>
  <c r="R258" i="17"/>
  <c r="R265" i="17"/>
  <c r="R259" i="17"/>
  <c r="R266" i="17"/>
  <c r="R270" i="17"/>
  <c r="R174" i="17"/>
  <c r="R238" i="17"/>
  <c r="R245" i="17"/>
  <c r="R239" i="17"/>
  <c r="R246" i="17"/>
  <c r="R240" i="17"/>
  <c r="R247" i="17"/>
  <c r="R241" i="17"/>
  <c r="R248" i="17"/>
  <c r="R252" i="17"/>
  <c r="R272" i="17"/>
  <c r="R274" i="17"/>
  <c r="R138" i="15"/>
  <c r="R145" i="15"/>
  <c r="R146" i="15"/>
  <c r="R158" i="15"/>
  <c r="R165" i="15"/>
  <c r="R166" i="15"/>
  <c r="R276" i="17"/>
  <c r="R279" i="17"/>
  <c r="R179" i="17"/>
  <c r="R183" i="17"/>
  <c r="R216" i="17"/>
  <c r="R185" i="17"/>
  <c r="R200" i="17"/>
  <c r="R217" i="17"/>
  <c r="R181" i="17"/>
  <c r="R184" i="17"/>
  <c r="R186" i="17"/>
  <c r="R202" i="17"/>
  <c r="R218" i="17"/>
  <c r="R187" i="17"/>
  <c r="R203" i="17"/>
  <c r="R219" i="17"/>
  <c r="R188" i="17"/>
  <c r="R204" i="17"/>
  <c r="R220" i="17"/>
  <c r="R189" i="17"/>
  <c r="R221" i="17"/>
  <c r="R190" i="17"/>
  <c r="R222" i="17"/>
  <c r="R191" i="17"/>
  <c r="R223" i="17"/>
  <c r="R192" i="17"/>
  <c r="R224" i="17"/>
  <c r="R193" i="17"/>
  <c r="R225" i="17"/>
  <c r="R201" i="17"/>
  <c r="R210" i="17"/>
  <c r="R226" i="17"/>
  <c r="R227" i="17"/>
  <c r="R228" i="17"/>
  <c r="R195" i="17"/>
  <c r="R229" i="17"/>
  <c r="R231" i="17"/>
  <c r="R233" i="17"/>
  <c r="R281" i="17"/>
  <c r="R391" i="17"/>
  <c r="R392" i="17"/>
  <c r="R345" i="17"/>
  <c r="R393" i="17"/>
  <c r="R395" i="17"/>
  <c r="R144" i="17"/>
  <c r="R147" i="17"/>
  <c r="R148" i="17"/>
  <c r="R153" i="17"/>
  <c r="R155" i="17"/>
  <c r="R157" i="17"/>
  <c r="R397" i="17"/>
  <c r="Q410" i="17"/>
  <c r="Q411" i="17"/>
  <c r="Q412" i="17"/>
  <c r="R413" i="17"/>
  <c r="R399" i="17"/>
  <c r="R376" i="17"/>
  <c r="R378" i="17"/>
  <c r="R375" i="17"/>
  <c r="R377" i="17"/>
  <c r="R380" i="17"/>
  <c r="R350" i="17"/>
  <c r="R398" i="17"/>
  <c r="R401" i="17"/>
  <c r="S19" i="17"/>
  <c r="S42" i="17"/>
  <c r="S43" i="17"/>
  <c r="S44" i="17"/>
  <c r="S45" i="17"/>
  <c r="S46" i="17"/>
  <c r="S47" i="17"/>
  <c r="S48" i="17"/>
  <c r="S49" i="17"/>
  <c r="S50" i="17"/>
  <c r="S51" i="17"/>
  <c r="S52" i="17"/>
  <c r="S53" i="17"/>
  <c r="S54" i="17"/>
  <c r="S55" i="17"/>
  <c r="S56" i="17"/>
  <c r="S57" i="17"/>
  <c r="S58" i="17"/>
  <c r="S36" i="17"/>
  <c r="S59" i="17"/>
  <c r="S60" i="17"/>
  <c r="S61" i="17"/>
  <c r="S62" i="17"/>
  <c r="S63" i="17"/>
  <c r="S65" i="17"/>
  <c r="S160" i="17"/>
  <c r="S68" i="17"/>
  <c r="S105" i="17"/>
  <c r="S106" i="17"/>
  <c r="S107" i="17"/>
  <c r="S108" i="17"/>
  <c r="S109" i="17"/>
  <c r="S110" i="17"/>
  <c r="S111" i="17"/>
  <c r="S112" i="17"/>
  <c r="S113" i="17"/>
  <c r="S114" i="17"/>
  <c r="S115" i="17"/>
  <c r="S116" i="17"/>
  <c r="S117" i="17"/>
  <c r="S118" i="17"/>
  <c r="S119" i="17"/>
  <c r="S83" i="17"/>
  <c r="S120" i="17"/>
  <c r="S121" i="17"/>
  <c r="S122" i="17"/>
  <c r="S123" i="17"/>
  <c r="S124" i="17"/>
  <c r="S125" i="17"/>
  <c r="S126" i="17"/>
  <c r="S127" i="17"/>
  <c r="S128" i="17"/>
  <c r="S129" i="17"/>
  <c r="S130" i="17"/>
  <c r="S131" i="17"/>
  <c r="S132" i="17"/>
  <c r="S133" i="17"/>
  <c r="S134" i="17"/>
  <c r="S135" i="17"/>
  <c r="S136" i="17"/>
  <c r="S137" i="17"/>
  <c r="S138" i="17"/>
  <c r="S139" i="17"/>
  <c r="S140" i="17"/>
  <c r="S142" i="17"/>
  <c r="S161" i="17"/>
  <c r="S163" i="17"/>
  <c r="S275" i="17"/>
  <c r="S166" i="17"/>
  <c r="S260" i="17"/>
  <c r="S267" i="17"/>
  <c r="S261" i="17"/>
  <c r="S268" i="17"/>
  <c r="S256" i="17"/>
  <c r="S263" i="17"/>
  <c r="S257" i="17"/>
  <c r="S264" i="17"/>
  <c r="S258" i="17"/>
  <c r="S265" i="17"/>
  <c r="S259" i="17"/>
  <c r="S266" i="17"/>
  <c r="S270" i="17"/>
  <c r="S174" i="17"/>
  <c r="S238" i="17"/>
  <c r="S245" i="17"/>
  <c r="S239" i="17"/>
  <c r="S246" i="17"/>
  <c r="S240" i="17"/>
  <c r="S247" i="17"/>
  <c r="S241" i="17"/>
  <c r="S248" i="17"/>
  <c r="S252" i="17"/>
  <c r="S272" i="17"/>
  <c r="S274" i="17"/>
  <c r="S138" i="15"/>
  <c r="S145" i="15"/>
  <c r="S146" i="15"/>
  <c r="S158" i="15"/>
  <c r="S165" i="15"/>
  <c r="S166" i="15"/>
  <c r="S276" i="17"/>
  <c r="S279" i="17"/>
  <c r="S179" i="17"/>
  <c r="S183" i="17"/>
  <c r="S216" i="17"/>
  <c r="S185" i="17"/>
  <c r="S200" i="17"/>
  <c r="S217" i="17"/>
  <c r="S181" i="17"/>
  <c r="S184" i="17"/>
  <c r="S186" i="17"/>
  <c r="S202" i="17"/>
  <c r="S218" i="17"/>
  <c r="S187" i="17"/>
  <c r="S203" i="17"/>
  <c r="S219" i="17"/>
  <c r="S188" i="17"/>
  <c r="S204" i="17"/>
  <c r="S220" i="17"/>
  <c r="S189" i="17"/>
  <c r="S221" i="17"/>
  <c r="S190" i="17"/>
  <c r="S222" i="17"/>
  <c r="S191" i="17"/>
  <c r="S223" i="17"/>
  <c r="S192" i="17"/>
  <c r="S224" i="17"/>
  <c r="S193" i="17"/>
  <c r="S225" i="17"/>
  <c r="S201" i="17"/>
  <c r="S210" i="17"/>
  <c r="S226" i="17"/>
  <c r="S227" i="17"/>
  <c r="S228" i="17"/>
  <c r="S195" i="17"/>
  <c r="S229" i="17"/>
  <c r="S231" i="17"/>
  <c r="S233" i="17"/>
  <c r="S281" i="17"/>
  <c r="S391" i="17"/>
  <c r="S392" i="17"/>
  <c r="S345" i="17"/>
  <c r="S393" i="17"/>
  <c r="S395" i="17"/>
  <c r="S144" i="17"/>
  <c r="S147" i="17"/>
  <c r="S148" i="17"/>
  <c r="S153" i="17"/>
  <c r="S155" i="17"/>
  <c r="S157" i="17"/>
  <c r="S397" i="17"/>
  <c r="R410" i="17"/>
  <c r="R411" i="17"/>
  <c r="R412" i="17"/>
  <c r="S413" i="17"/>
  <c r="S399" i="17"/>
  <c r="S376" i="17"/>
  <c r="S378" i="17"/>
  <c r="S375" i="17"/>
  <c r="S377" i="17"/>
  <c r="S380" i="17"/>
  <c r="S350" i="17"/>
  <c r="S398" i="17"/>
  <c r="S401" i="17"/>
  <c r="T19" i="17"/>
  <c r="T42" i="17"/>
  <c r="T43" i="17"/>
  <c r="T44" i="17"/>
  <c r="T45" i="17"/>
  <c r="T46" i="17"/>
  <c r="T47" i="17"/>
  <c r="T48" i="17"/>
  <c r="T49" i="17"/>
  <c r="T50" i="17"/>
  <c r="T51" i="17"/>
  <c r="T52" i="17"/>
  <c r="T53" i="17"/>
  <c r="T54" i="17"/>
  <c r="T55" i="17"/>
  <c r="T56" i="17"/>
  <c r="T57" i="17"/>
  <c r="T58" i="17"/>
  <c r="T36" i="17"/>
  <c r="T59" i="17"/>
  <c r="T60" i="17"/>
  <c r="T61" i="17"/>
  <c r="T62" i="17"/>
  <c r="T63" i="17"/>
  <c r="T65" i="17"/>
  <c r="T160" i="17"/>
  <c r="T68" i="17"/>
  <c r="T105" i="17"/>
  <c r="T106" i="17"/>
  <c r="T107" i="17"/>
  <c r="T108" i="17"/>
  <c r="T109" i="17"/>
  <c r="T110" i="17"/>
  <c r="T111" i="17"/>
  <c r="T112" i="17"/>
  <c r="T113" i="17"/>
  <c r="T114" i="17"/>
  <c r="T115" i="17"/>
  <c r="T116" i="17"/>
  <c r="T117" i="17"/>
  <c r="T118" i="17"/>
  <c r="T119" i="17"/>
  <c r="T83" i="17"/>
  <c r="T120" i="17"/>
  <c r="T121" i="17"/>
  <c r="T122" i="17"/>
  <c r="T123" i="17"/>
  <c r="T124" i="17"/>
  <c r="T125" i="17"/>
  <c r="T126" i="17"/>
  <c r="T127" i="17"/>
  <c r="T128" i="17"/>
  <c r="T129" i="17"/>
  <c r="T130" i="17"/>
  <c r="T131" i="17"/>
  <c r="T132" i="17"/>
  <c r="T133" i="17"/>
  <c r="T134" i="17"/>
  <c r="T135" i="17"/>
  <c r="T136" i="17"/>
  <c r="T137" i="17"/>
  <c r="T138" i="17"/>
  <c r="T139" i="17"/>
  <c r="T140" i="17"/>
  <c r="T142" i="17"/>
  <c r="T161" i="17"/>
  <c r="T163" i="17"/>
  <c r="T275" i="17"/>
  <c r="T166" i="17"/>
  <c r="T260" i="17"/>
  <c r="T267" i="17"/>
  <c r="T261" i="17"/>
  <c r="T268" i="17"/>
  <c r="T256" i="17"/>
  <c r="T263" i="17"/>
  <c r="T257" i="17"/>
  <c r="T264" i="17"/>
  <c r="T258" i="17"/>
  <c r="T265" i="17"/>
  <c r="T259" i="17"/>
  <c r="T266" i="17"/>
  <c r="T270" i="17"/>
  <c r="T174" i="17"/>
  <c r="T238" i="17"/>
  <c r="T245" i="17"/>
  <c r="T239" i="17"/>
  <c r="T246" i="17"/>
  <c r="T240" i="17"/>
  <c r="T247" i="17"/>
  <c r="T241" i="17"/>
  <c r="T248" i="17"/>
  <c r="T252" i="17"/>
  <c r="T272" i="17"/>
  <c r="T274" i="17"/>
  <c r="T138" i="15"/>
  <c r="T145" i="15"/>
  <c r="T146" i="15"/>
  <c r="T158" i="15"/>
  <c r="T165" i="15"/>
  <c r="T166" i="15"/>
  <c r="T276" i="17"/>
  <c r="T279" i="17"/>
  <c r="T179" i="17"/>
  <c r="T183" i="17"/>
  <c r="T216" i="17"/>
  <c r="T185" i="17"/>
  <c r="T200" i="17"/>
  <c r="T217" i="17"/>
  <c r="T181" i="17"/>
  <c r="T184" i="17"/>
  <c r="T186" i="17"/>
  <c r="T202" i="17"/>
  <c r="T218" i="17"/>
  <c r="T187" i="17"/>
  <c r="T203" i="17"/>
  <c r="T219" i="17"/>
  <c r="T188" i="17"/>
  <c r="T204" i="17"/>
  <c r="T220" i="17"/>
  <c r="T189" i="17"/>
  <c r="T221" i="17"/>
  <c r="T190" i="17"/>
  <c r="T222" i="17"/>
  <c r="T191" i="17"/>
  <c r="T223" i="17"/>
  <c r="T192" i="17"/>
  <c r="T224" i="17"/>
  <c r="T193" i="17"/>
  <c r="T225" i="17"/>
  <c r="T201" i="17"/>
  <c r="T210" i="17"/>
  <c r="T226" i="17"/>
  <c r="T227" i="17"/>
  <c r="T228" i="17"/>
  <c r="T195" i="17"/>
  <c r="T229" i="17"/>
  <c r="T231" i="17"/>
  <c r="T233" i="17"/>
  <c r="T281" i="17"/>
  <c r="T391" i="17"/>
  <c r="T392" i="17"/>
  <c r="T345" i="17"/>
  <c r="T393" i="17"/>
  <c r="T395" i="17"/>
  <c r="T144" i="17"/>
  <c r="T147" i="17"/>
  <c r="T148" i="17"/>
  <c r="T153" i="17"/>
  <c r="T155" i="17"/>
  <c r="T157" i="17"/>
  <c r="T397" i="17"/>
  <c r="S410" i="17"/>
  <c r="S411" i="17"/>
  <c r="S412" i="17"/>
  <c r="T413" i="17"/>
  <c r="T399" i="17"/>
  <c r="T376" i="17"/>
  <c r="T378" i="17"/>
  <c r="T375" i="17"/>
  <c r="T377" i="17"/>
  <c r="T380" i="17"/>
  <c r="T350" i="17"/>
  <c r="T398" i="17"/>
  <c r="T401" i="17"/>
  <c r="U19" i="17"/>
  <c r="U42" i="17"/>
  <c r="U43" i="17"/>
  <c r="U44" i="17"/>
  <c r="U45" i="17"/>
  <c r="U46" i="17"/>
  <c r="U47" i="17"/>
  <c r="U48" i="17"/>
  <c r="U49" i="17"/>
  <c r="U50" i="17"/>
  <c r="U51" i="17"/>
  <c r="U52" i="17"/>
  <c r="U53" i="17"/>
  <c r="U54" i="17"/>
  <c r="U55" i="17"/>
  <c r="U56" i="17"/>
  <c r="U57" i="17"/>
  <c r="U58" i="17"/>
  <c r="U36" i="17"/>
  <c r="U59" i="17"/>
  <c r="U60" i="17"/>
  <c r="U61" i="17"/>
  <c r="U62" i="17"/>
  <c r="U63" i="17"/>
  <c r="U65" i="17"/>
  <c r="U160" i="17"/>
  <c r="U68" i="17"/>
  <c r="U105" i="17"/>
  <c r="U106" i="17"/>
  <c r="U107" i="17"/>
  <c r="U108" i="17"/>
  <c r="U109" i="17"/>
  <c r="U110" i="17"/>
  <c r="U111" i="17"/>
  <c r="U112" i="17"/>
  <c r="U113" i="17"/>
  <c r="U114" i="17"/>
  <c r="U115" i="17"/>
  <c r="U116" i="17"/>
  <c r="U117" i="17"/>
  <c r="U118" i="17"/>
  <c r="U119" i="17"/>
  <c r="U83" i="17"/>
  <c r="U120" i="17"/>
  <c r="U121" i="17"/>
  <c r="U122" i="17"/>
  <c r="U123" i="17"/>
  <c r="U124" i="17"/>
  <c r="U125" i="17"/>
  <c r="U126" i="17"/>
  <c r="U127" i="17"/>
  <c r="U128" i="17"/>
  <c r="U129" i="17"/>
  <c r="U130" i="17"/>
  <c r="U131" i="17"/>
  <c r="U132" i="17"/>
  <c r="U133" i="17"/>
  <c r="U134" i="17"/>
  <c r="U135" i="17"/>
  <c r="U136" i="17"/>
  <c r="U137" i="17"/>
  <c r="U138" i="17"/>
  <c r="U139" i="17"/>
  <c r="U140" i="17"/>
  <c r="U142" i="17"/>
  <c r="U161" i="17"/>
  <c r="U163" i="17"/>
  <c r="U275" i="17"/>
  <c r="U166" i="17"/>
  <c r="U260" i="17"/>
  <c r="U267" i="17"/>
  <c r="U261" i="17"/>
  <c r="U268" i="17"/>
  <c r="U256" i="17"/>
  <c r="U263" i="17"/>
  <c r="U257" i="17"/>
  <c r="U264" i="17"/>
  <c r="U258" i="17"/>
  <c r="U265" i="17"/>
  <c r="U259" i="17"/>
  <c r="U266" i="17"/>
  <c r="U270" i="17"/>
  <c r="U174" i="17"/>
  <c r="U238" i="17"/>
  <c r="U245" i="17"/>
  <c r="U239" i="17"/>
  <c r="U246" i="17"/>
  <c r="U240" i="17"/>
  <c r="U247" i="17"/>
  <c r="U241" i="17"/>
  <c r="U248" i="17"/>
  <c r="U252" i="17"/>
  <c r="U272" i="17"/>
  <c r="U274" i="17"/>
  <c r="U138" i="15"/>
  <c r="U145" i="15"/>
  <c r="U146" i="15"/>
  <c r="U158" i="15"/>
  <c r="U165" i="15"/>
  <c r="U166" i="15"/>
  <c r="U276" i="17"/>
  <c r="U279" i="17"/>
  <c r="U179" i="17"/>
  <c r="U183" i="17"/>
  <c r="U216" i="17"/>
  <c r="U185" i="17"/>
  <c r="U200" i="17"/>
  <c r="U217" i="17"/>
  <c r="U181" i="17"/>
  <c r="U184" i="17"/>
  <c r="U186" i="17"/>
  <c r="U202" i="17"/>
  <c r="U218" i="17"/>
  <c r="U187" i="17"/>
  <c r="U203" i="17"/>
  <c r="U219" i="17"/>
  <c r="U188" i="17"/>
  <c r="U204" i="17"/>
  <c r="U220" i="17"/>
  <c r="U189" i="17"/>
  <c r="U221" i="17"/>
  <c r="U190" i="17"/>
  <c r="U222" i="17"/>
  <c r="U191" i="17"/>
  <c r="U223" i="17"/>
  <c r="U192" i="17"/>
  <c r="U224" i="17"/>
  <c r="U193" i="17"/>
  <c r="U225" i="17"/>
  <c r="U201" i="17"/>
  <c r="U210" i="17"/>
  <c r="U226" i="17"/>
  <c r="U227" i="17"/>
  <c r="U228" i="17"/>
  <c r="U195" i="17"/>
  <c r="U229" i="17"/>
  <c r="U231" i="17"/>
  <c r="U233" i="17"/>
  <c r="U281" i="17"/>
  <c r="U391" i="17"/>
  <c r="U392" i="17"/>
  <c r="U345" i="17"/>
  <c r="U393" i="17"/>
  <c r="U395" i="17"/>
  <c r="U144" i="17"/>
  <c r="U147" i="17"/>
  <c r="U148" i="17"/>
  <c r="U153" i="17"/>
  <c r="U155" i="17"/>
  <c r="U157" i="17"/>
  <c r="U397" i="17"/>
  <c r="T410" i="17"/>
  <c r="T411" i="17"/>
  <c r="T412" i="17"/>
  <c r="U413" i="17"/>
  <c r="U399" i="17"/>
  <c r="U376" i="17"/>
  <c r="U378" i="17"/>
  <c r="U375" i="17"/>
  <c r="U377" i="17"/>
  <c r="U380" i="17"/>
  <c r="U350" i="17"/>
  <c r="U398" i="17"/>
  <c r="U401" i="17"/>
  <c r="V19" i="17"/>
  <c r="V42" i="17"/>
  <c r="V43" i="17"/>
  <c r="V44" i="17"/>
  <c r="V45" i="17"/>
  <c r="V46" i="17"/>
  <c r="V47" i="17"/>
  <c r="V48" i="17"/>
  <c r="V49" i="17"/>
  <c r="V50" i="17"/>
  <c r="V51" i="17"/>
  <c r="V52" i="17"/>
  <c r="V53" i="17"/>
  <c r="V54" i="17"/>
  <c r="V55" i="17"/>
  <c r="V56" i="17"/>
  <c r="V57" i="17"/>
  <c r="V58" i="17"/>
  <c r="V36" i="17"/>
  <c r="V59" i="17"/>
  <c r="V60" i="17"/>
  <c r="V61" i="17"/>
  <c r="V62" i="17"/>
  <c r="V63" i="17"/>
  <c r="V65" i="17"/>
  <c r="V160" i="17"/>
  <c r="V68" i="17"/>
  <c r="V105" i="17"/>
  <c r="V106" i="17"/>
  <c r="V107" i="17"/>
  <c r="V108" i="17"/>
  <c r="V109" i="17"/>
  <c r="V110" i="17"/>
  <c r="V111" i="17"/>
  <c r="V112" i="17"/>
  <c r="V113" i="17"/>
  <c r="V114" i="17"/>
  <c r="V115" i="17"/>
  <c r="V116" i="17"/>
  <c r="V117" i="17"/>
  <c r="V118" i="17"/>
  <c r="V119" i="17"/>
  <c r="V83" i="17"/>
  <c r="V120" i="17"/>
  <c r="V121" i="17"/>
  <c r="V122" i="17"/>
  <c r="V123" i="17"/>
  <c r="V124" i="17"/>
  <c r="V125" i="17"/>
  <c r="V126" i="17"/>
  <c r="V127" i="17"/>
  <c r="V128" i="17"/>
  <c r="V129" i="17"/>
  <c r="V130" i="17"/>
  <c r="V131" i="17"/>
  <c r="V132" i="17"/>
  <c r="V133" i="17"/>
  <c r="V134" i="17"/>
  <c r="V135" i="17"/>
  <c r="V136" i="17"/>
  <c r="V137" i="17"/>
  <c r="V138" i="17"/>
  <c r="V139" i="17"/>
  <c r="V140" i="17"/>
  <c r="V142" i="17"/>
  <c r="V161" i="17"/>
  <c r="V163" i="17"/>
  <c r="V275" i="17"/>
  <c r="V166" i="17"/>
  <c r="V260" i="17"/>
  <c r="V267" i="17"/>
  <c r="V261" i="17"/>
  <c r="V268" i="17"/>
  <c r="V256" i="17"/>
  <c r="V263" i="17"/>
  <c r="V257" i="17"/>
  <c r="V264" i="17"/>
  <c r="V258" i="17"/>
  <c r="V265" i="17"/>
  <c r="V259" i="17"/>
  <c r="V266" i="17"/>
  <c r="V270" i="17"/>
  <c r="V174" i="17"/>
  <c r="V238" i="17"/>
  <c r="V245" i="17"/>
  <c r="V239" i="17"/>
  <c r="V246" i="17"/>
  <c r="V240" i="17"/>
  <c r="V247" i="17"/>
  <c r="V241" i="17"/>
  <c r="V248" i="17"/>
  <c r="V252" i="17"/>
  <c r="V272" i="17"/>
  <c r="V274" i="17"/>
  <c r="V138" i="15"/>
  <c r="V145" i="15"/>
  <c r="V146" i="15"/>
  <c r="V158" i="15"/>
  <c r="V165" i="15"/>
  <c r="V166" i="15"/>
  <c r="V276" i="17"/>
  <c r="V279" i="17"/>
  <c r="V179" i="17"/>
  <c r="V183" i="17"/>
  <c r="V216" i="17"/>
  <c r="V185" i="17"/>
  <c r="V200" i="17"/>
  <c r="V217" i="17"/>
  <c r="V181" i="17"/>
  <c r="V184" i="17"/>
  <c r="V186" i="17"/>
  <c r="V202" i="17"/>
  <c r="V218" i="17"/>
  <c r="V187" i="17"/>
  <c r="V203" i="17"/>
  <c r="V219" i="17"/>
  <c r="V188" i="17"/>
  <c r="V204" i="17"/>
  <c r="V220" i="17"/>
  <c r="V189" i="17"/>
  <c r="V221" i="17"/>
  <c r="V190" i="17"/>
  <c r="V222" i="17"/>
  <c r="V191" i="17"/>
  <c r="V223" i="17"/>
  <c r="V192" i="17"/>
  <c r="V224" i="17"/>
  <c r="V193" i="17"/>
  <c r="V225" i="17"/>
  <c r="V201" i="17"/>
  <c r="V210" i="17"/>
  <c r="V226" i="17"/>
  <c r="V227" i="17"/>
  <c r="V228" i="17"/>
  <c r="V195" i="17"/>
  <c r="V229" i="17"/>
  <c r="V231" i="17"/>
  <c r="V233" i="17"/>
  <c r="V281" i="17"/>
  <c r="V391" i="17"/>
  <c r="V392" i="17"/>
  <c r="V345" i="17"/>
  <c r="V393" i="17"/>
  <c r="V395" i="17"/>
  <c r="V144" i="17"/>
  <c r="V147" i="17"/>
  <c r="V148" i="17"/>
  <c r="V153" i="17"/>
  <c r="V155" i="17"/>
  <c r="V157" i="17"/>
  <c r="V397" i="17"/>
  <c r="U410" i="17"/>
  <c r="U411" i="17"/>
  <c r="U412" i="17"/>
  <c r="V413" i="17"/>
  <c r="V399" i="17"/>
  <c r="V376" i="17"/>
  <c r="V378" i="17"/>
  <c r="V375" i="17"/>
  <c r="V377" i="17"/>
  <c r="V380" i="17"/>
  <c r="V350" i="17"/>
  <c r="V398" i="17"/>
  <c r="V401" i="17"/>
  <c r="W19" i="17"/>
  <c r="W42" i="17"/>
  <c r="W43" i="17"/>
  <c r="W44" i="17"/>
  <c r="W45" i="17"/>
  <c r="W46" i="17"/>
  <c r="W47" i="17"/>
  <c r="W48" i="17"/>
  <c r="W49" i="17"/>
  <c r="W50" i="17"/>
  <c r="W51" i="17"/>
  <c r="W52" i="17"/>
  <c r="W53" i="17"/>
  <c r="W54" i="17"/>
  <c r="W55" i="17"/>
  <c r="W56" i="17"/>
  <c r="W57" i="17"/>
  <c r="W58" i="17"/>
  <c r="W36" i="17"/>
  <c r="W59" i="17"/>
  <c r="W60" i="17"/>
  <c r="W61" i="17"/>
  <c r="W62" i="17"/>
  <c r="W63" i="17"/>
  <c r="W65" i="17"/>
  <c r="W160" i="17"/>
  <c r="W68" i="17"/>
  <c r="W105" i="17"/>
  <c r="W106" i="17"/>
  <c r="W107" i="17"/>
  <c r="W108" i="17"/>
  <c r="W109" i="17"/>
  <c r="W110" i="17"/>
  <c r="W111" i="17"/>
  <c r="W112" i="17"/>
  <c r="W113" i="17"/>
  <c r="W114" i="17"/>
  <c r="W115" i="17"/>
  <c r="W116" i="17"/>
  <c r="W117" i="17"/>
  <c r="W118" i="17"/>
  <c r="W119" i="17"/>
  <c r="W83" i="17"/>
  <c r="W120" i="17"/>
  <c r="W121" i="17"/>
  <c r="W122" i="17"/>
  <c r="W123" i="17"/>
  <c r="W124" i="17"/>
  <c r="W125" i="17"/>
  <c r="W126" i="17"/>
  <c r="W127" i="17"/>
  <c r="W128" i="17"/>
  <c r="W129" i="17"/>
  <c r="W130" i="17"/>
  <c r="W131" i="17"/>
  <c r="W132" i="17"/>
  <c r="W133" i="17"/>
  <c r="W134" i="17"/>
  <c r="W135" i="17"/>
  <c r="W136" i="17"/>
  <c r="W137" i="17"/>
  <c r="W138" i="17"/>
  <c r="W139" i="17"/>
  <c r="W140" i="17"/>
  <c r="W142" i="17"/>
  <c r="W161" i="17"/>
  <c r="W163" i="17"/>
  <c r="W275" i="17"/>
  <c r="W166" i="17"/>
  <c r="W260" i="17"/>
  <c r="W267" i="17"/>
  <c r="W261" i="17"/>
  <c r="W268" i="17"/>
  <c r="W256" i="17"/>
  <c r="W263" i="17"/>
  <c r="W257" i="17"/>
  <c r="W264" i="17"/>
  <c r="W258" i="17"/>
  <c r="W265" i="17"/>
  <c r="W259" i="17"/>
  <c r="W266" i="17"/>
  <c r="W270" i="17"/>
  <c r="W174" i="17"/>
  <c r="W238" i="17"/>
  <c r="W245" i="17"/>
  <c r="W239" i="17"/>
  <c r="W246" i="17"/>
  <c r="W240" i="17"/>
  <c r="W247" i="17"/>
  <c r="W241" i="17"/>
  <c r="W248" i="17"/>
  <c r="W252" i="17"/>
  <c r="W272" i="17"/>
  <c r="W274" i="17"/>
  <c r="W138" i="15"/>
  <c r="W145" i="15"/>
  <c r="W146" i="15"/>
  <c r="W158" i="15"/>
  <c r="W165" i="15"/>
  <c r="W166" i="15"/>
  <c r="W276" i="17"/>
  <c r="W279" i="17"/>
  <c r="W179" i="17"/>
  <c r="W183" i="17"/>
  <c r="W216" i="17"/>
  <c r="W185" i="17"/>
  <c r="W200" i="17"/>
  <c r="W217" i="17"/>
  <c r="W181" i="17"/>
  <c r="W184" i="17"/>
  <c r="W186" i="17"/>
  <c r="W202" i="17"/>
  <c r="W218" i="17"/>
  <c r="W187" i="17"/>
  <c r="W203" i="17"/>
  <c r="W219" i="17"/>
  <c r="W188" i="17"/>
  <c r="W204" i="17"/>
  <c r="W220" i="17"/>
  <c r="W189" i="17"/>
  <c r="W221" i="17"/>
  <c r="W190" i="17"/>
  <c r="W222" i="17"/>
  <c r="W191" i="17"/>
  <c r="W223" i="17"/>
  <c r="W192" i="17"/>
  <c r="W224" i="17"/>
  <c r="W193" i="17"/>
  <c r="W225" i="17"/>
  <c r="W201" i="17"/>
  <c r="W210" i="17"/>
  <c r="W226" i="17"/>
  <c r="W227" i="17"/>
  <c r="W228" i="17"/>
  <c r="W195" i="17"/>
  <c r="W229" i="17"/>
  <c r="W231" i="17"/>
  <c r="W233" i="17"/>
  <c r="W281" i="17"/>
  <c r="W391" i="17"/>
  <c r="W392" i="17"/>
  <c r="W345" i="17"/>
  <c r="W393" i="17"/>
  <c r="W395" i="17"/>
  <c r="W144" i="17"/>
  <c r="W147" i="17"/>
  <c r="W148" i="17"/>
  <c r="W153" i="17"/>
  <c r="W155" i="17"/>
  <c r="W157" i="17"/>
  <c r="W397" i="17"/>
  <c r="V410" i="17"/>
  <c r="V411" i="17"/>
  <c r="V412" i="17"/>
  <c r="W413" i="17"/>
  <c r="W399" i="17"/>
  <c r="W376" i="17"/>
  <c r="W378" i="17"/>
  <c r="W375" i="17"/>
  <c r="W377" i="17"/>
  <c r="W380" i="17"/>
  <c r="W350" i="17"/>
  <c r="W398" i="17"/>
  <c r="W401" i="17"/>
  <c r="X19" i="17"/>
  <c r="X42" i="17"/>
  <c r="X43" i="17"/>
  <c r="X44" i="17"/>
  <c r="X45" i="17"/>
  <c r="X46" i="17"/>
  <c r="X47" i="17"/>
  <c r="X48" i="17"/>
  <c r="X49" i="17"/>
  <c r="X50" i="17"/>
  <c r="X51" i="17"/>
  <c r="X52" i="17"/>
  <c r="X53" i="17"/>
  <c r="X54" i="17"/>
  <c r="X55" i="17"/>
  <c r="X56" i="17"/>
  <c r="X57" i="17"/>
  <c r="X58" i="17"/>
  <c r="X36" i="17"/>
  <c r="X59" i="17"/>
  <c r="X60" i="17"/>
  <c r="X61" i="17"/>
  <c r="X62" i="17"/>
  <c r="X63" i="17"/>
  <c r="X65" i="17"/>
  <c r="X160" i="17"/>
  <c r="X68" i="17"/>
  <c r="X105" i="17"/>
  <c r="X106" i="17"/>
  <c r="X107" i="17"/>
  <c r="X108" i="17"/>
  <c r="X109" i="17"/>
  <c r="X110" i="17"/>
  <c r="X111" i="17"/>
  <c r="X112" i="17"/>
  <c r="X113" i="17"/>
  <c r="X114" i="17"/>
  <c r="X115" i="17"/>
  <c r="X116" i="17"/>
  <c r="X117" i="17"/>
  <c r="X118" i="17"/>
  <c r="X119" i="17"/>
  <c r="X83" i="17"/>
  <c r="X120" i="17"/>
  <c r="X121" i="17"/>
  <c r="X122" i="17"/>
  <c r="X123" i="17"/>
  <c r="X124" i="17"/>
  <c r="X125" i="17"/>
  <c r="X126" i="17"/>
  <c r="X127" i="17"/>
  <c r="X128" i="17"/>
  <c r="X129" i="17"/>
  <c r="X130" i="17"/>
  <c r="X131" i="17"/>
  <c r="X132" i="17"/>
  <c r="X133" i="17"/>
  <c r="X134" i="17"/>
  <c r="X135" i="17"/>
  <c r="X136" i="17"/>
  <c r="X137" i="17"/>
  <c r="X138" i="17"/>
  <c r="X139" i="17"/>
  <c r="X140" i="17"/>
  <c r="X142" i="17"/>
  <c r="X161" i="17"/>
  <c r="X163" i="17"/>
  <c r="X275" i="17"/>
  <c r="X166" i="17"/>
  <c r="X260" i="17"/>
  <c r="X267" i="17"/>
  <c r="X261" i="17"/>
  <c r="X268" i="17"/>
  <c r="X256" i="17"/>
  <c r="X263" i="17"/>
  <c r="X257" i="17"/>
  <c r="X264" i="17"/>
  <c r="X258" i="17"/>
  <c r="X265" i="17"/>
  <c r="X259" i="17"/>
  <c r="X266" i="17"/>
  <c r="X270" i="17"/>
  <c r="X174" i="17"/>
  <c r="X238" i="17"/>
  <c r="X245" i="17"/>
  <c r="X239" i="17"/>
  <c r="X246" i="17"/>
  <c r="X240" i="17"/>
  <c r="X247" i="17"/>
  <c r="X241" i="17"/>
  <c r="X248" i="17"/>
  <c r="X252" i="17"/>
  <c r="X272" i="17"/>
  <c r="X274" i="17"/>
  <c r="X138" i="15"/>
  <c r="X145" i="15"/>
  <c r="X146" i="15"/>
  <c r="X158" i="15"/>
  <c r="X165" i="15"/>
  <c r="X166" i="15"/>
  <c r="X276" i="17"/>
  <c r="X279" i="17"/>
  <c r="X179" i="17"/>
  <c r="X183" i="17"/>
  <c r="X216" i="17"/>
  <c r="X185" i="17"/>
  <c r="X200" i="17"/>
  <c r="X217" i="17"/>
  <c r="X181" i="17"/>
  <c r="X184" i="17"/>
  <c r="X186" i="17"/>
  <c r="X202" i="17"/>
  <c r="X218" i="17"/>
  <c r="X187" i="17"/>
  <c r="X203" i="17"/>
  <c r="X219" i="17"/>
  <c r="X188" i="17"/>
  <c r="X204" i="17"/>
  <c r="X220" i="17"/>
  <c r="X189" i="17"/>
  <c r="X221" i="17"/>
  <c r="X190" i="17"/>
  <c r="X222" i="17"/>
  <c r="X191" i="17"/>
  <c r="X223" i="17"/>
  <c r="X192" i="17"/>
  <c r="X224" i="17"/>
  <c r="X193" i="17"/>
  <c r="X225" i="17"/>
  <c r="X201" i="17"/>
  <c r="X210" i="17"/>
  <c r="X226" i="17"/>
  <c r="X227" i="17"/>
  <c r="X228" i="17"/>
  <c r="X195" i="17"/>
  <c r="X229" i="17"/>
  <c r="X231" i="17"/>
  <c r="X233" i="17"/>
  <c r="X281" i="17"/>
  <c r="X391" i="17"/>
  <c r="X392" i="17"/>
  <c r="X345" i="17"/>
  <c r="X393" i="17"/>
  <c r="X395" i="17"/>
  <c r="X144" i="17"/>
  <c r="X147" i="17"/>
  <c r="X148" i="17"/>
  <c r="X153" i="17"/>
  <c r="X155" i="17"/>
  <c r="X157" i="17"/>
  <c r="X397" i="17"/>
  <c r="W410" i="17"/>
  <c r="W411" i="17"/>
  <c r="W412" i="17"/>
  <c r="X413" i="17"/>
  <c r="X399" i="17"/>
  <c r="X376" i="17"/>
  <c r="X378" i="17"/>
  <c r="X375" i="17"/>
  <c r="X377" i="17"/>
  <c r="X380" i="17"/>
  <c r="X350" i="17"/>
  <c r="X398" i="17"/>
  <c r="X401" i="17"/>
  <c r="Y19" i="17"/>
  <c r="Y42" i="17"/>
  <c r="Y43" i="17"/>
  <c r="Y44" i="17"/>
  <c r="Y45" i="17"/>
  <c r="Y46" i="17"/>
  <c r="Y47" i="17"/>
  <c r="Y48" i="17"/>
  <c r="Y49" i="17"/>
  <c r="Y50" i="17"/>
  <c r="Y51" i="17"/>
  <c r="Y52" i="17"/>
  <c r="Y53" i="17"/>
  <c r="Y54" i="17"/>
  <c r="Y55" i="17"/>
  <c r="Y56" i="17"/>
  <c r="Y57" i="17"/>
  <c r="Y58" i="17"/>
  <c r="Y36" i="17"/>
  <c r="Y59" i="17"/>
  <c r="Y60" i="17"/>
  <c r="Y61" i="17"/>
  <c r="Y62" i="17"/>
  <c r="Y63" i="17"/>
  <c r="Y65" i="17"/>
  <c r="Y160" i="17"/>
  <c r="Y68" i="17"/>
  <c r="Y105" i="17"/>
  <c r="Y106" i="17"/>
  <c r="Y107" i="17"/>
  <c r="Y108" i="17"/>
  <c r="Y109" i="17"/>
  <c r="Y110" i="17"/>
  <c r="Y111" i="17"/>
  <c r="Y112" i="17"/>
  <c r="Y113" i="17"/>
  <c r="Y114" i="17"/>
  <c r="Y115" i="17"/>
  <c r="Y116" i="17"/>
  <c r="Y117" i="17"/>
  <c r="Y118" i="17"/>
  <c r="Y119" i="17"/>
  <c r="Y83" i="17"/>
  <c r="Y120" i="17"/>
  <c r="Y121" i="17"/>
  <c r="Y122" i="17"/>
  <c r="Y123" i="17"/>
  <c r="Y124" i="17"/>
  <c r="Y125" i="17"/>
  <c r="Y126" i="17"/>
  <c r="Y127" i="17"/>
  <c r="Y128" i="17"/>
  <c r="Y129" i="17"/>
  <c r="Y130" i="17"/>
  <c r="Y131" i="17"/>
  <c r="Y132" i="17"/>
  <c r="Y133" i="17"/>
  <c r="Y134" i="17"/>
  <c r="Y135" i="17"/>
  <c r="Y136" i="17"/>
  <c r="Y137" i="17"/>
  <c r="Y138" i="17"/>
  <c r="Y139" i="17"/>
  <c r="Y140" i="17"/>
  <c r="Y142" i="17"/>
  <c r="Y161" i="17"/>
  <c r="Y163" i="17"/>
  <c r="Y275" i="17"/>
  <c r="Y166" i="17"/>
  <c r="Y260" i="17"/>
  <c r="Y267" i="17"/>
  <c r="Y261" i="17"/>
  <c r="Y268" i="17"/>
  <c r="Y256" i="17"/>
  <c r="Y263" i="17"/>
  <c r="Y257" i="17"/>
  <c r="Y264" i="17"/>
  <c r="Y258" i="17"/>
  <c r="Y265" i="17"/>
  <c r="Y259" i="17"/>
  <c r="Y266" i="17"/>
  <c r="Y270" i="17"/>
  <c r="Y174" i="17"/>
  <c r="Y238" i="17"/>
  <c r="Y245" i="17"/>
  <c r="Y239" i="17"/>
  <c r="Y246" i="17"/>
  <c r="Y240" i="17"/>
  <c r="Y247" i="17"/>
  <c r="Y241" i="17"/>
  <c r="Y248" i="17"/>
  <c r="Y252" i="17"/>
  <c r="Y272" i="17"/>
  <c r="Y274" i="17"/>
  <c r="Y138" i="15"/>
  <c r="Y145" i="15"/>
  <c r="Y146" i="15"/>
  <c r="Y158" i="15"/>
  <c r="Y165" i="15"/>
  <c r="Y166" i="15"/>
  <c r="Y276" i="17"/>
  <c r="Y279" i="17"/>
  <c r="Y179" i="17"/>
  <c r="Y183" i="17"/>
  <c r="Y216" i="17"/>
  <c r="Y185" i="17"/>
  <c r="Y200" i="17"/>
  <c r="Y217" i="17"/>
  <c r="Y181" i="17"/>
  <c r="Y184" i="17"/>
  <c r="Y186" i="17"/>
  <c r="Y202" i="17"/>
  <c r="Y218" i="17"/>
  <c r="Y187" i="17"/>
  <c r="Y203" i="17"/>
  <c r="Y219" i="17"/>
  <c r="Y188" i="17"/>
  <c r="Y204" i="17"/>
  <c r="Y220" i="17"/>
  <c r="Y189" i="17"/>
  <c r="Y221" i="17"/>
  <c r="Y190" i="17"/>
  <c r="Y222" i="17"/>
  <c r="Y191" i="17"/>
  <c r="Y223" i="17"/>
  <c r="Y192" i="17"/>
  <c r="Y224" i="17"/>
  <c r="Y193" i="17"/>
  <c r="Y225" i="17"/>
  <c r="Y201" i="17"/>
  <c r="Y210" i="17"/>
  <c r="Y226" i="17"/>
  <c r="Y227" i="17"/>
  <c r="Y228" i="17"/>
  <c r="Y195" i="17"/>
  <c r="Y229" i="17"/>
  <c r="Y231" i="17"/>
  <c r="Y233" i="17"/>
  <c r="Y281" i="17"/>
  <c r="Y391" i="17"/>
  <c r="Y392" i="17"/>
  <c r="Y345" i="17"/>
  <c r="Y393" i="17"/>
  <c r="Y395" i="17"/>
  <c r="Y144" i="17"/>
  <c r="Y147" i="17"/>
  <c r="Y148" i="17"/>
  <c r="Y153" i="17"/>
  <c r="Y155" i="17"/>
  <c r="Y157" i="17"/>
  <c r="Y397" i="17"/>
  <c r="X410" i="17"/>
  <c r="X411" i="17"/>
  <c r="X412" i="17"/>
  <c r="Y413" i="17"/>
  <c r="Y399" i="17"/>
  <c r="Y376" i="17"/>
  <c r="Y378" i="17"/>
  <c r="Y375" i="17"/>
  <c r="Y377" i="17"/>
  <c r="Y380" i="17"/>
  <c r="Y350" i="17"/>
  <c r="Y398" i="17"/>
  <c r="Y401" i="17"/>
  <c r="Z19" i="17"/>
  <c r="Z42" i="17"/>
  <c r="Z43" i="17"/>
  <c r="Z44" i="17"/>
  <c r="Z45" i="17"/>
  <c r="Z46" i="17"/>
  <c r="Z47" i="17"/>
  <c r="Z48" i="17"/>
  <c r="Z49" i="17"/>
  <c r="Z50" i="17"/>
  <c r="Z51" i="17"/>
  <c r="Z52" i="17"/>
  <c r="Z53" i="17"/>
  <c r="Z54" i="17"/>
  <c r="Z55" i="17"/>
  <c r="Z56" i="17"/>
  <c r="Z57" i="17"/>
  <c r="Z58" i="17"/>
  <c r="Z36" i="17"/>
  <c r="Z59" i="17"/>
  <c r="Z60" i="17"/>
  <c r="Z61" i="17"/>
  <c r="Z62" i="17"/>
  <c r="Z63" i="17"/>
  <c r="Z65" i="17"/>
  <c r="Z160" i="17"/>
  <c r="Z68" i="17"/>
  <c r="Z105" i="17"/>
  <c r="Z106" i="17"/>
  <c r="Z107" i="17"/>
  <c r="Z108" i="17"/>
  <c r="Z109" i="17"/>
  <c r="Z110" i="17"/>
  <c r="Z111" i="17"/>
  <c r="Z112" i="17"/>
  <c r="Z113" i="17"/>
  <c r="Z114" i="17"/>
  <c r="Z115" i="17"/>
  <c r="Z116" i="17"/>
  <c r="Z117" i="17"/>
  <c r="Z118" i="17"/>
  <c r="Z119" i="17"/>
  <c r="Z83" i="17"/>
  <c r="Z120" i="17"/>
  <c r="Z121" i="17"/>
  <c r="Z122" i="17"/>
  <c r="Z123" i="17"/>
  <c r="Z124" i="17"/>
  <c r="Z125" i="17"/>
  <c r="Z126" i="17"/>
  <c r="Z127" i="17"/>
  <c r="Z128" i="17"/>
  <c r="Z129" i="17"/>
  <c r="Z130" i="17"/>
  <c r="Z131" i="17"/>
  <c r="Z132" i="17"/>
  <c r="Z133" i="17"/>
  <c r="Z134" i="17"/>
  <c r="Z135" i="17"/>
  <c r="Z136" i="17"/>
  <c r="Z137" i="17"/>
  <c r="Z138" i="17"/>
  <c r="Z139" i="17"/>
  <c r="Z140" i="17"/>
  <c r="Z142" i="17"/>
  <c r="Z161" i="17"/>
  <c r="Z163" i="17"/>
  <c r="Z275" i="17"/>
  <c r="Z166" i="17"/>
  <c r="Z260" i="17"/>
  <c r="Z267" i="17"/>
  <c r="Z261" i="17"/>
  <c r="Z268" i="17"/>
  <c r="Z256" i="17"/>
  <c r="Z263" i="17"/>
  <c r="Z257" i="17"/>
  <c r="Z264" i="17"/>
  <c r="Z258" i="17"/>
  <c r="Z265" i="17"/>
  <c r="Z259" i="17"/>
  <c r="Z266" i="17"/>
  <c r="Z270" i="17"/>
  <c r="Z174" i="17"/>
  <c r="Z238" i="17"/>
  <c r="Z245" i="17"/>
  <c r="Z239" i="17"/>
  <c r="Z246" i="17"/>
  <c r="Z240" i="17"/>
  <c r="Z247" i="17"/>
  <c r="Z241" i="17"/>
  <c r="Z248" i="17"/>
  <c r="Z252" i="17"/>
  <c r="Z272" i="17"/>
  <c r="Z274" i="17"/>
  <c r="Z138" i="15"/>
  <c r="Z145" i="15"/>
  <c r="Z146" i="15"/>
  <c r="Z158" i="15"/>
  <c r="Z165" i="15"/>
  <c r="Z166" i="15"/>
  <c r="Z276" i="17"/>
  <c r="Z279" i="17"/>
  <c r="Z179" i="17"/>
  <c r="Z183" i="17"/>
  <c r="Z216" i="17"/>
  <c r="Z185" i="17"/>
  <c r="Z200" i="17"/>
  <c r="Z217" i="17"/>
  <c r="Z181" i="17"/>
  <c r="Z184" i="17"/>
  <c r="Z186" i="17"/>
  <c r="Z202" i="17"/>
  <c r="Z218" i="17"/>
  <c r="Z187" i="17"/>
  <c r="Z203" i="17"/>
  <c r="Z219" i="17"/>
  <c r="Z188" i="17"/>
  <c r="Z204" i="17"/>
  <c r="Z220" i="17"/>
  <c r="Z189" i="17"/>
  <c r="Z221" i="17"/>
  <c r="Z190" i="17"/>
  <c r="Z222" i="17"/>
  <c r="Z191" i="17"/>
  <c r="Z223" i="17"/>
  <c r="Z192" i="17"/>
  <c r="Z224" i="17"/>
  <c r="Z193" i="17"/>
  <c r="Z225" i="17"/>
  <c r="Z201" i="17"/>
  <c r="Z210" i="17"/>
  <c r="Z226" i="17"/>
  <c r="Z227" i="17"/>
  <c r="Z228" i="17"/>
  <c r="Z195" i="17"/>
  <c r="Z229" i="17"/>
  <c r="Z231" i="17"/>
  <c r="Z233" i="17"/>
  <c r="Z281" i="17"/>
  <c r="Z391" i="17"/>
  <c r="Z392" i="17"/>
  <c r="Z345" i="17"/>
  <c r="Z393" i="17"/>
  <c r="Z395" i="17"/>
  <c r="Z144" i="17"/>
  <c r="Z147" i="17"/>
  <c r="Z148" i="17"/>
  <c r="Z153" i="17"/>
  <c r="Z155" i="17"/>
  <c r="Z157" i="17"/>
  <c r="Z397" i="17"/>
  <c r="Y410" i="17"/>
  <c r="Y411" i="17"/>
  <c r="Y412" i="17"/>
  <c r="Z413" i="17"/>
  <c r="Z399" i="17"/>
  <c r="Z376" i="17"/>
  <c r="Z378" i="17"/>
  <c r="Z375" i="17"/>
  <c r="Z377" i="17"/>
  <c r="Z380" i="17"/>
  <c r="Z350" i="17"/>
  <c r="Z398" i="17"/>
  <c r="Z401" i="17"/>
  <c r="AA19" i="17"/>
  <c r="AA42" i="17"/>
  <c r="AA43" i="17"/>
  <c r="AA44" i="17"/>
  <c r="AA45" i="17"/>
  <c r="AA46" i="17"/>
  <c r="AA47" i="17"/>
  <c r="AA48" i="17"/>
  <c r="AA49" i="17"/>
  <c r="AA50" i="17"/>
  <c r="AA51" i="17"/>
  <c r="AA52" i="17"/>
  <c r="AA53" i="17"/>
  <c r="AA54" i="17"/>
  <c r="AA55" i="17"/>
  <c r="AA56" i="17"/>
  <c r="AA57" i="17"/>
  <c r="AA58" i="17"/>
  <c r="AA36" i="17"/>
  <c r="AA59" i="17"/>
  <c r="AA60" i="17"/>
  <c r="AA61" i="17"/>
  <c r="AA62" i="17"/>
  <c r="AA63" i="17"/>
  <c r="AA65" i="17"/>
  <c r="AA160" i="17"/>
  <c r="AA68" i="17"/>
  <c r="AA105" i="17"/>
  <c r="AA106" i="17"/>
  <c r="AA107" i="17"/>
  <c r="AA108" i="17"/>
  <c r="AA109" i="17"/>
  <c r="AA110" i="17"/>
  <c r="AA111" i="17"/>
  <c r="AA112" i="17"/>
  <c r="AA113" i="17"/>
  <c r="AA114" i="17"/>
  <c r="AA115" i="17"/>
  <c r="AA116" i="17"/>
  <c r="AA117" i="17"/>
  <c r="AA118" i="17"/>
  <c r="AA119" i="17"/>
  <c r="AA83" i="17"/>
  <c r="AA120" i="17"/>
  <c r="AA121" i="17"/>
  <c r="AA122" i="17"/>
  <c r="AA123" i="17"/>
  <c r="AA124" i="17"/>
  <c r="AA125" i="17"/>
  <c r="AA126" i="17"/>
  <c r="AA127" i="17"/>
  <c r="AA128" i="17"/>
  <c r="AA129" i="17"/>
  <c r="AA130" i="17"/>
  <c r="AA131" i="17"/>
  <c r="AA132" i="17"/>
  <c r="AA133" i="17"/>
  <c r="AA134" i="17"/>
  <c r="AA135" i="17"/>
  <c r="AA136" i="17"/>
  <c r="AA137" i="17"/>
  <c r="AA138" i="17"/>
  <c r="AA139" i="17"/>
  <c r="AA140" i="17"/>
  <c r="AA142" i="17"/>
  <c r="AA161" i="17"/>
  <c r="AA163" i="17"/>
  <c r="AA275" i="17"/>
  <c r="AA166" i="17"/>
  <c r="AA260" i="17"/>
  <c r="AA267" i="17"/>
  <c r="AA261" i="17"/>
  <c r="AA268" i="17"/>
  <c r="AA256" i="17"/>
  <c r="AA263" i="17"/>
  <c r="AA257" i="17"/>
  <c r="AA264" i="17"/>
  <c r="AA258" i="17"/>
  <c r="AA265" i="17"/>
  <c r="AA259" i="17"/>
  <c r="AA266" i="17"/>
  <c r="AA270" i="17"/>
  <c r="AA174" i="17"/>
  <c r="AA238" i="17"/>
  <c r="AA245" i="17"/>
  <c r="AA239" i="17"/>
  <c r="AA246" i="17"/>
  <c r="AA240" i="17"/>
  <c r="AA247" i="17"/>
  <c r="AA241" i="17"/>
  <c r="AA248" i="17"/>
  <c r="AA252" i="17"/>
  <c r="AA272" i="17"/>
  <c r="AA274" i="17"/>
  <c r="AA138" i="15"/>
  <c r="AA145" i="15"/>
  <c r="AA146" i="15"/>
  <c r="AA158" i="15"/>
  <c r="AA165" i="15"/>
  <c r="AA166" i="15"/>
  <c r="AA276" i="17"/>
  <c r="AA279" i="17"/>
  <c r="AA179" i="17"/>
  <c r="AA183" i="17"/>
  <c r="AA216" i="17"/>
  <c r="AA185" i="17"/>
  <c r="AA200" i="17"/>
  <c r="AA217" i="17"/>
  <c r="AA181" i="17"/>
  <c r="AA184" i="17"/>
  <c r="AA186" i="17"/>
  <c r="AA202" i="17"/>
  <c r="AA218" i="17"/>
  <c r="AA187" i="17"/>
  <c r="AA203" i="17"/>
  <c r="AA219" i="17"/>
  <c r="AA188" i="17"/>
  <c r="AA204" i="17"/>
  <c r="AA220" i="17"/>
  <c r="AA189" i="17"/>
  <c r="AA221" i="17"/>
  <c r="AA190" i="17"/>
  <c r="AA222" i="17"/>
  <c r="AA191" i="17"/>
  <c r="AA223" i="17"/>
  <c r="AA192" i="17"/>
  <c r="AA224" i="17"/>
  <c r="AA193" i="17"/>
  <c r="AA225" i="17"/>
  <c r="AA201" i="17"/>
  <c r="AA210" i="17"/>
  <c r="AA226" i="17"/>
  <c r="AA227" i="17"/>
  <c r="AA228" i="17"/>
  <c r="AA195" i="17"/>
  <c r="AA229" i="17"/>
  <c r="AA231" i="17"/>
  <c r="AA233" i="17"/>
  <c r="AA281" i="17"/>
  <c r="AA391" i="17"/>
  <c r="AA392" i="17"/>
  <c r="AA345" i="17"/>
  <c r="AA393" i="17"/>
  <c r="AA395" i="17"/>
  <c r="AA144" i="17"/>
  <c r="AA147" i="17"/>
  <c r="AA148" i="17"/>
  <c r="AA153" i="17"/>
  <c r="AA155" i="17"/>
  <c r="AA157" i="17"/>
  <c r="AA397" i="17"/>
  <c r="Z410" i="17"/>
  <c r="Z411" i="17"/>
  <c r="Z412" i="17"/>
  <c r="AA413" i="17"/>
  <c r="AA399" i="17"/>
  <c r="AA376" i="17"/>
  <c r="AA378" i="17"/>
  <c r="AA375" i="17"/>
  <c r="AA377" i="17"/>
  <c r="AA380" i="17"/>
  <c r="AA350" i="17"/>
  <c r="AA398" i="17"/>
  <c r="AA401" i="17"/>
  <c r="F29" i="19"/>
  <c r="F30" i="19"/>
  <c r="F31" i="19"/>
  <c r="F32" i="19"/>
  <c r="F33" i="19"/>
  <c r="F34" i="19"/>
  <c r="F35" i="19"/>
  <c r="F36" i="19"/>
  <c r="F37" i="19"/>
  <c r="F38" i="19"/>
  <c r="F39" i="19"/>
  <c r="F40" i="19"/>
  <c r="F41" i="19"/>
  <c r="F42" i="19"/>
  <c r="F44" i="19"/>
  <c r="F8" i="19"/>
  <c r="F9" i="19"/>
  <c r="F10" i="19"/>
  <c r="F11" i="19"/>
  <c r="F12" i="19"/>
  <c r="F13" i="19"/>
  <c r="F14" i="19"/>
  <c r="F15" i="19"/>
  <c r="F16" i="19"/>
  <c r="F17" i="19"/>
  <c r="F18" i="19"/>
  <c r="F19" i="19"/>
  <c r="F20" i="19"/>
  <c r="F21" i="19"/>
  <c r="F22" i="19"/>
  <c r="F23" i="19"/>
  <c r="F25" i="19"/>
  <c r="H85" i="4"/>
  <c r="I85" i="4"/>
  <c r="G20" i="17"/>
  <c r="H86" i="4"/>
  <c r="I86" i="4"/>
  <c r="G21" i="17"/>
  <c r="H87" i="4"/>
  <c r="I87" i="4"/>
  <c r="G22" i="17"/>
  <c r="H88" i="4"/>
  <c r="I88" i="4"/>
  <c r="G23" i="17"/>
  <c r="H89" i="4"/>
  <c r="I89" i="4"/>
  <c r="G24" i="17"/>
  <c r="H90" i="4"/>
  <c r="I90" i="4"/>
  <c r="G25" i="17"/>
  <c r="H91" i="4"/>
  <c r="I91" i="4"/>
  <c r="G26" i="17"/>
  <c r="H92" i="4"/>
  <c r="I92" i="4"/>
  <c r="G27" i="17"/>
  <c r="H93" i="4"/>
  <c r="I93" i="4"/>
  <c r="G28" i="17"/>
  <c r="H94" i="4"/>
  <c r="I94" i="4"/>
  <c r="G29" i="17"/>
  <c r="H95" i="4"/>
  <c r="I95" i="4"/>
  <c r="G30" i="17"/>
  <c r="H96" i="4"/>
  <c r="I96" i="4"/>
  <c r="G31" i="17"/>
  <c r="H97" i="4"/>
  <c r="I97" i="4"/>
  <c r="G32" i="17"/>
  <c r="H98" i="4"/>
  <c r="I98" i="4"/>
  <c r="G33" i="17"/>
  <c r="H99" i="4"/>
  <c r="I99" i="4"/>
  <c r="G34" i="17"/>
  <c r="H100" i="4"/>
  <c r="I100" i="4"/>
  <c r="G35" i="17"/>
  <c r="H102" i="4"/>
  <c r="I102" i="4"/>
  <c r="G37" i="17"/>
  <c r="H148" i="4"/>
  <c r="I148" i="4"/>
  <c r="G69" i="17"/>
  <c r="H149" i="4"/>
  <c r="I149" i="4"/>
  <c r="G70" i="17"/>
  <c r="H150" i="4"/>
  <c r="I150" i="4"/>
  <c r="G71" i="17"/>
  <c r="H151" i="4"/>
  <c r="I151" i="4"/>
  <c r="G72" i="17"/>
  <c r="H152" i="4"/>
  <c r="I152" i="4"/>
  <c r="G73" i="17"/>
  <c r="H153" i="4"/>
  <c r="I153" i="4"/>
  <c r="G74" i="17"/>
  <c r="H154" i="4"/>
  <c r="I154" i="4"/>
  <c r="G75" i="17"/>
  <c r="H155" i="4"/>
  <c r="I155" i="4"/>
  <c r="G76" i="17"/>
  <c r="H156" i="4"/>
  <c r="I156" i="4"/>
  <c r="G77" i="17"/>
  <c r="H157" i="4"/>
  <c r="I157" i="4"/>
  <c r="G78" i="17"/>
  <c r="H158" i="4"/>
  <c r="I158" i="4"/>
  <c r="G79" i="17"/>
  <c r="H159" i="4"/>
  <c r="I159" i="4"/>
  <c r="G80" i="17"/>
  <c r="H160" i="4"/>
  <c r="I160" i="4"/>
  <c r="G81" i="17"/>
  <c r="H161" i="4"/>
  <c r="I161" i="4"/>
  <c r="G82" i="17"/>
  <c r="H163" i="4"/>
  <c r="I163" i="4"/>
  <c r="G84" i="17"/>
  <c r="H164" i="4"/>
  <c r="I164" i="4"/>
  <c r="G85" i="17"/>
  <c r="F48" i="19"/>
  <c r="F61" i="19"/>
  <c r="H165" i="4"/>
  <c r="I165" i="4"/>
  <c r="G86" i="17"/>
  <c r="G87" i="17"/>
  <c r="H167" i="4"/>
  <c r="I167" i="4"/>
  <c r="G88" i="17"/>
  <c r="H168" i="4"/>
  <c r="I168" i="4"/>
  <c r="G89" i="17"/>
  <c r="H169" i="4"/>
  <c r="I169" i="4"/>
  <c r="G90" i="17"/>
  <c r="H170" i="4"/>
  <c r="I170" i="4"/>
  <c r="G91" i="17"/>
  <c r="H171" i="4"/>
  <c r="I171" i="4"/>
  <c r="G92" i="17"/>
  <c r="H172" i="4"/>
  <c r="I172" i="4"/>
  <c r="G93" i="17"/>
  <c r="H173" i="4"/>
  <c r="I173" i="4"/>
  <c r="G94" i="17"/>
  <c r="H174" i="4"/>
  <c r="I174" i="4"/>
  <c r="G95" i="17"/>
  <c r="H175" i="4"/>
  <c r="I175" i="4"/>
  <c r="G96" i="17"/>
  <c r="H176" i="4"/>
  <c r="I176" i="4"/>
  <c r="G97" i="17"/>
  <c r="H177" i="4"/>
  <c r="I177" i="4"/>
  <c r="G98" i="17"/>
  <c r="H178" i="4"/>
  <c r="I178" i="4"/>
  <c r="G99" i="17"/>
  <c r="H179" i="4"/>
  <c r="I179" i="4"/>
  <c r="G100" i="17"/>
  <c r="H180" i="4"/>
  <c r="I180" i="4"/>
  <c r="G101" i="17"/>
  <c r="H181" i="4"/>
  <c r="I181" i="4"/>
  <c r="G102" i="17"/>
  <c r="H182" i="4"/>
  <c r="I182" i="4"/>
  <c r="G103" i="17"/>
  <c r="H20" i="17"/>
  <c r="H21" i="17"/>
  <c r="H22" i="17"/>
  <c r="H23" i="17"/>
  <c r="H24" i="17"/>
  <c r="H25" i="17"/>
  <c r="H26" i="17"/>
  <c r="H27" i="17"/>
  <c r="H28" i="17"/>
  <c r="H29" i="17"/>
  <c r="H30" i="17"/>
  <c r="H31" i="17"/>
  <c r="H32" i="17"/>
  <c r="H33" i="17"/>
  <c r="H34" i="17"/>
  <c r="H35" i="17"/>
  <c r="H37" i="17"/>
  <c r="H69" i="17"/>
  <c r="H70" i="17"/>
  <c r="H71" i="17"/>
  <c r="H72" i="17"/>
  <c r="H73" i="17"/>
  <c r="H74" i="17"/>
  <c r="H75" i="17"/>
  <c r="H76" i="17"/>
  <c r="H77" i="17"/>
  <c r="H78" i="17"/>
  <c r="H79" i="17"/>
  <c r="H80" i="17"/>
  <c r="H81" i="17"/>
  <c r="H82" i="17"/>
  <c r="H84" i="17"/>
  <c r="H85" i="17"/>
  <c r="H86" i="17"/>
  <c r="H87" i="17"/>
  <c r="H88" i="17"/>
  <c r="H89" i="17"/>
  <c r="H90" i="17"/>
  <c r="H91" i="17"/>
  <c r="H92" i="17"/>
  <c r="H93" i="17"/>
  <c r="H94" i="17"/>
  <c r="H95" i="17"/>
  <c r="H96" i="17"/>
  <c r="H97" i="17"/>
  <c r="H98" i="17"/>
  <c r="H99" i="17"/>
  <c r="H100" i="17"/>
  <c r="H101" i="17"/>
  <c r="H102" i="17"/>
  <c r="H103" i="17"/>
  <c r="I20" i="17"/>
  <c r="I21" i="17"/>
  <c r="I22" i="17"/>
  <c r="I23" i="17"/>
  <c r="I24" i="17"/>
  <c r="I25" i="17"/>
  <c r="I26" i="17"/>
  <c r="I27" i="17"/>
  <c r="I28" i="17"/>
  <c r="I29" i="17"/>
  <c r="I30" i="17"/>
  <c r="I31" i="17"/>
  <c r="I32" i="17"/>
  <c r="I33" i="17"/>
  <c r="I34" i="17"/>
  <c r="I35" i="17"/>
  <c r="I37" i="17"/>
  <c r="I69" i="17"/>
  <c r="I70" i="17"/>
  <c r="I71" i="17"/>
  <c r="I72" i="17"/>
  <c r="I73" i="17"/>
  <c r="I74" i="17"/>
  <c r="I75" i="17"/>
  <c r="I76" i="17"/>
  <c r="I77" i="17"/>
  <c r="I78" i="17"/>
  <c r="I79" i="17"/>
  <c r="I80" i="17"/>
  <c r="I81" i="17"/>
  <c r="I82" i="17"/>
  <c r="I84" i="17"/>
  <c r="I85" i="17"/>
  <c r="I86" i="17"/>
  <c r="I87" i="17"/>
  <c r="I88" i="17"/>
  <c r="I89" i="17"/>
  <c r="I90" i="17"/>
  <c r="I91" i="17"/>
  <c r="I92" i="17"/>
  <c r="I93" i="17"/>
  <c r="I94" i="17"/>
  <c r="I95" i="17"/>
  <c r="I96" i="17"/>
  <c r="I97" i="17"/>
  <c r="I98" i="17"/>
  <c r="I99" i="17"/>
  <c r="I100" i="17"/>
  <c r="I101" i="17"/>
  <c r="I102" i="17"/>
  <c r="I103" i="17"/>
  <c r="J20" i="17"/>
  <c r="J21" i="17"/>
  <c r="J22" i="17"/>
  <c r="J23" i="17"/>
  <c r="J24" i="17"/>
  <c r="J25" i="17"/>
  <c r="J26" i="17"/>
  <c r="J27" i="17"/>
  <c r="J28" i="17"/>
  <c r="J29" i="17"/>
  <c r="J30" i="17"/>
  <c r="J31" i="17"/>
  <c r="J32" i="17"/>
  <c r="J33" i="17"/>
  <c r="J34" i="17"/>
  <c r="J35" i="17"/>
  <c r="J37" i="17"/>
  <c r="J69" i="17"/>
  <c r="J70" i="17"/>
  <c r="J71" i="17"/>
  <c r="J72" i="17"/>
  <c r="J73" i="17"/>
  <c r="J74" i="17"/>
  <c r="J75" i="17"/>
  <c r="J76" i="17"/>
  <c r="J77" i="17"/>
  <c r="J78" i="17"/>
  <c r="J79" i="17"/>
  <c r="J80" i="17"/>
  <c r="J81" i="17"/>
  <c r="J82" i="17"/>
  <c r="J84" i="17"/>
  <c r="J85" i="17"/>
  <c r="J86" i="17"/>
  <c r="J87" i="17"/>
  <c r="J88" i="17"/>
  <c r="J89" i="17"/>
  <c r="J90" i="17"/>
  <c r="J91" i="17"/>
  <c r="J92" i="17"/>
  <c r="J93" i="17"/>
  <c r="J94" i="17"/>
  <c r="J95" i="17"/>
  <c r="J96" i="17"/>
  <c r="J97" i="17"/>
  <c r="J98" i="17"/>
  <c r="J99" i="17"/>
  <c r="J100" i="17"/>
  <c r="J101" i="17"/>
  <c r="J102" i="17"/>
  <c r="J103" i="17"/>
  <c r="K20" i="17"/>
  <c r="K21" i="17"/>
  <c r="K22" i="17"/>
  <c r="K23" i="17"/>
  <c r="K24" i="17"/>
  <c r="K25" i="17"/>
  <c r="K26" i="17"/>
  <c r="K27" i="17"/>
  <c r="K28" i="17"/>
  <c r="K29" i="17"/>
  <c r="K30" i="17"/>
  <c r="K31" i="17"/>
  <c r="K32" i="17"/>
  <c r="K33" i="17"/>
  <c r="K34" i="17"/>
  <c r="K35" i="17"/>
  <c r="K37" i="17"/>
  <c r="K69" i="17"/>
  <c r="K70" i="17"/>
  <c r="K71" i="17"/>
  <c r="K72" i="17"/>
  <c r="K73" i="17"/>
  <c r="K74" i="17"/>
  <c r="K75" i="17"/>
  <c r="K76" i="17"/>
  <c r="K77" i="17"/>
  <c r="K78" i="17"/>
  <c r="K79" i="17"/>
  <c r="K80" i="17"/>
  <c r="K81" i="17"/>
  <c r="K82" i="17"/>
  <c r="K84" i="17"/>
  <c r="K85" i="17"/>
  <c r="K86" i="17"/>
  <c r="K87" i="17"/>
  <c r="K88" i="17"/>
  <c r="K89" i="17"/>
  <c r="K90" i="17"/>
  <c r="K91" i="17"/>
  <c r="K92" i="17"/>
  <c r="K93" i="17"/>
  <c r="K94" i="17"/>
  <c r="K95" i="17"/>
  <c r="K96" i="17"/>
  <c r="K97" i="17"/>
  <c r="K98" i="17"/>
  <c r="K99" i="17"/>
  <c r="K100" i="17"/>
  <c r="K101" i="17"/>
  <c r="K102" i="17"/>
  <c r="K103" i="17"/>
  <c r="L20" i="17"/>
  <c r="L21" i="17"/>
  <c r="L22" i="17"/>
  <c r="L23" i="17"/>
  <c r="L24" i="17"/>
  <c r="L25" i="17"/>
  <c r="L26" i="17"/>
  <c r="L27" i="17"/>
  <c r="L28" i="17"/>
  <c r="L29" i="17"/>
  <c r="L30" i="17"/>
  <c r="L31" i="17"/>
  <c r="L32" i="17"/>
  <c r="L33" i="17"/>
  <c r="L34" i="17"/>
  <c r="L35" i="17"/>
  <c r="L37" i="17"/>
  <c r="L69" i="17"/>
  <c r="L70" i="17"/>
  <c r="L71" i="17"/>
  <c r="L72" i="17"/>
  <c r="L73" i="17"/>
  <c r="L74" i="17"/>
  <c r="L75" i="17"/>
  <c r="L76" i="17"/>
  <c r="L77" i="17"/>
  <c r="L78" i="17"/>
  <c r="L79" i="17"/>
  <c r="L80" i="17"/>
  <c r="L81" i="17"/>
  <c r="L82" i="17"/>
  <c r="L84" i="17"/>
  <c r="L85" i="17"/>
  <c r="L86" i="17"/>
  <c r="L87" i="17"/>
  <c r="L88" i="17"/>
  <c r="L89" i="17"/>
  <c r="L90" i="17"/>
  <c r="L91" i="17"/>
  <c r="L92" i="17"/>
  <c r="L93" i="17"/>
  <c r="L94" i="17"/>
  <c r="L95" i="17"/>
  <c r="L96" i="17"/>
  <c r="L97" i="17"/>
  <c r="L98" i="17"/>
  <c r="L99" i="17"/>
  <c r="L100" i="17"/>
  <c r="L101" i="17"/>
  <c r="L102" i="17"/>
  <c r="L103" i="17"/>
  <c r="M20" i="17"/>
  <c r="M21" i="17"/>
  <c r="M22" i="17"/>
  <c r="M23" i="17"/>
  <c r="M24" i="17"/>
  <c r="M25" i="17"/>
  <c r="M26" i="17"/>
  <c r="M27" i="17"/>
  <c r="M28" i="17"/>
  <c r="M29" i="17"/>
  <c r="M30" i="17"/>
  <c r="M31" i="17"/>
  <c r="M32" i="17"/>
  <c r="M33" i="17"/>
  <c r="M34" i="17"/>
  <c r="M35" i="17"/>
  <c r="M37" i="17"/>
  <c r="M69" i="17"/>
  <c r="M70" i="17"/>
  <c r="M71" i="17"/>
  <c r="M72" i="17"/>
  <c r="M73" i="17"/>
  <c r="M74" i="17"/>
  <c r="M75" i="17"/>
  <c r="M76" i="17"/>
  <c r="M77" i="17"/>
  <c r="M78" i="17"/>
  <c r="M79" i="17"/>
  <c r="M80" i="17"/>
  <c r="M81" i="17"/>
  <c r="M82" i="17"/>
  <c r="M84" i="17"/>
  <c r="M85" i="17"/>
  <c r="M86" i="17"/>
  <c r="M87" i="17"/>
  <c r="M88" i="17"/>
  <c r="M89" i="17"/>
  <c r="M90" i="17"/>
  <c r="M91" i="17"/>
  <c r="M92" i="17"/>
  <c r="M93" i="17"/>
  <c r="M94" i="17"/>
  <c r="M95" i="17"/>
  <c r="M96" i="17"/>
  <c r="M97" i="17"/>
  <c r="M98" i="17"/>
  <c r="M99" i="17"/>
  <c r="M100" i="17"/>
  <c r="M101" i="17"/>
  <c r="M102" i="17"/>
  <c r="M103" i="17"/>
  <c r="N20" i="17"/>
  <c r="N21" i="17"/>
  <c r="N22" i="17"/>
  <c r="N23" i="17"/>
  <c r="N24" i="17"/>
  <c r="N25" i="17"/>
  <c r="N26" i="17"/>
  <c r="N27" i="17"/>
  <c r="N28" i="17"/>
  <c r="N29" i="17"/>
  <c r="N30" i="17"/>
  <c r="N31" i="17"/>
  <c r="N32" i="17"/>
  <c r="N33" i="17"/>
  <c r="N34" i="17"/>
  <c r="N35" i="17"/>
  <c r="N37" i="17"/>
  <c r="N69" i="17"/>
  <c r="N70" i="17"/>
  <c r="N71" i="17"/>
  <c r="N72" i="17"/>
  <c r="N73" i="17"/>
  <c r="N74" i="17"/>
  <c r="N75" i="17"/>
  <c r="N76" i="17"/>
  <c r="N77" i="17"/>
  <c r="N78" i="17"/>
  <c r="N79" i="17"/>
  <c r="N80" i="17"/>
  <c r="N81" i="17"/>
  <c r="N82" i="17"/>
  <c r="N84" i="17"/>
  <c r="N85" i="17"/>
  <c r="N86" i="17"/>
  <c r="N87" i="17"/>
  <c r="N88" i="17"/>
  <c r="N89" i="17"/>
  <c r="N90" i="17"/>
  <c r="N91" i="17"/>
  <c r="N92" i="17"/>
  <c r="N93" i="17"/>
  <c r="N94" i="17"/>
  <c r="N95" i="17"/>
  <c r="N96" i="17"/>
  <c r="N97" i="17"/>
  <c r="N98" i="17"/>
  <c r="N99" i="17"/>
  <c r="N100" i="17"/>
  <c r="N101" i="17"/>
  <c r="N102" i="17"/>
  <c r="N103" i="17"/>
  <c r="O20" i="17"/>
  <c r="O21" i="17"/>
  <c r="O22" i="17"/>
  <c r="O23" i="17"/>
  <c r="O24" i="17"/>
  <c r="O25" i="17"/>
  <c r="O26" i="17"/>
  <c r="O27" i="17"/>
  <c r="O28" i="17"/>
  <c r="O29" i="17"/>
  <c r="O30" i="17"/>
  <c r="O31" i="17"/>
  <c r="O32" i="17"/>
  <c r="O33" i="17"/>
  <c r="O34" i="17"/>
  <c r="O35" i="17"/>
  <c r="O37" i="17"/>
  <c r="O69" i="17"/>
  <c r="O70" i="17"/>
  <c r="O71" i="17"/>
  <c r="O72" i="17"/>
  <c r="O73" i="17"/>
  <c r="O74" i="17"/>
  <c r="O75" i="17"/>
  <c r="O76" i="17"/>
  <c r="O77" i="17"/>
  <c r="O78" i="17"/>
  <c r="O79" i="17"/>
  <c r="O80" i="17"/>
  <c r="O81" i="17"/>
  <c r="O82" i="17"/>
  <c r="O84" i="17"/>
  <c r="O85" i="17"/>
  <c r="O86" i="17"/>
  <c r="O87" i="17"/>
  <c r="O88" i="17"/>
  <c r="O89" i="17"/>
  <c r="O90" i="17"/>
  <c r="O91" i="17"/>
  <c r="O92" i="17"/>
  <c r="O93" i="17"/>
  <c r="O94" i="17"/>
  <c r="O95" i="17"/>
  <c r="O96" i="17"/>
  <c r="O97" i="17"/>
  <c r="O98" i="17"/>
  <c r="O99" i="17"/>
  <c r="O100" i="17"/>
  <c r="O101" i="17"/>
  <c r="O102" i="17"/>
  <c r="O103" i="17"/>
  <c r="P20" i="17"/>
  <c r="P21" i="17"/>
  <c r="P22" i="17"/>
  <c r="P23" i="17"/>
  <c r="P24" i="17"/>
  <c r="P25" i="17"/>
  <c r="P26" i="17"/>
  <c r="P27" i="17"/>
  <c r="P28" i="17"/>
  <c r="P29" i="17"/>
  <c r="P30" i="17"/>
  <c r="P31" i="17"/>
  <c r="P32" i="17"/>
  <c r="P33" i="17"/>
  <c r="P34" i="17"/>
  <c r="P35" i="17"/>
  <c r="P37" i="17"/>
  <c r="P69" i="17"/>
  <c r="P70" i="17"/>
  <c r="P71" i="17"/>
  <c r="P72" i="17"/>
  <c r="P73" i="17"/>
  <c r="P74" i="17"/>
  <c r="P75" i="17"/>
  <c r="P76" i="17"/>
  <c r="P77" i="17"/>
  <c r="P78" i="17"/>
  <c r="P79" i="17"/>
  <c r="P80" i="17"/>
  <c r="P81" i="17"/>
  <c r="P82" i="17"/>
  <c r="P84" i="17"/>
  <c r="P85" i="17"/>
  <c r="P86" i="17"/>
  <c r="P87" i="17"/>
  <c r="P88" i="17"/>
  <c r="P89" i="17"/>
  <c r="P90" i="17"/>
  <c r="P91" i="17"/>
  <c r="P92" i="17"/>
  <c r="P93" i="17"/>
  <c r="P94" i="17"/>
  <c r="P95" i="17"/>
  <c r="P96" i="17"/>
  <c r="P97" i="17"/>
  <c r="P98" i="17"/>
  <c r="P99" i="17"/>
  <c r="P100" i="17"/>
  <c r="P101" i="17"/>
  <c r="P102" i="17"/>
  <c r="P103" i="17"/>
  <c r="Q20" i="17"/>
  <c r="Q21" i="17"/>
  <c r="Q22" i="17"/>
  <c r="Q23" i="17"/>
  <c r="Q24" i="17"/>
  <c r="Q25" i="17"/>
  <c r="Q26" i="17"/>
  <c r="Q27" i="17"/>
  <c r="Q28" i="17"/>
  <c r="Q29" i="17"/>
  <c r="Q30" i="17"/>
  <c r="Q31" i="17"/>
  <c r="Q32" i="17"/>
  <c r="Q33" i="17"/>
  <c r="Q34" i="17"/>
  <c r="Q35" i="17"/>
  <c r="Q37" i="17"/>
  <c r="Q69" i="17"/>
  <c r="Q70" i="17"/>
  <c r="Q71" i="17"/>
  <c r="Q72" i="17"/>
  <c r="Q73" i="17"/>
  <c r="Q74" i="17"/>
  <c r="Q75" i="17"/>
  <c r="Q76" i="17"/>
  <c r="Q77" i="17"/>
  <c r="Q78" i="17"/>
  <c r="Q79" i="17"/>
  <c r="Q80" i="17"/>
  <c r="Q81" i="17"/>
  <c r="Q82" i="17"/>
  <c r="Q84" i="17"/>
  <c r="Q85" i="17"/>
  <c r="Q86" i="17"/>
  <c r="Q87" i="17"/>
  <c r="Q88" i="17"/>
  <c r="Q89" i="17"/>
  <c r="Q90" i="17"/>
  <c r="Q91" i="17"/>
  <c r="Q92" i="17"/>
  <c r="Q93" i="17"/>
  <c r="Q94" i="17"/>
  <c r="Q95" i="17"/>
  <c r="Q96" i="17"/>
  <c r="Q97" i="17"/>
  <c r="Q98" i="17"/>
  <c r="Q99" i="17"/>
  <c r="Q100" i="17"/>
  <c r="Q101" i="17"/>
  <c r="Q102" i="17"/>
  <c r="Q103" i="17"/>
  <c r="R20" i="17"/>
  <c r="R21" i="17"/>
  <c r="R22" i="17"/>
  <c r="R23" i="17"/>
  <c r="R24" i="17"/>
  <c r="R25" i="17"/>
  <c r="R26" i="17"/>
  <c r="R27" i="17"/>
  <c r="R28" i="17"/>
  <c r="R29" i="17"/>
  <c r="R30" i="17"/>
  <c r="R31" i="17"/>
  <c r="R32" i="17"/>
  <c r="R33" i="17"/>
  <c r="R34" i="17"/>
  <c r="R35" i="17"/>
  <c r="R37" i="17"/>
  <c r="R69" i="17"/>
  <c r="R70" i="17"/>
  <c r="R71" i="17"/>
  <c r="R72" i="17"/>
  <c r="R73" i="17"/>
  <c r="R74" i="17"/>
  <c r="R75" i="17"/>
  <c r="R76" i="17"/>
  <c r="R77" i="17"/>
  <c r="R78" i="17"/>
  <c r="R79" i="17"/>
  <c r="R80" i="17"/>
  <c r="R81" i="17"/>
  <c r="R82" i="17"/>
  <c r="R84" i="17"/>
  <c r="R85" i="17"/>
  <c r="R86" i="17"/>
  <c r="R87" i="17"/>
  <c r="R88" i="17"/>
  <c r="R89" i="17"/>
  <c r="R90" i="17"/>
  <c r="R91" i="17"/>
  <c r="R92" i="17"/>
  <c r="R93" i="17"/>
  <c r="R94" i="17"/>
  <c r="R95" i="17"/>
  <c r="R96" i="17"/>
  <c r="R97" i="17"/>
  <c r="R98" i="17"/>
  <c r="R99" i="17"/>
  <c r="R100" i="17"/>
  <c r="R101" i="17"/>
  <c r="R102" i="17"/>
  <c r="R103" i="17"/>
  <c r="S20" i="17"/>
  <c r="S21" i="17"/>
  <c r="S22" i="17"/>
  <c r="S23" i="17"/>
  <c r="S24" i="17"/>
  <c r="S25" i="17"/>
  <c r="S26" i="17"/>
  <c r="S27" i="17"/>
  <c r="S28" i="17"/>
  <c r="S29" i="17"/>
  <c r="S30" i="17"/>
  <c r="S31" i="17"/>
  <c r="S32" i="17"/>
  <c r="S33" i="17"/>
  <c r="S34" i="17"/>
  <c r="S35" i="17"/>
  <c r="S37" i="17"/>
  <c r="S69" i="17"/>
  <c r="S70" i="17"/>
  <c r="S71" i="17"/>
  <c r="S72" i="17"/>
  <c r="S73" i="17"/>
  <c r="S74" i="17"/>
  <c r="S75" i="17"/>
  <c r="S76" i="17"/>
  <c r="S77" i="17"/>
  <c r="S78" i="17"/>
  <c r="S79" i="17"/>
  <c r="S80" i="17"/>
  <c r="S81" i="17"/>
  <c r="S82" i="17"/>
  <c r="S84" i="17"/>
  <c r="S85" i="17"/>
  <c r="S86" i="17"/>
  <c r="S87" i="17"/>
  <c r="S88" i="17"/>
  <c r="S89" i="17"/>
  <c r="S90" i="17"/>
  <c r="S91" i="17"/>
  <c r="S92" i="17"/>
  <c r="S93" i="17"/>
  <c r="S94" i="17"/>
  <c r="S95" i="17"/>
  <c r="S96" i="17"/>
  <c r="S97" i="17"/>
  <c r="S98" i="17"/>
  <c r="S99" i="17"/>
  <c r="S100" i="17"/>
  <c r="S101" i="17"/>
  <c r="S102" i="17"/>
  <c r="S103" i="17"/>
  <c r="T20" i="17"/>
  <c r="T21" i="17"/>
  <c r="T22" i="17"/>
  <c r="T23" i="17"/>
  <c r="T24" i="17"/>
  <c r="T25" i="17"/>
  <c r="T26" i="17"/>
  <c r="T27" i="17"/>
  <c r="T28" i="17"/>
  <c r="T29" i="17"/>
  <c r="T30" i="17"/>
  <c r="T31" i="17"/>
  <c r="T32" i="17"/>
  <c r="T33" i="17"/>
  <c r="T34" i="17"/>
  <c r="T35" i="17"/>
  <c r="T37" i="17"/>
  <c r="T69" i="17"/>
  <c r="T70" i="17"/>
  <c r="T71" i="17"/>
  <c r="T72" i="17"/>
  <c r="T73" i="17"/>
  <c r="T74" i="17"/>
  <c r="T75" i="17"/>
  <c r="T76" i="17"/>
  <c r="T77" i="17"/>
  <c r="T78" i="17"/>
  <c r="T79" i="17"/>
  <c r="T80" i="17"/>
  <c r="T81" i="17"/>
  <c r="T82" i="17"/>
  <c r="T84" i="17"/>
  <c r="T85" i="17"/>
  <c r="T86" i="17"/>
  <c r="T87" i="17"/>
  <c r="T88" i="17"/>
  <c r="T89" i="17"/>
  <c r="T90" i="17"/>
  <c r="T91" i="17"/>
  <c r="T92" i="17"/>
  <c r="T93" i="17"/>
  <c r="T94" i="17"/>
  <c r="T95" i="17"/>
  <c r="T96" i="17"/>
  <c r="T97" i="17"/>
  <c r="T98" i="17"/>
  <c r="T99" i="17"/>
  <c r="T100" i="17"/>
  <c r="T101" i="17"/>
  <c r="T102" i="17"/>
  <c r="T103" i="17"/>
  <c r="U20" i="17"/>
  <c r="U21" i="17"/>
  <c r="U22" i="17"/>
  <c r="U23" i="17"/>
  <c r="U24" i="17"/>
  <c r="U25" i="17"/>
  <c r="U26" i="17"/>
  <c r="U27" i="17"/>
  <c r="U28" i="17"/>
  <c r="U29" i="17"/>
  <c r="U30" i="17"/>
  <c r="U31" i="17"/>
  <c r="U32" i="17"/>
  <c r="U33" i="17"/>
  <c r="U34" i="17"/>
  <c r="U35" i="17"/>
  <c r="U37" i="17"/>
  <c r="U69" i="17"/>
  <c r="U70" i="17"/>
  <c r="U71" i="17"/>
  <c r="U72" i="17"/>
  <c r="U73" i="17"/>
  <c r="U74" i="17"/>
  <c r="U75" i="17"/>
  <c r="U76" i="17"/>
  <c r="U77" i="17"/>
  <c r="U78" i="17"/>
  <c r="U79" i="17"/>
  <c r="U80" i="17"/>
  <c r="U81" i="17"/>
  <c r="U82" i="17"/>
  <c r="U84" i="17"/>
  <c r="U85" i="17"/>
  <c r="U86" i="17"/>
  <c r="U87" i="17"/>
  <c r="U88" i="17"/>
  <c r="U89" i="17"/>
  <c r="U90" i="17"/>
  <c r="U91" i="17"/>
  <c r="U92" i="17"/>
  <c r="U93" i="17"/>
  <c r="U94" i="17"/>
  <c r="U95" i="17"/>
  <c r="U96" i="17"/>
  <c r="U97" i="17"/>
  <c r="U98" i="17"/>
  <c r="U99" i="17"/>
  <c r="U100" i="17"/>
  <c r="U101" i="17"/>
  <c r="U102" i="17"/>
  <c r="U103" i="17"/>
  <c r="V20" i="17"/>
  <c r="V21" i="17"/>
  <c r="V22" i="17"/>
  <c r="V23" i="17"/>
  <c r="V24" i="17"/>
  <c r="V25" i="17"/>
  <c r="V26" i="17"/>
  <c r="V27" i="17"/>
  <c r="V28" i="17"/>
  <c r="V29" i="17"/>
  <c r="V30" i="17"/>
  <c r="V31" i="17"/>
  <c r="V32" i="17"/>
  <c r="V33" i="17"/>
  <c r="V34" i="17"/>
  <c r="V35" i="17"/>
  <c r="V37" i="17"/>
  <c r="V69" i="17"/>
  <c r="V70" i="17"/>
  <c r="V71" i="17"/>
  <c r="V72" i="17"/>
  <c r="V73" i="17"/>
  <c r="V74" i="17"/>
  <c r="V75" i="17"/>
  <c r="V76" i="17"/>
  <c r="V77" i="17"/>
  <c r="V78" i="17"/>
  <c r="V79" i="17"/>
  <c r="V80" i="17"/>
  <c r="V81" i="17"/>
  <c r="V82" i="17"/>
  <c r="V84" i="17"/>
  <c r="V85" i="17"/>
  <c r="V86" i="17"/>
  <c r="V87" i="17"/>
  <c r="V88" i="17"/>
  <c r="V89" i="17"/>
  <c r="V90" i="17"/>
  <c r="V91" i="17"/>
  <c r="V92" i="17"/>
  <c r="V93" i="17"/>
  <c r="V94" i="17"/>
  <c r="V95" i="17"/>
  <c r="V96" i="17"/>
  <c r="V97" i="17"/>
  <c r="V98" i="17"/>
  <c r="V99" i="17"/>
  <c r="V100" i="17"/>
  <c r="V101" i="17"/>
  <c r="V102" i="17"/>
  <c r="V103" i="17"/>
  <c r="W20" i="17"/>
  <c r="W21" i="17"/>
  <c r="W22" i="17"/>
  <c r="W23" i="17"/>
  <c r="W24" i="17"/>
  <c r="W25" i="17"/>
  <c r="W26" i="17"/>
  <c r="W27" i="17"/>
  <c r="W28" i="17"/>
  <c r="W29" i="17"/>
  <c r="W30" i="17"/>
  <c r="W31" i="17"/>
  <c r="W32" i="17"/>
  <c r="W33" i="17"/>
  <c r="W34" i="17"/>
  <c r="W35" i="17"/>
  <c r="W37" i="17"/>
  <c r="W69" i="17"/>
  <c r="W70" i="17"/>
  <c r="W71" i="17"/>
  <c r="W72" i="17"/>
  <c r="W73" i="17"/>
  <c r="W74" i="17"/>
  <c r="W75" i="17"/>
  <c r="W76" i="17"/>
  <c r="W77" i="17"/>
  <c r="W78" i="17"/>
  <c r="W79" i="17"/>
  <c r="W80" i="17"/>
  <c r="W81" i="17"/>
  <c r="W82" i="17"/>
  <c r="W84" i="17"/>
  <c r="W85" i="17"/>
  <c r="W86" i="17"/>
  <c r="W87" i="17"/>
  <c r="W88" i="17"/>
  <c r="W89" i="17"/>
  <c r="W90" i="17"/>
  <c r="W91" i="17"/>
  <c r="W92" i="17"/>
  <c r="W93" i="17"/>
  <c r="W94" i="17"/>
  <c r="W95" i="17"/>
  <c r="W96" i="17"/>
  <c r="W97" i="17"/>
  <c r="W98" i="17"/>
  <c r="W99" i="17"/>
  <c r="W100" i="17"/>
  <c r="W101" i="17"/>
  <c r="W102" i="17"/>
  <c r="W103" i="17"/>
  <c r="X20" i="17"/>
  <c r="X21" i="17"/>
  <c r="X22" i="17"/>
  <c r="X23" i="17"/>
  <c r="X24" i="17"/>
  <c r="X25" i="17"/>
  <c r="X26" i="17"/>
  <c r="X27" i="17"/>
  <c r="X28" i="17"/>
  <c r="X29" i="17"/>
  <c r="X30" i="17"/>
  <c r="X31" i="17"/>
  <c r="X32" i="17"/>
  <c r="X33" i="17"/>
  <c r="X34" i="17"/>
  <c r="X35" i="17"/>
  <c r="X37" i="17"/>
  <c r="X69" i="17"/>
  <c r="X70" i="17"/>
  <c r="X71" i="17"/>
  <c r="X72" i="17"/>
  <c r="X73" i="17"/>
  <c r="X74" i="17"/>
  <c r="X75" i="17"/>
  <c r="X76" i="17"/>
  <c r="X77" i="17"/>
  <c r="X78" i="17"/>
  <c r="X79" i="17"/>
  <c r="X80" i="17"/>
  <c r="X81" i="17"/>
  <c r="X82" i="17"/>
  <c r="X84" i="17"/>
  <c r="X85" i="17"/>
  <c r="X86" i="17"/>
  <c r="X87" i="17"/>
  <c r="X88" i="17"/>
  <c r="X89" i="17"/>
  <c r="X90" i="17"/>
  <c r="X91" i="17"/>
  <c r="X92" i="17"/>
  <c r="X93" i="17"/>
  <c r="X94" i="17"/>
  <c r="X95" i="17"/>
  <c r="X96" i="17"/>
  <c r="X97" i="17"/>
  <c r="X98" i="17"/>
  <c r="X99" i="17"/>
  <c r="X100" i="17"/>
  <c r="X101" i="17"/>
  <c r="X102" i="17"/>
  <c r="X103" i="17"/>
  <c r="Y20" i="17"/>
  <c r="Y21" i="17"/>
  <c r="Y22" i="17"/>
  <c r="Y23" i="17"/>
  <c r="Y24" i="17"/>
  <c r="Y25" i="17"/>
  <c r="Y26" i="17"/>
  <c r="Y27" i="17"/>
  <c r="Y28" i="17"/>
  <c r="Y29" i="17"/>
  <c r="Y30" i="17"/>
  <c r="Y31" i="17"/>
  <c r="Y32" i="17"/>
  <c r="Y33" i="17"/>
  <c r="Y34" i="17"/>
  <c r="Y35" i="17"/>
  <c r="Y37" i="17"/>
  <c r="Y69" i="17"/>
  <c r="Y70" i="17"/>
  <c r="Y71" i="17"/>
  <c r="Y72" i="17"/>
  <c r="Y73" i="17"/>
  <c r="Y74" i="17"/>
  <c r="Y75" i="17"/>
  <c r="Y76" i="17"/>
  <c r="Y77" i="17"/>
  <c r="Y78" i="17"/>
  <c r="Y79" i="17"/>
  <c r="Y80" i="17"/>
  <c r="Y81" i="17"/>
  <c r="Y82" i="17"/>
  <c r="Y84" i="17"/>
  <c r="Y85" i="17"/>
  <c r="Y86" i="17"/>
  <c r="Y87" i="17"/>
  <c r="Y88" i="17"/>
  <c r="Y89" i="17"/>
  <c r="Y90" i="17"/>
  <c r="Y91" i="17"/>
  <c r="Y92" i="17"/>
  <c r="Y93" i="17"/>
  <c r="Y94" i="17"/>
  <c r="Y95" i="17"/>
  <c r="Y96" i="17"/>
  <c r="Y97" i="17"/>
  <c r="Y98" i="17"/>
  <c r="Y99" i="17"/>
  <c r="Y100" i="17"/>
  <c r="Y101" i="17"/>
  <c r="Y102" i="17"/>
  <c r="Y103" i="17"/>
  <c r="Z20" i="17"/>
  <c r="Z21" i="17"/>
  <c r="Z22" i="17"/>
  <c r="Z23" i="17"/>
  <c r="Z24" i="17"/>
  <c r="Z25" i="17"/>
  <c r="Z26" i="17"/>
  <c r="Z27" i="17"/>
  <c r="Z28" i="17"/>
  <c r="Z29" i="17"/>
  <c r="Z30" i="17"/>
  <c r="Z31" i="17"/>
  <c r="Z32" i="17"/>
  <c r="Z33" i="17"/>
  <c r="Z34" i="17"/>
  <c r="Z35" i="17"/>
  <c r="Z37" i="17"/>
  <c r="Z69" i="17"/>
  <c r="Z70" i="17"/>
  <c r="Z71" i="17"/>
  <c r="Z72" i="17"/>
  <c r="Z73" i="17"/>
  <c r="Z74" i="17"/>
  <c r="Z75" i="17"/>
  <c r="Z76" i="17"/>
  <c r="Z77" i="17"/>
  <c r="Z78" i="17"/>
  <c r="Z79" i="17"/>
  <c r="Z80" i="17"/>
  <c r="Z81" i="17"/>
  <c r="Z82" i="17"/>
  <c r="Z84" i="17"/>
  <c r="Z85" i="17"/>
  <c r="Z86" i="17"/>
  <c r="Z87" i="17"/>
  <c r="Z88" i="17"/>
  <c r="Z89" i="17"/>
  <c r="Z90" i="17"/>
  <c r="Z91" i="17"/>
  <c r="Z92" i="17"/>
  <c r="Z93" i="17"/>
  <c r="Z94" i="17"/>
  <c r="Z95" i="17"/>
  <c r="Z96" i="17"/>
  <c r="Z97" i="17"/>
  <c r="Z98" i="17"/>
  <c r="Z99" i="17"/>
  <c r="Z100" i="17"/>
  <c r="Z101" i="17"/>
  <c r="Z102" i="17"/>
  <c r="Z103" i="17"/>
  <c r="AA20" i="17"/>
  <c r="AA21" i="17"/>
  <c r="AA22" i="17"/>
  <c r="AA23" i="17"/>
  <c r="AA24" i="17"/>
  <c r="AA25" i="17"/>
  <c r="AA26" i="17"/>
  <c r="AA27" i="17"/>
  <c r="AA28" i="17"/>
  <c r="AA29" i="17"/>
  <c r="AA30" i="17"/>
  <c r="AA31" i="17"/>
  <c r="AA32" i="17"/>
  <c r="AA33" i="17"/>
  <c r="AA34" i="17"/>
  <c r="AA35" i="17"/>
  <c r="AA37" i="17"/>
  <c r="AA69" i="17"/>
  <c r="AA70" i="17"/>
  <c r="AA71" i="17"/>
  <c r="AA72" i="17"/>
  <c r="AA73" i="17"/>
  <c r="AA74" i="17"/>
  <c r="AA75" i="17"/>
  <c r="AA76" i="17"/>
  <c r="AA77" i="17"/>
  <c r="AA78" i="17"/>
  <c r="AA79" i="17"/>
  <c r="AA80" i="17"/>
  <c r="AA81" i="17"/>
  <c r="AA82" i="17"/>
  <c r="AA84" i="17"/>
  <c r="AA85" i="17"/>
  <c r="AA86" i="17"/>
  <c r="AA87" i="17"/>
  <c r="AA88" i="17"/>
  <c r="AA89" i="17"/>
  <c r="AA90" i="17"/>
  <c r="AA91" i="17"/>
  <c r="AA92" i="17"/>
  <c r="AA93" i="17"/>
  <c r="AA94" i="17"/>
  <c r="AA95" i="17"/>
  <c r="AA96" i="17"/>
  <c r="AA97" i="17"/>
  <c r="AA98" i="17"/>
  <c r="AA99" i="17"/>
  <c r="AA100" i="17"/>
  <c r="AA101" i="17"/>
  <c r="AA102" i="17"/>
  <c r="AA103" i="17"/>
  <c r="G198" i="3"/>
  <c r="G200" i="3"/>
  <c r="E377" i="17"/>
  <c r="E378" i="17"/>
  <c r="E375" i="17"/>
  <c r="D183" i="3"/>
  <c r="I16" i="8"/>
  <c r="K16" i="8"/>
  <c r="H222" i="4"/>
  <c r="I222" i="4"/>
  <c r="G174" i="3"/>
  <c r="H174" i="3"/>
  <c r="D202" i="17"/>
  <c r="D218" i="17"/>
  <c r="G20" i="3"/>
  <c r="G21" i="3"/>
  <c r="G22" i="3"/>
  <c r="G23" i="3"/>
  <c r="G24" i="3"/>
  <c r="G25" i="3"/>
  <c r="G26" i="3"/>
  <c r="G27" i="3"/>
  <c r="G28" i="3"/>
  <c r="G29" i="3"/>
  <c r="G30" i="3"/>
  <c r="G31" i="3"/>
  <c r="G32" i="3"/>
  <c r="G33" i="3"/>
  <c r="G34" i="3"/>
  <c r="G35" i="3"/>
  <c r="G37" i="3"/>
  <c r="H20" i="3"/>
  <c r="H21" i="3"/>
  <c r="H22" i="3"/>
  <c r="H23" i="3"/>
  <c r="H24" i="3"/>
  <c r="H25" i="3"/>
  <c r="H26" i="3"/>
  <c r="H27" i="3"/>
  <c r="H28" i="3"/>
  <c r="H29" i="3"/>
  <c r="H30" i="3"/>
  <c r="H31" i="3"/>
  <c r="H32" i="3"/>
  <c r="H33" i="3"/>
  <c r="H34" i="3"/>
  <c r="H35" i="3"/>
  <c r="H37" i="3"/>
  <c r="I20" i="3"/>
  <c r="I21" i="3"/>
  <c r="I22" i="3"/>
  <c r="I23" i="3"/>
  <c r="I24" i="3"/>
  <c r="I25" i="3"/>
  <c r="I26" i="3"/>
  <c r="I27" i="3"/>
  <c r="I28" i="3"/>
  <c r="I29" i="3"/>
  <c r="I30" i="3"/>
  <c r="I31" i="3"/>
  <c r="I32" i="3"/>
  <c r="I33" i="3"/>
  <c r="I34" i="3"/>
  <c r="I35" i="3"/>
  <c r="I37" i="3"/>
  <c r="J20" i="3"/>
  <c r="J21" i="3"/>
  <c r="J22" i="3"/>
  <c r="J23" i="3"/>
  <c r="J24" i="3"/>
  <c r="J25" i="3"/>
  <c r="J26" i="3"/>
  <c r="J27" i="3"/>
  <c r="J28" i="3"/>
  <c r="J29" i="3"/>
  <c r="J30" i="3"/>
  <c r="J31" i="3"/>
  <c r="J32" i="3"/>
  <c r="J33" i="3"/>
  <c r="J34" i="3"/>
  <c r="J35" i="3"/>
  <c r="J37" i="3"/>
  <c r="G69" i="3"/>
  <c r="G70" i="3"/>
  <c r="G71" i="3"/>
  <c r="G72" i="3"/>
  <c r="G73" i="3"/>
  <c r="G74" i="3"/>
  <c r="G75" i="3"/>
  <c r="G76" i="3"/>
  <c r="G77" i="3"/>
  <c r="G78" i="3"/>
  <c r="G79" i="3"/>
  <c r="G80" i="3"/>
  <c r="G81" i="3"/>
  <c r="G82" i="3"/>
  <c r="G84" i="3"/>
  <c r="G85" i="3"/>
  <c r="G86" i="3"/>
  <c r="G87" i="3"/>
  <c r="G88" i="3"/>
  <c r="H88" i="3"/>
  <c r="I88" i="3"/>
  <c r="J88" i="3"/>
  <c r="K88" i="3"/>
  <c r="L88" i="3"/>
  <c r="M88" i="3"/>
  <c r="N88" i="3"/>
  <c r="O88" i="3"/>
  <c r="P88" i="3"/>
  <c r="Q88" i="3"/>
  <c r="R88" i="3"/>
  <c r="S88" i="3"/>
  <c r="T88" i="3"/>
  <c r="U88" i="3"/>
  <c r="V88" i="3"/>
  <c r="W88" i="3"/>
  <c r="X88" i="3"/>
  <c r="Y88" i="3"/>
  <c r="Z88" i="3"/>
  <c r="AA88" i="3"/>
  <c r="G89" i="3"/>
  <c r="H89" i="3"/>
  <c r="I89" i="3"/>
  <c r="J89" i="3"/>
  <c r="K89" i="3"/>
  <c r="L89" i="3"/>
  <c r="M89" i="3"/>
  <c r="N89" i="3"/>
  <c r="O89" i="3"/>
  <c r="P89" i="3"/>
  <c r="Q89" i="3"/>
  <c r="R89" i="3"/>
  <c r="S89" i="3"/>
  <c r="T89" i="3"/>
  <c r="U89" i="3"/>
  <c r="V89" i="3"/>
  <c r="W89" i="3"/>
  <c r="X89" i="3"/>
  <c r="Y89" i="3"/>
  <c r="Z89" i="3"/>
  <c r="AA89" i="3"/>
  <c r="G90" i="3"/>
  <c r="G91" i="3"/>
  <c r="H91" i="3"/>
  <c r="I91" i="3"/>
  <c r="J91" i="3"/>
  <c r="K91" i="3"/>
  <c r="L91" i="3"/>
  <c r="M91" i="3"/>
  <c r="N91" i="3"/>
  <c r="O91" i="3"/>
  <c r="P91" i="3"/>
  <c r="Q91" i="3"/>
  <c r="R91" i="3"/>
  <c r="S91" i="3"/>
  <c r="T91" i="3"/>
  <c r="U91" i="3"/>
  <c r="V91" i="3"/>
  <c r="W91" i="3"/>
  <c r="X91" i="3"/>
  <c r="Y91" i="3"/>
  <c r="Z91" i="3"/>
  <c r="AA91" i="3"/>
  <c r="G92" i="3"/>
  <c r="H92" i="3"/>
  <c r="I92" i="3"/>
  <c r="J92" i="3"/>
  <c r="K92" i="3"/>
  <c r="L92" i="3"/>
  <c r="M92" i="3"/>
  <c r="N92" i="3"/>
  <c r="O92" i="3"/>
  <c r="P92" i="3"/>
  <c r="Q92" i="3"/>
  <c r="G93" i="3"/>
  <c r="H93" i="3"/>
  <c r="I93" i="3"/>
  <c r="J93" i="3"/>
  <c r="K93" i="3"/>
  <c r="L93" i="3"/>
  <c r="M93" i="3"/>
  <c r="N93" i="3"/>
  <c r="O93" i="3"/>
  <c r="P93" i="3"/>
  <c r="Q93" i="3"/>
  <c r="R93" i="3"/>
  <c r="S93" i="3"/>
  <c r="T93" i="3"/>
  <c r="U93" i="3"/>
  <c r="V93" i="3"/>
  <c r="W93" i="3"/>
  <c r="X93" i="3"/>
  <c r="Y93" i="3"/>
  <c r="Z93" i="3"/>
  <c r="AA93" i="3"/>
  <c r="G94" i="3"/>
  <c r="H94" i="3"/>
  <c r="I94" i="3"/>
  <c r="J94" i="3"/>
  <c r="K94" i="3"/>
  <c r="L94" i="3"/>
  <c r="M94" i="3"/>
  <c r="N94" i="3"/>
  <c r="O94" i="3"/>
  <c r="P94" i="3"/>
  <c r="Q94" i="3"/>
  <c r="R94" i="3"/>
  <c r="S94" i="3"/>
  <c r="T94" i="3"/>
  <c r="U94" i="3"/>
  <c r="V94" i="3"/>
  <c r="W94" i="3"/>
  <c r="X94" i="3"/>
  <c r="Y94" i="3"/>
  <c r="Z94" i="3"/>
  <c r="AA94" i="3"/>
  <c r="G95" i="3"/>
  <c r="H95" i="3"/>
  <c r="I95" i="3"/>
  <c r="J95" i="3"/>
  <c r="K95" i="3"/>
  <c r="L95" i="3"/>
  <c r="M95" i="3"/>
  <c r="N95" i="3"/>
  <c r="O95" i="3"/>
  <c r="P95" i="3"/>
  <c r="Q95" i="3"/>
  <c r="R95" i="3"/>
  <c r="S95" i="3"/>
  <c r="T95" i="3"/>
  <c r="U95" i="3"/>
  <c r="V95" i="3"/>
  <c r="W95" i="3"/>
  <c r="X95" i="3"/>
  <c r="Y95" i="3"/>
  <c r="Z95" i="3"/>
  <c r="AA95" i="3"/>
  <c r="G96" i="3"/>
  <c r="H96" i="3"/>
  <c r="I96" i="3"/>
  <c r="J96" i="3"/>
  <c r="K96" i="3"/>
  <c r="L96" i="3"/>
  <c r="M96" i="3"/>
  <c r="N96" i="3"/>
  <c r="O96" i="3"/>
  <c r="P96" i="3"/>
  <c r="Q96" i="3"/>
  <c r="R96" i="3"/>
  <c r="S96" i="3"/>
  <c r="T96" i="3"/>
  <c r="U96" i="3"/>
  <c r="V96" i="3"/>
  <c r="W96" i="3"/>
  <c r="X96" i="3"/>
  <c r="Y96" i="3"/>
  <c r="Z96" i="3"/>
  <c r="AA96" i="3"/>
  <c r="G97" i="3"/>
  <c r="H97" i="3"/>
  <c r="I97" i="3"/>
  <c r="J97" i="3"/>
  <c r="K97" i="3"/>
  <c r="L97" i="3"/>
  <c r="M97" i="3"/>
  <c r="N97" i="3"/>
  <c r="O97" i="3"/>
  <c r="P97" i="3"/>
  <c r="Q97" i="3"/>
  <c r="R97" i="3"/>
  <c r="S97" i="3"/>
  <c r="T97" i="3"/>
  <c r="U97" i="3"/>
  <c r="V97" i="3"/>
  <c r="W97" i="3"/>
  <c r="X97" i="3"/>
  <c r="Y97" i="3"/>
  <c r="Z97" i="3"/>
  <c r="AA97" i="3"/>
  <c r="G98" i="3"/>
  <c r="H98" i="3"/>
  <c r="I98" i="3"/>
  <c r="J98" i="3"/>
  <c r="K98" i="3"/>
  <c r="L98" i="3"/>
  <c r="M98" i="3"/>
  <c r="N98" i="3"/>
  <c r="O98" i="3"/>
  <c r="P98" i="3"/>
  <c r="Q98" i="3"/>
  <c r="R98" i="3"/>
  <c r="S98" i="3"/>
  <c r="T98" i="3"/>
  <c r="U98" i="3"/>
  <c r="V98" i="3"/>
  <c r="W98" i="3"/>
  <c r="X98" i="3"/>
  <c r="Y98" i="3"/>
  <c r="Z98" i="3"/>
  <c r="AA98" i="3"/>
  <c r="G99" i="3"/>
  <c r="H99" i="3"/>
  <c r="I99" i="3"/>
  <c r="J99" i="3"/>
  <c r="K99" i="3"/>
  <c r="L99" i="3"/>
  <c r="M99" i="3"/>
  <c r="N99" i="3"/>
  <c r="O99" i="3"/>
  <c r="P99" i="3"/>
  <c r="Q99" i="3"/>
  <c r="R99" i="3"/>
  <c r="S99" i="3"/>
  <c r="T99" i="3"/>
  <c r="U99" i="3"/>
  <c r="V99" i="3"/>
  <c r="W99" i="3"/>
  <c r="X99" i="3"/>
  <c r="Y99" i="3"/>
  <c r="Z99" i="3"/>
  <c r="AA99" i="3"/>
  <c r="G100" i="3"/>
  <c r="H100" i="3"/>
  <c r="I100" i="3"/>
  <c r="J100" i="3"/>
  <c r="K100" i="3"/>
  <c r="L100" i="3"/>
  <c r="M100" i="3"/>
  <c r="N100" i="3"/>
  <c r="O100" i="3"/>
  <c r="P100" i="3"/>
  <c r="Q100" i="3"/>
  <c r="R100" i="3"/>
  <c r="S100" i="3"/>
  <c r="T100" i="3"/>
  <c r="U100" i="3"/>
  <c r="V100" i="3"/>
  <c r="W100" i="3"/>
  <c r="X100" i="3"/>
  <c r="Y100" i="3"/>
  <c r="Z100" i="3"/>
  <c r="AA100" i="3"/>
  <c r="G101" i="3"/>
  <c r="H101" i="3"/>
  <c r="I101" i="3"/>
  <c r="J101" i="3"/>
  <c r="K101" i="3"/>
  <c r="L101" i="3"/>
  <c r="M101" i="3"/>
  <c r="N101" i="3"/>
  <c r="O101" i="3"/>
  <c r="P101" i="3"/>
  <c r="Q101" i="3"/>
  <c r="R101" i="3"/>
  <c r="S101" i="3"/>
  <c r="T101" i="3"/>
  <c r="U101" i="3"/>
  <c r="V101" i="3"/>
  <c r="W101" i="3"/>
  <c r="X101" i="3"/>
  <c r="Y101" i="3"/>
  <c r="Z101" i="3"/>
  <c r="AA101" i="3"/>
  <c r="G102" i="3"/>
  <c r="H102" i="3"/>
  <c r="I102" i="3"/>
  <c r="J102" i="3"/>
  <c r="K102" i="3"/>
  <c r="L102" i="3"/>
  <c r="M102" i="3"/>
  <c r="N102" i="3"/>
  <c r="O102" i="3"/>
  <c r="P102" i="3"/>
  <c r="Q102" i="3"/>
  <c r="R102" i="3"/>
  <c r="S102" i="3"/>
  <c r="T102" i="3"/>
  <c r="U102" i="3"/>
  <c r="V102" i="3"/>
  <c r="W102" i="3"/>
  <c r="X102" i="3"/>
  <c r="Y102" i="3"/>
  <c r="Z102" i="3"/>
  <c r="AA102" i="3"/>
  <c r="G103" i="3"/>
  <c r="H103" i="3"/>
  <c r="I103" i="3"/>
  <c r="J103" i="3"/>
  <c r="K103" i="3"/>
  <c r="L103" i="3"/>
  <c r="M103" i="3"/>
  <c r="N103" i="3"/>
  <c r="O103" i="3"/>
  <c r="P103" i="3"/>
  <c r="Q103" i="3"/>
  <c r="R103" i="3"/>
  <c r="S103" i="3"/>
  <c r="T103" i="3"/>
  <c r="U103" i="3"/>
  <c r="V103" i="3"/>
  <c r="W103" i="3"/>
  <c r="X103" i="3"/>
  <c r="Y103" i="3"/>
  <c r="Z103" i="3"/>
  <c r="AA103" i="3"/>
  <c r="H69" i="3"/>
  <c r="H70" i="3"/>
  <c r="H71" i="3"/>
  <c r="H72" i="3"/>
  <c r="H73" i="3"/>
  <c r="H74" i="3"/>
  <c r="H75" i="3"/>
  <c r="H76" i="3"/>
  <c r="H77" i="3"/>
  <c r="H78" i="3"/>
  <c r="H79" i="3"/>
  <c r="H80" i="3"/>
  <c r="H81" i="3"/>
  <c r="H82" i="3"/>
  <c r="H84" i="3"/>
  <c r="H85" i="3"/>
  <c r="H86" i="3"/>
  <c r="H87" i="3"/>
  <c r="H90" i="3"/>
  <c r="I90" i="3"/>
  <c r="J90" i="3"/>
  <c r="K90" i="3"/>
  <c r="L90" i="3"/>
  <c r="M90" i="3"/>
  <c r="N90" i="3"/>
  <c r="O90" i="3"/>
  <c r="P90" i="3"/>
  <c r="Q90" i="3"/>
  <c r="R90" i="3"/>
  <c r="R92" i="3"/>
  <c r="I69" i="3"/>
  <c r="I70" i="3"/>
  <c r="I71" i="3"/>
  <c r="I72" i="3"/>
  <c r="I73" i="3"/>
  <c r="I74" i="3"/>
  <c r="I75" i="3"/>
  <c r="I76" i="3"/>
  <c r="I77" i="3"/>
  <c r="I78" i="3"/>
  <c r="I79" i="3"/>
  <c r="I80" i="3"/>
  <c r="I81" i="3"/>
  <c r="I82" i="3"/>
  <c r="I84" i="3"/>
  <c r="I85" i="3"/>
  <c r="I86" i="3"/>
  <c r="I87" i="3"/>
  <c r="S90" i="3"/>
  <c r="S92" i="3"/>
  <c r="J69" i="3"/>
  <c r="J70" i="3"/>
  <c r="J71" i="3"/>
  <c r="J72" i="3"/>
  <c r="J73" i="3"/>
  <c r="J74" i="3"/>
  <c r="J75" i="3"/>
  <c r="J76" i="3"/>
  <c r="J77" i="3"/>
  <c r="J78" i="3"/>
  <c r="J79" i="3"/>
  <c r="J80" i="3"/>
  <c r="J81" i="3"/>
  <c r="J82" i="3"/>
  <c r="J84" i="3"/>
  <c r="J85" i="3"/>
  <c r="J86" i="3"/>
  <c r="J87" i="3"/>
  <c r="T90" i="3"/>
  <c r="T92" i="3"/>
  <c r="G166" i="3"/>
  <c r="I174" i="3"/>
  <c r="J174" i="3"/>
  <c r="J196" i="4"/>
  <c r="I22" i="8"/>
  <c r="I21" i="8"/>
  <c r="I20" i="8"/>
  <c r="I17" i="8"/>
  <c r="K17" i="8"/>
  <c r="H223" i="4"/>
  <c r="I223" i="4"/>
  <c r="I15" i="8"/>
  <c r="K15" i="8"/>
  <c r="H221" i="4"/>
  <c r="I221" i="4"/>
  <c r="L20" i="8"/>
  <c r="D76" i="4"/>
  <c r="C28" i="7"/>
  <c r="D77" i="4"/>
  <c r="C29" i="7"/>
  <c r="D78" i="4"/>
  <c r="C30" i="7"/>
  <c r="I57" i="7"/>
  <c r="E10" i="14"/>
  <c r="I10" i="3"/>
  <c r="J10" i="3"/>
  <c r="K10" i="3"/>
  <c r="L10" i="3"/>
  <c r="M10" i="3"/>
  <c r="N10" i="3"/>
  <c r="O10" i="3"/>
  <c r="P10" i="3"/>
  <c r="Q10" i="3"/>
  <c r="R10" i="3"/>
  <c r="S10" i="3"/>
  <c r="T10" i="3"/>
  <c r="U10" i="3"/>
  <c r="V10" i="3"/>
  <c r="W10" i="3"/>
  <c r="X10" i="3"/>
  <c r="Y10" i="3"/>
  <c r="Z10" i="3"/>
  <c r="AA10" i="3"/>
  <c r="H10" i="3"/>
  <c r="D109" i="4"/>
  <c r="D147" i="4"/>
  <c r="D110" i="4"/>
  <c r="D148" i="4"/>
  <c r="D111" i="4"/>
  <c r="D149" i="4"/>
  <c r="D112" i="4"/>
  <c r="D150" i="4"/>
  <c r="D113" i="4"/>
  <c r="D151" i="4"/>
  <c r="D114" i="4"/>
  <c r="D152" i="4"/>
  <c r="D115" i="4"/>
  <c r="D153" i="4"/>
  <c r="D116" i="4"/>
  <c r="D154" i="4"/>
  <c r="D117" i="4"/>
  <c r="D155" i="4"/>
  <c r="D118" i="4"/>
  <c r="D156" i="4"/>
  <c r="D119" i="4"/>
  <c r="D157" i="4"/>
  <c r="D120" i="4"/>
  <c r="D158" i="4"/>
  <c r="D121" i="4"/>
  <c r="D159" i="4"/>
  <c r="D122" i="4"/>
  <c r="D160" i="4"/>
  <c r="D123" i="4"/>
  <c r="D161" i="4"/>
  <c r="D124" i="4"/>
  <c r="D162" i="4"/>
  <c r="D125" i="4"/>
  <c r="D163" i="4"/>
  <c r="D126" i="4"/>
  <c r="D164" i="4"/>
  <c r="D60" i="4"/>
  <c r="D84" i="4"/>
  <c r="D61" i="4"/>
  <c r="D85" i="4"/>
  <c r="D62" i="4"/>
  <c r="D86" i="4"/>
  <c r="D63" i="4"/>
  <c r="D87" i="4"/>
  <c r="D64" i="4"/>
  <c r="D88" i="4"/>
  <c r="D65" i="4"/>
  <c r="D89" i="4"/>
  <c r="D66" i="4"/>
  <c r="D90" i="4"/>
  <c r="D67" i="4"/>
  <c r="D91" i="4"/>
  <c r="D68" i="4"/>
  <c r="D92" i="4"/>
  <c r="D69" i="4"/>
  <c r="D93" i="4"/>
  <c r="D70" i="4"/>
  <c r="D94" i="4"/>
  <c r="D71" i="4"/>
  <c r="D95" i="4"/>
  <c r="D72" i="4"/>
  <c r="D96" i="4"/>
  <c r="D73" i="4"/>
  <c r="D97" i="4"/>
  <c r="D74" i="4"/>
  <c r="D98" i="4"/>
  <c r="D75" i="4"/>
  <c r="D99" i="4"/>
  <c r="D100" i="4"/>
  <c r="D101" i="4"/>
  <c r="D102" i="4"/>
  <c r="G60" i="19"/>
  <c r="E60" i="19"/>
  <c r="G59" i="19"/>
  <c r="E59" i="19"/>
  <c r="G58" i="19"/>
  <c r="E58" i="19"/>
  <c r="G57" i="19"/>
  <c r="E57" i="19"/>
  <c r="G56" i="19"/>
  <c r="E56" i="19"/>
  <c r="G55" i="19"/>
  <c r="E55" i="19"/>
  <c r="G54" i="19"/>
  <c r="E54" i="19"/>
  <c r="G53" i="19"/>
  <c r="E53" i="19"/>
  <c r="G52" i="19"/>
  <c r="E52" i="19"/>
  <c r="G51" i="19"/>
  <c r="E51" i="19"/>
  <c r="G50" i="19"/>
  <c r="E50" i="19"/>
  <c r="G49" i="19"/>
  <c r="E49" i="19"/>
  <c r="G48" i="19"/>
  <c r="G61" i="19"/>
  <c r="E48" i="19"/>
  <c r="F46" i="19"/>
  <c r="G44" i="19"/>
  <c r="E44" i="19"/>
  <c r="G43" i="19"/>
  <c r="E43" i="19"/>
  <c r="G42" i="19"/>
  <c r="E42" i="19"/>
  <c r="G41" i="19"/>
  <c r="E41" i="19"/>
  <c r="G40" i="19"/>
  <c r="E40" i="19"/>
  <c r="G39" i="19"/>
  <c r="E39" i="19"/>
  <c r="G38" i="19"/>
  <c r="E38" i="19"/>
  <c r="G37" i="19"/>
  <c r="E37" i="19"/>
  <c r="G36" i="19"/>
  <c r="E36" i="19"/>
  <c r="G35" i="19"/>
  <c r="E35" i="19"/>
  <c r="G34" i="19"/>
  <c r="E34" i="19"/>
  <c r="G33" i="19"/>
  <c r="E33" i="19"/>
  <c r="G32" i="19"/>
  <c r="E32" i="19"/>
  <c r="G31" i="19"/>
  <c r="E31" i="19"/>
  <c r="G30" i="19"/>
  <c r="E30" i="19"/>
  <c r="G29" i="19"/>
  <c r="E29" i="19"/>
  <c r="G28" i="19"/>
  <c r="G46" i="19"/>
  <c r="E28" i="19"/>
  <c r="F26" i="19"/>
  <c r="G25" i="19"/>
  <c r="E25" i="19"/>
  <c r="G24" i="19"/>
  <c r="E24" i="19"/>
  <c r="G23" i="19"/>
  <c r="E23" i="19"/>
  <c r="G22" i="19"/>
  <c r="E22" i="19"/>
  <c r="G21" i="19"/>
  <c r="E21" i="19"/>
  <c r="G20" i="19"/>
  <c r="E20" i="19"/>
  <c r="G19" i="19"/>
  <c r="E19" i="19"/>
  <c r="G18" i="19"/>
  <c r="E18" i="19"/>
  <c r="G17" i="19"/>
  <c r="E17" i="19"/>
  <c r="G16" i="19"/>
  <c r="E16" i="19"/>
  <c r="G15" i="19"/>
  <c r="E15" i="19"/>
  <c r="G14" i="19"/>
  <c r="E14" i="19"/>
  <c r="G13" i="19"/>
  <c r="E13" i="19"/>
  <c r="G12" i="19"/>
  <c r="E12" i="19"/>
  <c r="G11" i="19"/>
  <c r="E11" i="19"/>
  <c r="G10" i="19"/>
  <c r="E10" i="19"/>
  <c r="G9" i="19"/>
  <c r="E9" i="19"/>
  <c r="G8" i="19"/>
  <c r="E8" i="19"/>
  <c r="G7" i="19"/>
  <c r="G26" i="19"/>
  <c r="E7" i="19"/>
  <c r="F9" i="18"/>
  <c r="H9" i="18"/>
  <c r="F8" i="18"/>
  <c r="H8" i="18"/>
  <c r="H7" i="18"/>
  <c r="F7" i="18"/>
  <c r="F6" i="18"/>
  <c r="H6" i="18"/>
  <c r="F62" i="19"/>
  <c r="G62" i="19"/>
  <c r="K429" i="16"/>
  <c r="K423" i="16"/>
  <c r="N461" i="16"/>
  <c r="F290" i="17"/>
  <c r="F410" i="17"/>
  <c r="F404" i="17"/>
  <c r="F406" i="17"/>
  <c r="F419" i="17"/>
  <c r="F437" i="17"/>
  <c r="J470" i="17"/>
  <c r="I470" i="17"/>
  <c r="G38" i="17"/>
  <c r="G39" i="17"/>
  <c r="G40" i="17"/>
  <c r="G256" i="17"/>
  <c r="G258" i="17"/>
  <c r="G259" i="17"/>
  <c r="G238" i="17"/>
  <c r="G240" i="17"/>
  <c r="G199" i="17"/>
  <c r="G180" i="17"/>
  <c r="G205" i="17"/>
  <c r="G206" i="17"/>
  <c r="G207" i="17"/>
  <c r="G208" i="17"/>
  <c r="G209" i="17"/>
  <c r="G211" i="17"/>
  <c r="G212" i="17"/>
  <c r="G213" i="17"/>
  <c r="G351" i="17"/>
  <c r="G428" i="17"/>
  <c r="H470" i="17"/>
  <c r="J462" i="17"/>
  <c r="I462" i="17"/>
  <c r="H38" i="17"/>
  <c r="H39" i="17"/>
  <c r="H40" i="17"/>
  <c r="H176" i="17"/>
  <c r="H199" i="17"/>
  <c r="H180" i="17"/>
  <c r="H205" i="17"/>
  <c r="H206" i="17"/>
  <c r="H207" i="17"/>
  <c r="H208" i="17"/>
  <c r="H209" i="17"/>
  <c r="H211" i="17"/>
  <c r="H212" i="17"/>
  <c r="H213" i="17"/>
  <c r="G413" i="17"/>
  <c r="I38" i="17"/>
  <c r="I39" i="17"/>
  <c r="J39" i="17"/>
  <c r="H173" i="17"/>
  <c r="I176" i="17"/>
  <c r="I199" i="17"/>
  <c r="I180" i="17"/>
  <c r="I205" i="17"/>
  <c r="I206" i="17"/>
  <c r="I207" i="17"/>
  <c r="I208" i="17"/>
  <c r="I209" i="17"/>
  <c r="I211" i="17"/>
  <c r="I212" i="17"/>
  <c r="I213" i="17"/>
  <c r="J38" i="17"/>
  <c r="J197" i="17"/>
  <c r="I173" i="17"/>
  <c r="J176" i="17"/>
  <c r="J199" i="17"/>
  <c r="J180" i="17"/>
  <c r="J205" i="17"/>
  <c r="J206" i="17"/>
  <c r="J207" i="17"/>
  <c r="J208" i="17"/>
  <c r="J209" i="17"/>
  <c r="J211" i="17"/>
  <c r="J212" i="17"/>
  <c r="J213" i="17"/>
  <c r="K38" i="17"/>
  <c r="J173" i="17"/>
  <c r="K176" i="17"/>
  <c r="K199" i="17"/>
  <c r="K180" i="17"/>
  <c r="K205" i="17"/>
  <c r="K206" i="17"/>
  <c r="K207" i="17"/>
  <c r="K208" i="17"/>
  <c r="K209" i="17"/>
  <c r="K211" i="17"/>
  <c r="K212" i="17"/>
  <c r="K213" i="17"/>
  <c r="K173" i="17"/>
  <c r="L176" i="17"/>
  <c r="L199" i="17"/>
  <c r="L180" i="17"/>
  <c r="L205" i="17"/>
  <c r="L206" i="17"/>
  <c r="L207" i="17"/>
  <c r="L208" i="17"/>
  <c r="L209" i="17"/>
  <c r="L211" i="17"/>
  <c r="L212" i="17"/>
  <c r="L213" i="17"/>
  <c r="L173" i="17"/>
  <c r="M176" i="17"/>
  <c r="M199" i="17"/>
  <c r="M180" i="17"/>
  <c r="M205" i="17"/>
  <c r="M206" i="17"/>
  <c r="M207" i="17"/>
  <c r="M208" i="17"/>
  <c r="M209" i="17"/>
  <c r="M211" i="17"/>
  <c r="M212" i="17"/>
  <c r="M213" i="17"/>
  <c r="M173" i="17"/>
  <c r="N176" i="17"/>
  <c r="N199" i="17"/>
  <c r="N180" i="17"/>
  <c r="N205" i="17"/>
  <c r="N206" i="17"/>
  <c r="N207" i="17"/>
  <c r="N208" i="17"/>
  <c r="N209" i="17"/>
  <c r="N211" i="17"/>
  <c r="N212" i="17"/>
  <c r="N213" i="17"/>
  <c r="N173" i="17"/>
  <c r="O176" i="17"/>
  <c r="O199" i="17"/>
  <c r="O180" i="17"/>
  <c r="O205" i="17"/>
  <c r="O206" i="17"/>
  <c r="O207" i="17"/>
  <c r="O208" i="17"/>
  <c r="O209" i="17"/>
  <c r="O211" i="17"/>
  <c r="O212" i="17"/>
  <c r="O213" i="17"/>
  <c r="O173" i="17"/>
  <c r="P176" i="17"/>
  <c r="P199" i="17"/>
  <c r="P180" i="17"/>
  <c r="P205" i="17"/>
  <c r="P206" i="17"/>
  <c r="P207" i="17"/>
  <c r="P208" i="17"/>
  <c r="P209" i="17"/>
  <c r="P211" i="17"/>
  <c r="P212" i="17"/>
  <c r="P213" i="17"/>
  <c r="P173" i="17"/>
  <c r="Q176" i="17"/>
  <c r="Q199" i="17"/>
  <c r="Q180" i="17"/>
  <c r="Q205" i="17"/>
  <c r="Q206" i="17"/>
  <c r="Q207" i="17"/>
  <c r="Q208" i="17"/>
  <c r="Q209" i="17"/>
  <c r="Q211" i="17"/>
  <c r="Q212" i="17"/>
  <c r="Q213" i="17"/>
  <c r="Q173" i="17"/>
  <c r="R176" i="17"/>
  <c r="R199" i="17"/>
  <c r="R180" i="17"/>
  <c r="R205" i="17"/>
  <c r="R206" i="17"/>
  <c r="R207" i="17"/>
  <c r="R208" i="17"/>
  <c r="R209" i="17"/>
  <c r="R211" i="17"/>
  <c r="R212" i="17"/>
  <c r="R213" i="17"/>
  <c r="R173" i="17"/>
  <c r="S176" i="17"/>
  <c r="S199" i="17"/>
  <c r="S180" i="17"/>
  <c r="S205" i="17"/>
  <c r="S206" i="17"/>
  <c r="S207" i="17"/>
  <c r="S208" i="17"/>
  <c r="S209" i="17"/>
  <c r="S211" i="17"/>
  <c r="S212" i="17"/>
  <c r="S213" i="17"/>
  <c r="S173" i="17"/>
  <c r="T176" i="17"/>
  <c r="T199" i="17"/>
  <c r="T180" i="17"/>
  <c r="T205" i="17"/>
  <c r="T206" i="17"/>
  <c r="T207" i="17"/>
  <c r="T208" i="17"/>
  <c r="T209" i="17"/>
  <c r="T211" i="17"/>
  <c r="T212" i="17"/>
  <c r="T213" i="17"/>
  <c r="T173" i="17"/>
  <c r="U176" i="17"/>
  <c r="U199" i="17"/>
  <c r="U180" i="17"/>
  <c r="U205" i="17"/>
  <c r="U206" i="17"/>
  <c r="U207" i="17"/>
  <c r="U208" i="17"/>
  <c r="U209" i="17"/>
  <c r="U211" i="17"/>
  <c r="U212" i="17"/>
  <c r="U213" i="17"/>
  <c r="U173" i="17"/>
  <c r="V176" i="17"/>
  <c r="V199" i="17"/>
  <c r="V180" i="17"/>
  <c r="V205" i="17"/>
  <c r="V206" i="17"/>
  <c r="V207" i="17"/>
  <c r="V208" i="17"/>
  <c r="V209" i="17"/>
  <c r="V211" i="17"/>
  <c r="V212" i="17"/>
  <c r="V213" i="17"/>
  <c r="V173" i="17"/>
  <c r="W176" i="17"/>
  <c r="W199" i="17"/>
  <c r="W180" i="17"/>
  <c r="W205" i="17"/>
  <c r="W206" i="17"/>
  <c r="W207" i="17"/>
  <c r="W208" i="17"/>
  <c r="W209" i="17"/>
  <c r="W211" i="17"/>
  <c r="W212" i="17"/>
  <c r="W213" i="17"/>
  <c r="W173" i="17"/>
  <c r="X176" i="17"/>
  <c r="X199" i="17"/>
  <c r="X180" i="17"/>
  <c r="X205" i="17"/>
  <c r="X206" i="17"/>
  <c r="X207" i="17"/>
  <c r="X208" i="17"/>
  <c r="X209" i="17"/>
  <c r="X211" i="17"/>
  <c r="X212" i="17"/>
  <c r="X213" i="17"/>
  <c r="X173" i="17"/>
  <c r="Y176" i="17"/>
  <c r="Y199" i="17"/>
  <c r="Y180" i="17"/>
  <c r="Y205" i="17"/>
  <c r="Y206" i="17"/>
  <c r="Y207" i="17"/>
  <c r="Y208" i="17"/>
  <c r="Y209" i="17"/>
  <c r="Y211" i="17"/>
  <c r="Y212" i="17"/>
  <c r="Y213" i="17"/>
  <c r="Y173" i="17"/>
  <c r="Z176" i="17"/>
  <c r="Z199" i="17"/>
  <c r="Z180" i="17"/>
  <c r="Z205" i="17"/>
  <c r="Z206" i="17"/>
  <c r="Z207" i="17"/>
  <c r="Z208" i="17"/>
  <c r="Z209" i="17"/>
  <c r="Z211" i="17"/>
  <c r="Z212" i="17"/>
  <c r="Z213" i="17"/>
  <c r="Z173" i="17"/>
  <c r="AA176" i="17"/>
  <c r="AA199" i="17"/>
  <c r="AA180" i="17"/>
  <c r="AA205" i="17"/>
  <c r="AA206" i="17"/>
  <c r="AA207" i="17"/>
  <c r="AA208" i="17"/>
  <c r="AA209" i="17"/>
  <c r="AA211" i="17"/>
  <c r="AA212" i="17"/>
  <c r="AA213" i="17"/>
  <c r="H462" i="17"/>
  <c r="J453" i="17"/>
  <c r="I453" i="17"/>
  <c r="H453" i="17"/>
  <c r="J445" i="17"/>
  <c r="I445" i="17"/>
  <c r="H445" i="17"/>
  <c r="E437" i="17"/>
  <c r="G399" i="17"/>
  <c r="G315" i="17"/>
  <c r="H315" i="17"/>
  <c r="I315" i="17"/>
  <c r="J315" i="17"/>
  <c r="K315" i="17"/>
  <c r="L315" i="17"/>
  <c r="M315" i="17"/>
  <c r="N315" i="17"/>
  <c r="O315" i="17"/>
  <c r="P315" i="17"/>
  <c r="Q315" i="17"/>
  <c r="R315" i="17"/>
  <c r="S315" i="17"/>
  <c r="T315" i="17"/>
  <c r="U315" i="17"/>
  <c r="V315" i="17"/>
  <c r="W315" i="17"/>
  <c r="X315" i="17"/>
  <c r="Y315" i="17"/>
  <c r="Z315" i="17"/>
  <c r="AA315" i="17"/>
  <c r="D209" i="17"/>
  <c r="D225" i="17"/>
  <c r="D208" i="17"/>
  <c r="D224" i="17"/>
  <c r="D207" i="17"/>
  <c r="D191" i="17"/>
  <c r="D206" i="17"/>
  <c r="D222" i="17"/>
  <c r="D205" i="17"/>
  <c r="D221" i="17"/>
  <c r="D204" i="17"/>
  <c r="D203" i="17"/>
  <c r="D187" i="17"/>
  <c r="AA173" i="17"/>
  <c r="D261" i="17"/>
  <c r="D268" i="17"/>
  <c r="D260" i="17"/>
  <c r="D267" i="17"/>
  <c r="D259" i="17"/>
  <c r="D266" i="17"/>
  <c r="D258" i="17"/>
  <c r="D265" i="17"/>
  <c r="D257" i="17"/>
  <c r="D264" i="17"/>
  <c r="D256" i="17"/>
  <c r="D263" i="17"/>
  <c r="D249" i="17"/>
  <c r="D243" i="17"/>
  <c r="D250" i="17"/>
  <c r="D242" i="17"/>
  <c r="D241" i="17"/>
  <c r="D248" i="17"/>
  <c r="D240" i="17"/>
  <c r="D247" i="17"/>
  <c r="D239" i="17"/>
  <c r="D246" i="17"/>
  <c r="D238" i="17"/>
  <c r="D245" i="17"/>
  <c r="D103" i="17"/>
  <c r="D140" i="17"/>
  <c r="D102" i="17"/>
  <c r="D139" i="17"/>
  <c r="D101" i="17"/>
  <c r="D138" i="17"/>
  <c r="D100" i="17"/>
  <c r="D137" i="17"/>
  <c r="D99" i="17"/>
  <c r="D136" i="17"/>
  <c r="D98" i="17"/>
  <c r="D135" i="17"/>
  <c r="D97" i="17"/>
  <c r="D134" i="17"/>
  <c r="D96" i="17"/>
  <c r="D133" i="17"/>
  <c r="D95" i="17"/>
  <c r="D132" i="17"/>
  <c r="D94" i="17"/>
  <c r="D131" i="17"/>
  <c r="D93" i="17"/>
  <c r="D130" i="17"/>
  <c r="D92" i="17"/>
  <c r="D129" i="17"/>
  <c r="D91" i="17"/>
  <c r="D128" i="17"/>
  <c r="D90" i="17"/>
  <c r="D127" i="17"/>
  <c r="D89" i="17"/>
  <c r="D126" i="17"/>
  <c r="D88" i="17"/>
  <c r="D125" i="17"/>
  <c r="D87" i="17"/>
  <c r="D124" i="17"/>
  <c r="D86" i="17"/>
  <c r="D123" i="17"/>
  <c r="D85" i="17"/>
  <c r="D122" i="17"/>
  <c r="D84" i="17"/>
  <c r="D121" i="17"/>
  <c r="D83" i="17"/>
  <c r="D120" i="17"/>
  <c r="D82" i="17"/>
  <c r="D119" i="17"/>
  <c r="D81" i="17"/>
  <c r="D118" i="17"/>
  <c r="D80" i="17"/>
  <c r="D117" i="17"/>
  <c r="D79" i="17"/>
  <c r="D116" i="17"/>
  <c r="D78" i="17"/>
  <c r="D115" i="17"/>
  <c r="D77" i="17"/>
  <c r="D114" i="17"/>
  <c r="D76" i="17"/>
  <c r="D113" i="17"/>
  <c r="D75" i="17"/>
  <c r="D112" i="17"/>
  <c r="D74" i="17"/>
  <c r="D111" i="17"/>
  <c r="D73" i="17"/>
  <c r="D110" i="17"/>
  <c r="D72" i="17"/>
  <c r="D109" i="17"/>
  <c r="D71" i="17"/>
  <c r="D108" i="17"/>
  <c r="D70" i="17"/>
  <c r="D107" i="17"/>
  <c r="D69" i="17"/>
  <c r="D106" i="17"/>
  <c r="D68" i="17"/>
  <c r="D105" i="17"/>
  <c r="D40" i="17"/>
  <c r="D63" i="17"/>
  <c r="D39" i="17"/>
  <c r="D62" i="17"/>
  <c r="D38" i="17"/>
  <c r="D61" i="17"/>
  <c r="D37" i="17"/>
  <c r="D60" i="17"/>
  <c r="D36" i="17"/>
  <c r="D59" i="17"/>
  <c r="D35" i="17"/>
  <c r="D58" i="17"/>
  <c r="D34" i="17"/>
  <c r="D57" i="17"/>
  <c r="D33" i="17"/>
  <c r="D56" i="17"/>
  <c r="D32" i="17"/>
  <c r="D55" i="17"/>
  <c r="D31" i="17"/>
  <c r="D54" i="17"/>
  <c r="D30" i="17"/>
  <c r="D53" i="17"/>
  <c r="D29" i="17"/>
  <c r="D52" i="17"/>
  <c r="D28" i="17"/>
  <c r="D51" i="17"/>
  <c r="D27" i="17"/>
  <c r="D50" i="17"/>
  <c r="D26" i="17"/>
  <c r="D49" i="17"/>
  <c r="D25" i="17"/>
  <c r="D48" i="17"/>
  <c r="D24" i="17"/>
  <c r="D47" i="17"/>
  <c r="D23" i="17"/>
  <c r="D46" i="17"/>
  <c r="D22" i="17"/>
  <c r="D45" i="17"/>
  <c r="D21" i="17"/>
  <c r="D44" i="17"/>
  <c r="D20" i="17"/>
  <c r="D43" i="17"/>
  <c r="D19" i="17"/>
  <c r="D42" i="17"/>
  <c r="A1" i="17"/>
  <c r="D230" i="16"/>
  <c r="D231" i="16"/>
  <c r="D229" i="16"/>
  <c r="D193" i="16"/>
  <c r="K160" i="16"/>
  <c r="K159" i="16"/>
  <c r="K158" i="16"/>
  <c r="L158" i="16"/>
  <c r="M158" i="16"/>
  <c r="N158" i="16"/>
  <c r="O158" i="16"/>
  <c r="P158" i="16"/>
  <c r="Q158" i="16"/>
  <c r="L161" i="16"/>
  <c r="M161" i="16"/>
  <c r="N161" i="16"/>
  <c r="O161" i="16"/>
  <c r="P161" i="16"/>
  <c r="Q161" i="16"/>
  <c r="L160" i="16"/>
  <c r="M160" i="16"/>
  <c r="N160" i="16"/>
  <c r="O160" i="16"/>
  <c r="P160" i="16"/>
  <c r="Q160" i="16"/>
  <c r="L159" i="16"/>
  <c r="M159" i="16"/>
  <c r="N159" i="16"/>
  <c r="O159" i="16"/>
  <c r="P159" i="16"/>
  <c r="Q159" i="16"/>
  <c r="L157" i="16"/>
  <c r="M157" i="16"/>
  <c r="N157" i="16"/>
  <c r="O157" i="16"/>
  <c r="P157" i="16"/>
  <c r="Q157" i="16"/>
  <c r="K164" i="16"/>
  <c r="L164" i="16"/>
  <c r="M164" i="16"/>
  <c r="N164" i="16"/>
  <c r="O164" i="16"/>
  <c r="P164" i="16"/>
  <c r="Q164" i="16"/>
  <c r="K163" i="16"/>
  <c r="L163" i="16"/>
  <c r="M163" i="16"/>
  <c r="N163" i="16"/>
  <c r="O163" i="16"/>
  <c r="P163" i="16"/>
  <c r="Q163" i="16"/>
  <c r="K162" i="16"/>
  <c r="L162" i="16"/>
  <c r="M162" i="16"/>
  <c r="N162" i="16"/>
  <c r="O162" i="16"/>
  <c r="P162" i="16"/>
  <c r="Q162" i="16"/>
  <c r="G33" i="5"/>
  <c r="D188" i="17"/>
  <c r="D190" i="17"/>
  <c r="D192" i="17"/>
  <c r="D189" i="17"/>
  <c r="D193" i="17"/>
  <c r="D223" i="17"/>
  <c r="G196" i="17"/>
  <c r="G197" i="17"/>
  <c r="D186" i="17"/>
  <c r="H29" i="4"/>
  <c r="H209" i="4"/>
  <c r="D177" i="3"/>
  <c r="D184" i="3"/>
  <c r="I29" i="4"/>
  <c r="G235" i="3"/>
  <c r="H235" i="3"/>
  <c r="I235" i="3"/>
  <c r="J235" i="3"/>
  <c r="K235" i="3"/>
  <c r="L235" i="3"/>
  <c r="M235" i="3"/>
  <c r="N235" i="3"/>
  <c r="O235" i="3"/>
  <c r="P235" i="3"/>
  <c r="Q235" i="3"/>
  <c r="R235" i="3"/>
  <c r="S235" i="3"/>
  <c r="T235" i="3"/>
  <c r="U235" i="3"/>
  <c r="V235" i="3"/>
  <c r="W235" i="3"/>
  <c r="X235" i="3"/>
  <c r="Y235" i="3"/>
  <c r="Z235" i="3"/>
  <c r="AA235" i="3"/>
  <c r="H212" i="4"/>
  <c r="H202" i="4"/>
  <c r="L13" i="10"/>
  <c r="L12" i="10"/>
  <c r="C27" i="7"/>
  <c r="C38" i="7"/>
  <c r="C39" i="7"/>
  <c r="C40" i="7"/>
  <c r="C41" i="7"/>
  <c r="C42" i="7"/>
  <c r="C43" i="7"/>
  <c r="C44" i="7"/>
  <c r="C45" i="7"/>
  <c r="C46" i="7"/>
  <c r="C47" i="7"/>
  <c r="C48" i="7"/>
  <c r="C49" i="7"/>
  <c r="C50" i="7"/>
  <c r="C51" i="7"/>
  <c r="C52" i="7"/>
  <c r="C53" i="7"/>
  <c r="C54" i="7"/>
  <c r="C55" i="7"/>
  <c r="C56" i="7"/>
  <c r="C57" i="7"/>
  <c r="C12" i="7"/>
  <c r="C13" i="7"/>
  <c r="C14" i="7"/>
  <c r="C15" i="7"/>
  <c r="C16" i="7"/>
  <c r="C17" i="7"/>
  <c r="C18" i="7"/>
  <c r="C19" i="7"/>
  <c r="C20" i="7"/>
  <c r="C21" i="7"/>
  <c r="C22" i="7"/>
  <c r="C23" i="7"/>
  <c r="C24" i="7"/>
  <c r="C25" i="7"/>
  <c r="C26" i="7"/>
  <c r="H224" i="4"/>
  <c r="I224" i="4"/>
  <c r="G177" i="3"/>
  <c r="R196" i="17"/>
  <c r="J29" i="4"/>
  <c r="I216" i="3"/>
  <c r="R197" i="17"/>
  <c r="W197" i="17"/>
  <c r="U197" i="17"/>
  <c r="X197" i="17"/>
  <c r="X196" i="17"/>
  <c r="AA197" i="17"/>
  <c r="I27" i="7"/>
  <c r="H27" i="7"/>
  <c r="J27" i="7"/>
  <c r="K27" i="7"/>
  <c r="G216" i="3"/>
  <c r="H216" i="3"/>
  <c r="G243" i="17"/>
  <c r="H243" i="17"/>
  <c r="I243" i="17"/>
  <c r="J243" i="17"/>
  <c r="K243" i="17"/>
  <c r="L243" i="17"/>
  <c r="M243" i="17"/>
  <c r="N243" i="17"/>
  <c r="K29" i="4"/>
  <c r="L229" i="16"/>
  <c r="M229" i="16"/>
  <c r="K229" i="16"/>
  <c r="L29" i="4"/>
  <c r="J216" i="3"/>
  <c r="H177" i="3"/>
  <c r="K20" i="8"/>
  <c r="L22" i="8"/>
  <c r="L21" i="8"/>
  <c r="L17" i="8"/>
  <c r="L16" i="8"/>
  <c r="L15" i="8"/>
  <c r="G41" i="15"/>
  <c r="G369" i="17"/>
  <c r="G326" i="17"/>
  <c r="H326" i="17"/>
  <c r="I326" i="17"/>
  <c r="J326" i="17"/>
  <c r="K326" i="17"/>
  <c r="L326" i="17"/>
  <c r="M326" i="17"/>
  <c r="N326" i="17"/>
  <c r="O326" i="17"/>
  <c r="P326" i="17"/>
  <c r="Q326" i="17"/>
  <c r="R326" i="17"/>
  <c r="S326" i="17"/>
  <c r="T326" i="17"/>
  <c r="U326" i="17"/>
  <c r="V326" i="17"/>
  <c r="W326" i="17"/>
  <c r="X326" i="17"/>
  <c r="Y326" i="17"/>
  <c r="Z326" i="17"/>
  <c r="AA326" i="17"/>
  <c r="M29" i="4"/>
  <c r="K216" i="3"/>
  <c r="N229" i="16"/>
  <c r="I177" i="3"/>
  <c r="G260" i="16"/>
  <c r="G259" i="16"/>
  <c r="G258" i="16"/>
  <c r="G257" i="16"/>
  <c r="G256" i="16"/>
  <c r="G255" i="16"/>
  <c r="G254" i="16"/>
  <c r="J248" i="16"/>
  <c r="N29" i="4"/>
  <c r="L216" i="3"/>
  <c r="O229" i="16"/>
  <c r="J177" i="3"/>
  <c r="G67" i="16"/>
  <c r="K54" i="16"/>
  <c r="L54" i="16"/>
  <c r="M54" i="16"/>
  <c r="N54" i="16"/>
  <c r="O54" i="16"/>
  <c r="P54" i="16"/>
  <c r="Q54" i="16"/>
  <c r="K53" i="16"/>
  <c r="L53" i="16"/>
  <c r="M53" i="16"/>
  <c r="N53" i="16"/>
  <c r="O53" i="16"/>
  <c r="P53" i="16"/>
  <c r="Q53" i="16"/>
  <c r="K52" i="16"/>
  <c r="L52" i="16"/>
  <c r="M52" i="16"/>
  <c r="N52" i="16"/>
  <c r="O52" i="16"/>
  <c r="P52" i="16"/>
  <c r="Q52" i="16"/>
  <c r="G25" i="16"/>
  <c r="G24" i="16"/>
  <c r="C555" i="16"/>
  <c r="C556" i="16"/>
  <c r="C557" i="16"/>
  <c r="D518" i="16"/>
  <c r="D517" i="16"/>
  <c r="D516" i="16"/>
  <c r="C516" i="16"/>
  <c r="C517" i="16"/>
  <c r="C518" i="16"/>
  <c r="C500" i="16"/>
  <c r="C501" i="16"/>
  <c r="C502" i="16"/>
  <c r="C484" i="16"/>
  <c r="C485" i="16"/>
  <c r="C486" i="16"/>
  <c r="C469" i="16"/>
  <c r="C470" i="16"/>
  <c r="C471" i="16"/>
  <c r="Q415" i="16"/>
  <c r="P415" i="16"/>
  <c r="O415" i="16"/>
  <c r="N415" i="16"/>
  <c r="M415" i="16"/>
  <c r="L415" i="16"/>
  <c r="K415" i="16"/>
  <c r="C403" i="16"/>
  <c r="C404" i="16"/>
  <c r="C405" i="16"/>
  <c r="C406" i="16"/>
  <c r="C394" i="16"/>
  <c r="C395" i="16"/>
  <c r="C396" i="16"/>
  <c r="C397" i="16"/>
  <c r="D379" i="16"/>
  <c r="D397" i="16"/>
  <c r="D406" i="16"/>
  <c r="D378" i="16"/>
  <c r="D396" i="16"/>
  <c r="D405" i="16"/>
  <c r="D377" i="16"/>
  <c r="D395" i="16"/>
  <c r="D404" i="16"/>
  <c r="D376" i="16"/>
  <c r="D394" i="16"/>
  <c r="D403" i="16"/>
  <c r="C376" i="16"/>
  <c r="C377" i="16"/>
  <c r="C378" i="16"/>
  <c r="C379" i="16"/>
  <c r="D375" i="16"/>
  <c r="D393" i="16"/>
  <c r="D402" i="16"/>
  <c r="D370" i="16"/>
  <c r="D369" i="16"/>
  <c r="D368" i="16"/>
  <c r="D367" i="16"/>
  <c r="C367" i="16"/>
  <c r="C368" i="16"/>
  <c r="C369" i="16"/>
  <c r="C370" i="16"/>
  <c r="D366" i="16"/>
  <c r="C358" i="16"/>
  <c r="C359" i="16"/>
  <c r="C360" i="16"/>
  <c r="C361" i="16"/>
  <c r="C348" i="16"/>
  <c r="C349" i="16"/>
  <c r="C336" i="16"/>
  <c r="C337" i="16"/>
  <c r="C338" i="16"/>
  <c r="C339" i="16"/>
  <c r="D301" i="16"/>
  <c r="D300" i="16"/>
  <c r="D299" i="16"/>
  <c r="D288" i="16"/>
  <c r="D287" i="16"/>
  <c r="D286" i="16"/>
  <c r="D275" i="16"/>
  <c r="D327" i="16"/>
  <c r="D274" i="16"/>
  <c r="D326" i="16"/>
  <c r="D273" i="16"/>
  <c r="D325" i="16"/>
  <c r="D262" i="16"/>
  <c r="D314" i="16"/>
  <c r="D261" i="16"/>
  <c r="D313" i="16"/>
  <c r="D260" i="16"/>
  <c r="D312" i="16"/>
  <c r="C230" i="16"/>
  <c r="C231" i="16"/>
  <c r="C232" i="16"/>
  <c r="C233" i="16"/>
  <c r="C218" i="16"/>
  <c r="C219" i="16"/>
  <c r="C220" i="16"/>
  <c r="C221" i="16"/>
  <c r="C208" i="16"/>
  <c r="C209" i="16"/>
  <c r="C210" i="16"/>
  <c r="C211" i="16"/>
  <c r="C212" i="16"/>
  <c r="C194" i="16"/>
  <c r="C195" i="16"/>
  <c r="C196" i="16"/>
  <c r="C197" i="16"/>
  <c r="C185" i="16"/>
  <c r="C186" i="16"/>
  <c r="C187" i="16"/>
  <c r="C188" i="16"/>
  <c r="Q176" i="16"/>
  <c r="P176" i="16"/>
  <c r="O176" i="16"/>
  <c r="N176" i="16"/>
  <c r="M176" i="16"/>
  <c r="L176" i="16"/>
  <c r="K176" i="16"/>
  <c r="K178" i="16"/>
  <c r="D166" i="16"/>
  <c r="D165" i="16"/>
  <c r="D164" i="16"/>
  <c r="D163" i="16"/>
  <c r="D162" i="16"/>
  <c r="D161" i="16"/>
  <c r="C157" i="16"/>
  <c r="C158" i="16"/>
  <c r="C159" i="16"/>
  <c r="C160" i="16"/>
  <c r="C161" i="16"/>
  <c r="C162" i="16"/>
  <c r="C163" i="16"/>
  <c r="C164" i="16"/>
  <c r="C165" i="16"/>
  <c r="C166" i="16"/>
  <c r="C144" i="16"/>
  <c r="C145" i="16"/>
  <c r="C146" i="16"/>
  <c r="C147" i="16"/>
  <c r="C148" i="16"/>
  <c r="C149" i="16"/>
  <c r="C150" i="16"/>
  <c r="C151" i="16"/>
  <c r="C152" i="16"/>
  <c r="C131" i="16"/>
  <c r="C132" i="16"/>
  <c r="C133" i="16"/>
  <c r="C134" i="16"/>
  <c r="C135" i="16"/>
  <c r="Q126" i="16"/>
  <c r="P126" i="16"/>
  <c r="O126" i="16"/>
  <c r="N126" i="16"/>
  <c r="M126" i="16"/>
  <c r="L126" i="16"/>
  <c r="K126" i="16"/>
  <c r="Q117" i="16"/>
  <c r="P117" i="16"/>
  <c r="O117" i="16"/>
  <c r="N117" i="16"/>
  <c r="M117" i="16"/>
  <c r="L117" i="16"/>
  <c r="K117" i="16"/>
  <c r="D116" i="16"/>
  <c r="D135" i="16"/>
  <c r="D115" i="16"/>
  <c r="D134" i="16"/>
  <c r="D114" i="16"/>
  <c r="D133" i="16"/>
  <c r="D113" i="16"/>
  <c r="D132" i="16"/>
  <c r="D112" i="16"/>
  <c r="D131" i="16"/>
  <c r="C112" i="16"/>
  <c r="C113" i="16"/>
  <c r="C114" i="16"/>
  <c r="C115" i="16"/>
  <c r="C116" i="16"/>
  <c r="C104" i="16"/>
  <c r="C105" i="16"/>
  <c r="C106" i="16"/>
  <c r="C107" i="16"/>
  <c r="C78" i="16"/>
  <c r="C79" i="16"/>
  <c r="C80" i="16"/>
  <c r="C81" i="16"/>
  <c r="C82" i="16"/>
  <c r="C83" i="16"/>
  <c r="C84" i="16"/>
  <c r="C85" i="16"/>
  <c r="C77" i="16"/>
  <c r="D61" i="16"/>
  <c r="D60" i="16"/>
  <c r="D59" i="16"/>
  <c r="D58" i="16"/>
  <c r="D57" i="16"/>
  <c r="D56" i="16"/>
  <c r="D55" i="16"/>
  <c r="D54" i="16"/>
  <c r="D53" i="16"/>
  <c r="C53" i="16"/>
  <c r="C54" i="16"/>
  <c r="C55" i="16"/>
  <c r="C56" i="16"/>
  <c r="C57" i="16"/>
  <c r="C58" i="16"/>
  <c r="C59" i="16"/>
  <c r="C60" i="16"/>
  <c r="C61" i="16"/>
  <c r="D52" i="16"/>
  <c r="C39" i="16"/>
  <c r="C40" i="16"/>
  <c r="C41" i="16"/>
  <c r="C42" i="16"/>
  <c r="C43" i="16"/>
  <c r="C44" i="16"/>
  <c r="C45" i="16"/>
  <c r="C46" i="16"/>
  <c r="C47" i="16"/>
  <c r="G19" i="16"/>
  <c r="A9" i="16"/>
  <c r="A2" i="16"/>
  <c r="P229" i="16"/>
  <c r="O29" i="4"/>
  <c r="M216" i="3"/>
  <c r="Q447" i="16"/>
  <c r="L167" i="16"/>
  <c r="M167" i="16"/>
  <c r="Q167" i="16"/>
  <c r="O167" i="16"/>
  <c r="K167" i="16"/>
  <c r="K177" i="3"/>
  <c r="N167" i="16"/>
  <c r="P167" i="16"/>
  <c r="J577" i="16"/>
  <c r="J579" i="16"/>
  <c r="O447" i="16"/>
  <c r="A34" i="16"/>
  <c r="A72" i="16"/>
  <c r="B11" i="16"/>
  <c r="P447" i="16"/>
  <c r="N447" i="16"/>
  <c r="P29" i="4"/>
  <c r="N216" i="3"/>
  <c r="Q229" i="16"/>
  <c r="L177" i="3"/>
  <c r="B22" i="16"/>
  <c r="A139" i="16"/>
  <c r="B28" i="16"/>
  <c r="I267" i="4"/>
  <c r="J267" i="4"/>
  <c r="K267" i="4"/>
  <c r="L267" i="4"/>
  <c r="M267" i="4"/>
  <c r="N267" i="4"/>
  <c r="O267" i="4"/>
  <c r="P267" i="4"/>
  <c r="Q267" i="4"/>
  <c r="R267" i="4"/>
  <c r="S267" i="4"/>
  <c r="T267" i="4"/>
  <c r="U267" i="4"/>
  <c r="V267" i="4"/>
  <c r="W267" i="4"/>
  <c r="X267" i="4"/>
  <c r="Y267" i="4"/>
  <c r="Z267" i="4"/>
  <c r="AA267" i="4"/>
  <c r="AB267" i="4"/>
  <c r="B36" i="16"/>
  <c r="B50" i="16"/>
  <c r="B64" i="16"/>
  <c r="Q29" i="4"/>
  <c r="O216" i="3"/>
  <c r="M177" i="3"/>
  <c r="A180" i="16"/>
  <c r="D250" i="4"/>
  <c r="D251" i="4"/>
  <c r="D252" i="4"/>
  <c r="D253" i="4"/>
  <c r="D254" i="4"/>
  <c r="D255" i="4"/>
  <c r="D256" i="4"/>
  <c r="D257" i="4"/>
  <c r="D258" i="4"/>
  <c r="I249" i="4"/>
  <c r="J249" i="4"/>
  <c r="K249" i="4"/>
  <c r="L249" i="4"/>
  <c r="M249" i="4"/>
  <c r="N249" i="4"/>
  <c r="O249" i="4"/>
  <c r="P249" i="4"/>
  <c r="Q249" i="4"/>
  <c r="R249" i="4"/>
  <c r="S249" i="4"/>
  <c r="T249" i="4"/>
  <c r="U249" i="4"/>
  <c r="V249" i="4"/>
  <c r="W249" i="4"/>
  <c r="X249" i="4"/>
  <c r="Y249" i="4"/>
  <c r="Z249" i="4"/>
  <c r="AA249" i="4"/>
  <c r="AB249" i="4"/>
  <c r="H12" i="8"/>
  <c r="G245" i="3"/>
  <c r="G241" i="3"/>
  <c r="H241" i="3"/>
  <c r="I241" i="3"/>
  <c r="J241" i="3"/>
  <c r="K241" i="3"/>
  <c r="L241" i="3"/>
  <c r="M241" i="3"/>
  <c r="N241" i="3"/>
  <c r="O241" i="3"/>
  <c r="P241" i="3"/>
  <c r="Q241" i="3"/>
  <c r="R241" i="3"/>
  <c r="S241" i="3"/>
  <c r="T241" i="3"/>
  <c r="U241" i="3"/>
  <c r="V241" i="3"/>
  <c r="W241" i="3"/>
  <c r="X241" i="3"/>
  <c r="Y241" i="3"/>
  <c r="Z241" i="3"/>
  <c r="AA241" i="3"/>
  <c r="G242" i="3"/>
  <c r="H242" i="3"/>
  <c r="I242" i="3"/>
  <c r="J242" i="3"/>
  <c r="K242" i="3"/>
  <c r="L242" i="3"/>
  <c r="M242" i="3"/>
  <c r="N242" i="3"/>
  <c r="O242" i="3"/>
  <c r="P242" i="3"/>
  <c r="Q242" i="3"/>
  <c r="R242" i="3"/>
  <c r="S242" i="3"/>
  <c r="T242" i="3"/>
  <c r="U242" i="3"/>
  <c r="V242" i="3"/>
  <c r="W242" i="3"/>
  <c r="X242" i="3"/>
  <c r="Y242" i="3"/>
  <c r="Z242" i="3"/>
  <c r="AA242" i="3"/>
  <c r="G243" i="3"/>
  <c r="H243" i="3"/>
  <c r="I243" i="3"/>
  <c r="J243" i="3"/>
  <c r="K243" i="3"/>
  <c r="L243" i="3"/>
  <c r="M243" i="3"/>
  <c r="N243" i="3"/>
  <c r="O243" i="3"/>
  <c r="P243" i="3"/>
  <c r="Q243" i="3"/>
  <c r="R243" i="3"/>
  <c r="S243" i="3"/>
  <c r="T243" i="3"/>
  <c r="U243" i="3"/>
  <c r="V243" i="3"/>
  <c r="W243" i="3"/>
  <c r="X243" i="3"/>
  <c r="Y243" i="3"/>
  <c r="Z243" i="3"/>
  <c r="AA243" i="3"/>
  <c r="G244" i="3"/>
  <c r="H244" i="3"/>
  <c r="I244" i="3"/>
  <c r="J244" i="3"/>
  <c r="K244" i="3"/>
  <c r="L244" i="3"/>
  <c r="M244" i="3"/>
  <c r="N244" i="3"/>
  <c r="O244" i="3"/>
  <c r="P244" i="3"/>
  <c r="Q244" i="3"/>
  <c r="R244" i="3"/>
  <c r="S244" i="3"/>
  <c r="T244" i="3"/>
  <c r="U244" i="3"/>
  <c r="V244" i="3"/>
  <c r="W244" i="3"/>
  <c r="X244" i="3"/>
  <c r="Y244" i="3"/>
  <c r="Z244" i="3"/>
  <c r="AA244" i="3"/>
  <c r="D238" i="3"/>
  <c r="D222" i="3"/>
  <c r="D239" i="3"/>
  <c r="D254" i="3"/>
  <c r="D240" i="3"/>
  <c r="D255" i="3"/>
  <c r="D241" i="3"/>
  <c r="D256" i="3"/>
  <c r="D242" i="3"/>
  <c r="D226" i="3"/>
  <c r="D243" i="3"/>
  <c r="D258" i="3"/>
  <c r="D244" i="3"/>
  <c r="D259" i="3"/>
  <c r="D245" i="3"/>
  <c r="D260" i="3"/>
  <c r="J247" i="4"/>
  <c r="I247" i="4"/>
  <c r="R29" i="4"/>
  <c r="P216" i="3"/>
  <c r="N177" i="3"/>
  <c r="A225" i="16"/>
  <c r="A237" i="16"/>
  <c r="B74" i="16"/>
  <c r="B88" i="16"/>
  <c r="D229" i="3"/>
  <c r="D225" i="3"/>
  <c r="D257" i="3"/>
  <c r="D228" i="3"/>
  <c r="D224" i="3"/>
  <c r="D227" i="3"/>
  <c r="D223" i="3"/>
  <c r="D253" i="3"/>
  <c r="G184" i="3"/>
  <c r="J22" i="14"/>
  <c r="E22" i="14"/>
  <c r="F22" i="14"/>
  <c r="G22" i="14"/>
  <c r="H22" i="14"/>
  <c r="I22" i="14"/>
  <c r="E20" i="14"/>
  <c r="F20" i="14"/>
  <c r="G20" i="14"/>
  <c r="H20" i="14"/>
  <c r="I20" i="14"/>
  <c r="J20" i="14"/>
  <c r="D20" i="14"/>
  <c r="D21" i="14"/>
  <c r="E18" i="14"/>
  <c r="F18" i="14"/>
  <c r="G18" i="14"/>
  <c r="H18" i="14"/>
  <c r="I18" i="14"/>
  <c r="J18" i="14"/>
  <c r="D18" i="14"/>
  <c r="D19" i="14"/>
  <c r="G35" i="5"/>
  <c r="H33" i="5"/>
  <c r="H35" i="5"/>
  <c r="I33" i="5"/>
  <c r="I35" i="5"/>
  <c r="H216" i="4"/>
  <c r="D191" i="3"/>
  <c r="D198" i="3"/>
  <c r="D159" i="16"/>
  <c r="D192" i="3"/>
  <c r="D199" i="3"/>
  <c r="D160" i="16"/>
  <c r="D193" i="3"/>
  <c r="D200" i="3"/>
  <c r="D176" i="3"/>
  <c r="D194" i="3"/>
  <c r="D201" i="3"/>
  <c r="D195" i="3"/>
  <c r="D202" i="3"/>
  <c r="D190" i="3"/>
  <c r="D173" i="3"/>
  <c r="D180" i="3"/>
  <c r="D157" i="16"/>
  <c r="D174" i="3"/>
  <c r="D181" i="3"/>
  <c r="D158" i="16"/>
  <c r="D175" i="3"/>
  <c r="D182" i="3"/>
  <c r="D172" i="3"/>
  <c r="D179" i="3"/>
  <c r="I12" i="8"/>
  <c r="H209" i="3"/>
  <c r="I209" i="3"/>
  <c r="J209" i="3"/>
  <c r="K209" i="3"/>
  <c r="L209" i="3"/>
  <c r="M209" i="3"/>
  <c r="N209" i="3"/>
  <c r="O209" i="3"/>
  <c r="P209" i="3"/>
  <c r="Q209" i="3"/>
  <c r="R209" i="3"/>
  <c r="S209" i="3"/>
  <c r="T209" i="3"/>
  <c r="U209" i="3"/>
  <c r="V209" i="3"/>
  <c r="W209" i="3"/>
  <c r="X209" i="3"/>
  <c r="Y209" i="3"/>
  <c r="Z209" i="3"/>
  <c r="AA209" i="3"/>
  <c r="S29" i="4"/>
  <c r="Q216" i="3"/>
  <c r="H184" i="3"/>
  <c r="O177" i="3"/>
  <c r="G221" i="3"/>
  <c r="H270" i="4"/>
  <c r="D197" i="3"/>
  <c r="A331" i="16"/>
  <c r="B94" i="16"/>
  <c r="B101" i="16"/>
  <c r="B110" i="16"/>
  <c r="I184" i="3"/>
  <c r="J184" i="3"/>
  <c r="M184" i="3"/>
  <c r="L184" i="3"/>
  <c r="K184" i="3"/>
  <c r="E19" i="14"/>
  <c r="F19" i="14"/>
  <c r="G19" i="14"/>
  <c r="H19" i="14"/>
  <c r="I19" i="14"/>
  <c r="J19" i="14"/>
  <c r="E21" i="14"/>
  <c r="F21" i="14"/>
  <c r="N184" i="3"/>
  <c r="I227" i="4"/>
  <c r="D103" i="3"/>
  <c r="D140" i="3"/>
  <c r="D98" i="3"/>
  <c r="D135" i="3"/>
  <c r="D99" i="3"/>
  <c r="D136" i="3"/>
  <c r="D100" i="3"/>
  <c r="D137" i="3"/>
  <c r="D101" i="3"/>
  <c r="D138" i="3"/>
  <c r="D102" i="3"/>
  <c r="D139" i="3"/>
  <c r="D94" i="3"/>
  <c r="D131" i="3"/>
  <c r="D95" i="3"/>
  <c r="D132" i="3"/>
  <c r="D96" i="3"/>
  <c r="D133" i="3"/>
  <c r="D97" i="3"/>
  <c r="D134" i="3"/>
  <c r="D69" i="3"/>
  <c r="D106" i="3"/>
  <c r="D70" i="3"/>
  <c r="D107" i="3"/>
  <c r="D71" i="3"/>
  <c r="D108" i="3"/>
  <c r="D72" i="3"/>
  <c r="D109" i="3"/>
  <c r="D73" i="3"/>
  <c r="D110" i="3"/>
  <c r="D74" i="3"/>
  <c r="D111" i="3"/>
  <c r="D75" i="3"/>
  <c r="D112" i="3"/>
  <c r="D76" i="3"/>
  <c r="D113" i="3"/>
  <c r="D77" i="3"/>
  <c r="D114" i="3"/>
  <c r="D78" i="3"/>
  <c r="D115" i="3"/>
  <c r="D79" i="3"/>
  <c r="D116" i="3"/>
  <c r="D80" i="3"/>
  <c r="D117" i="3"/>
  <c r="D81" i="3"/>
  <c r="D118" i="3"/>
  <c r="D82" i="3"/>
  <c r="D119" i="3"/>
  <c r="D83" i="3"/>
  <c r="D120" i="3"/>
  <c r="D84" i="3"/>
  <c r="D121" i="3"/>
  <c r="D85" i="3"/>
  <c r="D122" i="3"/>
  <c r="D86" i="3"/>
  <c r="D123" i="3"/>
  <c r="D87" i="3"/>
  <c r="D124" i="3"/>
  <c r="D88" i="3"/>
  <c r="D125" i="3"/>
  <c r="D89" i="3"/>
  <c r="D126" i="3"/>
  <c r="D90" i="3"/>
  <c r="D127" i="3"/>
  <c r="D91" i="3"/>
  <c r="D128" i="3"/>
  <c r="D92" i="3"/>
  <c r="D129" i="3"/>
  <c r="D93" i="3"/>
  <c r="D130" i="3"/>
  <c r="D68" i="3"/>
  <c r="D105" i="3"/>
  <c r="D20" i="3"/>
  <c r="D43" i="3"/>
  <c r="D21" i="3"/>
  <c r="D44" i="3"/>
  <c r="D22" i="3"/>
  <c r="D45" i="3"/>
  <c r="D23" i="3"/>
  <c r="D46" i="3"/>
  <c r="D24" i="3"/>
  <c r="D47" i="3"/>
  <c r="D25" i="3"/>
  <c r="D48" i="3"/>
  <c r="D26" i="3"/>
  <c r="D49" i="3"/>
  <c r="D27" i="3"/>
  <c r="D50" i="3"/>
  <c r="D28" i="3"/>
  <c r="D51" i="3"/>
  <c r="D29" i="3"/>
  <c r="D52" i="3"/>
  <c r="D30" i="3"/>
  <c r="D53" i="3"/>
  <c r="D31" i="3"/>
  <c r="D54" i="3"/>
  <c r="D32" i="3"/>
  <c r="D55" i="3"/>
  <c r="D33" i="3"/>
  <c r="D56" i="3"/>
  <c r="D34" i="3"/>
  <c r="D57" i="3"/>
  <c r="D35" i="3"/>
  <c r="D58" i="3"/>
  <c r="D36" i="3"/>
  <c r="D59" i="3"/>
  <c r="D37" i="3"/>
  <c r="D60" i="3"/>
  <c r="D38" i="3"/>
  <c r="D61" i="3"/>
  <c r="D39" i="3"/>
  <c r="D62" i="3"/>
  <c r="D40" i="3"/>
  <c r="D63" i="3"/>
  <c r="D19" i="3"/>
  <c r="D42" i="3"/>
  <c r="D181" i="4"/>
  <c r="D182" i="4"/>
  <c r="D165" i="4"/>
  <c r="D166" i="4"/>
  <c r="D167" i="4"/>
  <c r="D168" i="4"/>
  <c r="D169" i="4"/>
  <c r="D170" i="4"/>
  <c r="D171" i="4"/>
  <c r="D172" i="4"/>
  <c r="D173" i="4"/>
  <c r="D174" i="4"/>
  <c r="D175" i="4"/>
  <c r="D176" i="4"/>
  <c r="D177" i="4"/>
  <c r="D178" i="4"/>
  <c r="D179" i="4"/>
  <c r="D180" i="4"/>
  <c r="I28" i="7"/>
  <c r="H28" i="7"/>
  <c r="J28" i="7"/>
  <c r="K28" i="7"/>
  <c r="I29" i="7"/>
  <c r="H29" i="7"/>
  <c r="J29" i="7"/>
  <c r="K29" i="7"/>
  <c r="I30" i="7"/>
  <c r="H30" i="7"/>
  <c r="J30" i="7"/>
  <c r="K30" i="7"/>
  <c r="I103" i="4"/>
  <c r="I104" i="4"/>
  <c r="I105" i="4"/>
  <c r="G40" i="3"/>
  <c r="D103" i="4"/>
  <c r="D104" i="4"/>
  <c r="D105" i="4"/>
  <c r="AA212" i="3"/>
  <c r="Z212" i="3"/>
  <c r="Y212" i="3"/>
  <c r="X212" i="3"/>
  <c r="W212" i="3"/>
  <c r="V212" i="3"/>
  <c r="U212" i="3"/>
  <c r="T212" i="3"/>
  <c r="S212" i="3"/>
  <c r="R212" i="3"/>
  <c r="Q212" i="3"/>
  <c r="P212" i="3"/>
  <c r="O212" i="3"/>
  <c r="N212" i="3"/>
  <c r="M212" i="3"/>
  <c r="L212" i="3"/>
  <c r="K212" i="3"/>
  <c r="J212" i="3"/>
  <c r="I212" i="3"/>
  <c r="H212" i="3"/>
  <c r="H250" i="3"/>
  <c r="T29" i="4"/>
  <c r="R216" i="3"/>
  <c r="H40" i="3"/>
  <c r="I40" i="3"/>
  <c r="G39" i="3"/>
  <c r="G190" i="3"/>
  <c r="G38" i="3"/>
  <c r="H38" i="3"/>
  <c r="I44" i="7"/>
  <c r="H44" i="7"/>
  <c r="J44" i="7"/>
  <c r="K44" i="7"/>
  <c r="G9" i="15"/>
  <c r="I19" i="7"/>
  <c r="H19" i="7"/>
  <c r="J19" i="7"/>
  <c r="K19" i="7"/>
  <c r="I20" i="7"/>
  <c r="H20" i="7"/>
  <c r="J20" i="7"/>
  <c r="K20" i="7"/>
  <c r="I47" i="7"/>
  <c r="H47" i="7"/>
  <c r="J47" i="7"/>
  <c r="K47" i="7"/>
  <c r="I17" i="7"/>
  <c r="H17" i="7"/>
  <c r="J17" i="7"/>
  <c r="K17" i="7"/>
  <c r="I45" i="7"/>
  <c r="H45" i="7"/>
  <c r="J45" i="7"/>
  <c r="K45" i="7"/>
  <c r="I48" i="7"/>
  <c r="H48" i="7"/>
  <c r="J48" i="7"/>
  <c r="K48" i="7"/>
  <c r="I46" i="7"/>
  <c r="H46" i="7"/>
  <c r="J46" i="7"/>
  <c r="K46" i="7"/>
  <c r="I16" i="7"/>
  <c r="H16" i="7"/>
  <c r="J16" i="7"/>
  <c r="K16" i="7"/>
  <c r="I18" i="7"/>
  <c r="H18" i="7"/>
  <c r="J18" i="7"/>
  <c r="K18" i="7"/>
  <c r="O184" i="3"/>
  <c r="P177" i="3"/>
  <c r="P184" i="3"/>
  <c r="I270" i="4"/>
  <c r="B120" i="16"/>
  <c r="B129" i="16"/>
  <c r="A343" i="16"/>
  <c r="I271" i="4"/>
  <c r="E23" i="14"/>
  <c r="G21" i="14"/>
  <c r="F23" i="14"/>
  <c r="I39" i="7"/>
  <c r="H39" i="3"/>
  <c r="I41" i="7"/>
  <c r="H41" i="7"/>
  <c r="J41" i="7"/>
  <c r="I40" i="7"/>
  <c r="H40" i="7"/>
  <c r="J40" i="7"/>
  <c r="I42" i="7"/>
  <c r="H42" i="7"/>
  <c r="J42" i="7"/>
  <c r="K40" i="7"/>
  <c r="K41" i="7"/>
  <c r="K42" i="7"/>
  <c r="H39" i="7"/>
  <c r="J39" i="7"/>
  <c r="K39" i="7"/>
  <c r="I38" i="3"/>
  <c r="H190" i="3"/>
  <c r="U29" i="4"/>
  <c r="S216" i="3"/>
  <c r="G11" i="15"/>
  <c r="Q177" i="3"/>
  <c r="Q184" i="3"/>
  <c r="Y270" i="4"/>
  <c r="O270" i="4"/>
  <c r="N250" i="3"/>
  <c r="V270" i="4"/>
  <c r="T270" i="4"/>
  <c r="M270" i="4"/>
  <c r="L250" i="3"/>
  <c r="AB270" i="4"/>
  <c r="Z270" i="4"/>
  <c r="W270" i="4"/>
  <c r="S270" i="4"/>
  <c r="P270" i="4"/>
  <c r="O250" i="3"/>
  <c r="L270" i="4"/>
  <c r="K250" i="3"/>
  <c r="U270" i="4"/>
  <c r="R270" i="4"/>
  <c r="Q250" i="3"/>
  <c r="J270" i="4"/>
  <c r="I250" i="3"/>
  <c r="K270" i="4"/>
  <c r="J250" i="3"/>
  <c r="AA270" i="4"/>
  <c r="X270" i="4"/>
  <c r="Q270" i="4"/>
  <c r="P250" i="3"/>
  <c r="N270" i="4"/>
  <c r="M250" i="3"/>
  <c r="B141" i="16"/>
  <c r="B155" i="16"/>
  <c r="B170" i="16"/>
  <c r="B182" i="16"/>
  <c r="B191" i="16"/>
  <c r="B200" i="16"/>
  <c r="B206" i="16"/>
  <c r="B215" i="16"/>
  <c r="B227" i="16"/>
  <c r="A353" i="16"/>
  <c r="I190" i="3"/>
  <c r="J271" i="4"/>
  <c r="H21" i="14"/>
  <c r="G23" i="14"/>
  <c r="I39" i="3"/>
  <c r="J40" i="3"/>
  <c r="F74" i="15"/>
  <c r="AA254" i="15"/>
  <c r="Z254" i="15"/>
  <c r="Y254" i="15"/>
  <c r="X254" i="15"/>
  <c r="W254" i="15"/>
  <c r="V254" i="15"/>
  <c r="U254" i="15"/>
  <c r="T254" i="15"/>
  <c r="S254" i="15"/>
  <c r="R254" i="15"/>
  <c r="Q254" i="15"/>
  <c r="P254" i="15"/>
  <c r="O254" i="15"/>
  <c r="N254" i="15"/>
  <c r="M254" i="15"/>
  <c r="L254" i="15"/>
  <c r="K254" i="15"/>
  <c r="J254" i="15"/>
  <c r="I254" i="15"/>
  <c r="H254" i="15"/>
  <c r="F288" i="15"/>
  <c r="F291" i="15"/>
  <c r="E291" i="15"/>
  <c r="F290" i="15"/>
  <c r="E290" i="15"/>
  <c r="F289" i="15"/>
  <c r="E289" i="15"/>
  <c r="E288" i="15"/>
  <c r="F287" i="15"/>
  <c r="E287" i="15"/>
  <c r="F286" i="15"/>
  <c r="E286" i="15"/>
  <c r="F285" i="15"/>
  <c r="E285" i="15"/>
  <c r="F284" i="15"/>
  <c r="E284" i="15"/>
  <c r="F283" i="15"/>
  <c r="E283" i="15"/>
  <c r="AA294" i="15"/>
  <c r="Z294" i="15"/>
  <c r="Y294" i="15"/>
  <c r="X294" i="15"/>
  <c r="W294" i="15"/>
  <c r="V294" i="15"/>
  <c r="U294" i="15"/>
  <c r="T294" i="15"/>
  <c r="S294" i="15"/>
  <c r="R294" i="15"/>
  <c r="Q294" i="15"/>
  <c r="P294" i="15"/>
  <c r="O294" i="15"/>
  <c r="N294" i="15"/>
  <c r="M294" i="15"/>
  <c r="L294" i="15"/>
  <c r="K294" i="15"/>
  <c r="J294" i="15"/>
  <c r="I294" i="15"/>
  <c r="H294" i="15"/>
  <c r="G294" i="15"/>
  <c r="J38" i="3"/>
  <c r="K35" i="3"/>
  <c r="R250" i="3"/>
  <c r="V29" i="4"/>
  <c r="T216" i="3"/>
  <c r="S250" i="3"/>
  <c r="R177" i="3"/>
  <c r="R184" i="3"/>
  <c r="A419" i="16"/>
  <c r="B239" i="16"/>
  <c r="K271" i="4"/>
  <c r="J190" i="3"/>
  <c r="I21" i="14"/>
  <c r="H23" i="14"/>
  <c r="K38" i="3"/>
  <c r="K40" i="3"/>
  <c r="J39" i="3"/>
  <c r="X27" i="15"/>
  <c r="N179" i="15"/>
  <c r="N186" i="15"/>
  <c r="R179" i="15"/>
  <c r="V179" i="15"/>
  <c r="Z179" i="15"/>
  <c r="O215" i="15"/>
  <c r="S215" i="15"/>
  <c r="W215" i="15"/>
  <c r="W222" i="15"/>
  <c r="AA215" i="15"/>
  <c r="M23" i="15"/>
  <c r="Q23" i="15"/>
  <c r="U23" i="15"/>
  <c r="Y23" i="15"/>
  <c r="L24" i="15"/>
  <c r="P24" i="15"/>
  <c r="T24" i="15"/>
  <c r="X24" i="15"/>
  <c r="G25" i="15"/>
  <c r="K25" i="15"/>
  <c r="O25" i="15"/>
  <c r="S25" i="15"/>
  <c r="W25" i="15"/>
  <c r="AA25" i="15"/>
  <c r="I27" i="15"/>
  <c r="M27" i="15"/>
  <c r="Q27" i="15"/>
  <c r="U27" i="15"/>
  <c r="Y27" i="15"/>
  <c r="O179" i="15"/>
  <c r="S179" i="15"/>
  <c r="S186" i="15"/>
  <c r="W179" i="15"/>
  <c r="AA179" i="15"/>
  <c r="P215" i="15"/>
  <c r="T215" i="15"/>
  <c r="X215" i="15"/>
  <c r="X222" i="15"/>
  <c r="J23" i="15"/>
  <c r="N23" i="15"/>
  <c r="R23" i="15"/>
  <c r="V23" i="15"/>
  <c r="Z23" i="15"/>
  <c r="M24" i="15"/>
  <c r="Q24" i="15"/>
  <c r="U24" i="15"/>
  <c r="Y24" i="15"/>
  <c r="H25" i="15"/>
  <c r="L25" i="15"/>
  <c r="P25" i="15"/>
  <c r="T25" i="15"/>
  <c r="X25" i="15"/>
  <c r="J27" i="15"/>
  <c r="N27" i="15"/>
  <c r="R27" i="15"/>
  <c r="V27" i="15"/>
  <c r="Z27" i="15"/>
  <c r="P179" i="15"/>
  <c r="P186" i="15"/>
  <c r="T179" i="15"/>
  <c r="X179" i="15"/>
  <c r="X186" i="15"/>
  <c r="M215" i="15"/>
  <c r="Q215" i="15"/>
  <c r="U215" i="15"/>
  <c r="Y215" i="15"/>
  <c r="Y222" i="15"/>
  <c r="K23" i="15"/>
  <c r="O23" i="15"/>
  <c r="S23" i="15"/>
  <c r="W23" i="15"/>
  <c r="AA23" i="15"/>
  <c r="J24" i="15"/>
  <c r="N24" i="15"/>
  <c r="R24" i="15"/>
  <c r="V24" i="15"/>
  <c r="Z24" i="15"/>
  <c r="I25" i="15"/>
  <c r="M25" i="15"/>
  <c r="Q25" i="15"/>
  <c r="U25" i="15"/>
  <c r="Y25" i="15"/>
  <c r="G27" i="15"/>
  <c r="K27" i="15"/>
  <c r="O27" i="15"/>
  <c r="S27" i="15"/>
  <c r="W27" i="15"/>
  <c r="AA27" i="15"/>
  <c r="M179" i="15"/>
  <c r="Q179" i="15"/>
  <c r="Q186" i="15"/>
  <c r="U179" i="15"/>
  <c r="Y179" i="15"/>
  <c r="Y186" i="15"/>
  <c r="N215" i="15"/>
  <c r="R215" i="15"/>
  <c r="V215" i="15"/>
  <c r="V222" i="15"/>
  <c r="Z215" i="15"/>
  <c r="L23" i="15"/>
  <c r="P23" i="15"/>
  <c r="T23" i="15"/>
  <c r="X23" i="15"/>
  <c r="G24" i="15"/>
  <c r="K24" i="15"/>
  <c r="O24" i="15"/>
  <c r="S24" i="15"/>
  <c r="W24" i="15"/>
  <c r="AA24" i="15"/>
  <c r="J25" i="15"/>
  <c r="N25" i="15"/>
  <c r="R25" i="15"/>
  <c r="V25" i="15"/>
  <c r="Z25" i="15"/>
  <c r="H27" i="15"/>
  <c r="L27" i="15"/>
  <c r="P27" i="15"/>
  <c r="T27" i="15"/>
  <c r="W29" i="4"/>
  <c r="U216" i="3"/>
  <c r="T250" i="3"/>
  <c r="S177" i="3"/>
  <c r="S184" i="3"/>
  <c r="B252" i="16"/>
  <c r="B265" i="16"/>
  <c r="B278" i="16"/>
  <c r="B291" i="16"/>
  <c r="B304" i="16"/>
  <c r="B317" i="16"/>
  <c r="A465" i="16"/>
  <c r="K190" i="3"/>
  <c r="L271" i="4"/>
  <c r="U92" i="3"/>
  <c r="J21" i="14"/>
  <c r="J23" i="14"/>
  <c r="I23" i="14"/>
  <c r="U90" i="3"/>
  <c r="L38" i="3"/>
  <c r="K37" i="3"/>
  <c r="K34" i="3"/>
  <c r="K39" i="3"/>
  <c r="L40" i="3"/>
  <c r="L35" i="3"/>
  <c r="I23" i="15"/>
  <c r="I24" i="15"/>
  <c r="H24" i="15"/>
  <c r="H23" i="15"/>
  <c r="K72" i="3"/>
  <c r="K27" i="3"/>
  <c r="K76" i="3"/>
  <c r="X29" i="4"/>
  <c r="V216" i="3"/>
  <c r="U250" i="3"/>
  <c r="T177" i="3"/>
  <c r="T184" i="3"/>
  <c r="V92" i="3"/>
  <c r="K71" i="3"/>
  <c r="A475" i="16"/>
  <c r="B333" i="16"/>
  <c r="M271" i="4"/>
  <c r="L190" i="3"/>
  <c r="K69" i="3"/>
  <c r="K70" i="3"/>
  <c r="V90" i="3"/>
  <c r="M40" i="3"/>
  <c r="L39" i="3"/>
  <c r="L34" i="3"/>
  <c r="M35" i="3"/>
  <c r="L37" i="3"/>
  <c r="M38" i="3"/>
  <c r="G277" i="15"/>
  <c r="G269" i="15"/>
  <c r="G278" i="15"/>
  <c r="G280" i="15"/>
  <c r="H277" i="15"/>
  <c r="G268" i="15"/>
  <c r="G364" i="17"/>
  <c r="AA266" i="15"/>
  <c r="Z266" i="15"/>
  <c r="Y266" i="15"/>
  <c r="X266" i="15"/>
  <c r="W266" i="15"/>
  <c r="V266" i="15"/>
  <c r="U266" i="15"/>
  <c r="T266" i="15"/>
  <c r="S266" i="15"/>
  <c r="R266" i="15"/>
  <c r="Q266" i="15"/>
  <c r="P266" i="15"/>
  <c r="O266" i="15"/>
  <c r="N266" i="15"/>
  <c r="M266" i="15"/>
  <c r="L266" i="15"/>
  <c r="K266" i="15"/>
  <c r="J266" i="15"/>
  <c r="I266" i="15"/>
  <c r="H266" i="15"/>
  <c r="G265" i="15"/>
  <c r="G257" i="15"/>
  <c r="G279" i="15"/>
  <c r="G254" i="15"/>
  <c r="G266" i="15"/>
  <c r="G242" i="15"/>
  <c r="G239" i="15"/>
  <c r="AA233" i="15"/>
  <c r="AA240" i="15"/>
  <c r="Z233" i="15"/>
  <c r="Z240" i="15"/>
  <c r="Y233" i="15"/>
  <c r="Y240" i="15"/>
  <c r="X233" i="15"/>
  <c r="X240" i="15"/>
  <c r="W233" i="15"/>
  <c r="W240" i="15"/>
  <c r="V233" i="15"/>
  <c r="V240" i="15"/>
  <c r="U233" i="15"/>
  <c r="U240" i="15"/>
  <c r="T233" i="15"/>
  <c r="T240" i="15"/>
  <c r="S233" i="15"/>
  <c r="S240" i="15"/>
  <c r="R233" i="15"/>
  <c r="R240" i="15"/>
  <c r="Q233" i="15"/>
  <c r="Q240" i="15"/>
  <c r="P233" i="15"/>
  <c r="P240" i="15"/>
  <c r="O233" i="15"/>
  <c r="O240" i="15"/>
  <c r="N233" i="15"/>
  <c r="N240" i="15"/>
  <c r="M233" i="15"/>
  <c r="M240" i="15"/>
  <c r="L233" i="15"/>
  <c r="L240" i="15"/>
  <c r="K233" i="15"/>
  <c r="K240" i="15"/>
  <c r="J233" i="15"/>
  <c r="J240" i="15"/>
  <c r="I233" i="15"/>
  <c r="I240" i="15"/>
  <c r="H233" i="15"/>
  <c r="H240" i="15"/>
  <c r="G233" i="15"/>
  <c r="G240" i="15"/>
  <c r="G246" i="15"/>
  <c r="G221" i="15"/>
  <c r="AA222" i="15"/>
  <c r="Z222" i="15"/>
  <c r="U222" i="15"/>
  <c r="T222" i="15"/>
  <c r="S222" i="15"/>
  <c r="R222" i="15"/>
  <c r="Q222" i="15"/>
  <c r="P222" i="15"/>
  <c r="O222" i="15"/>
  <c r="N222" i="15"/>
  <c r="M222" i="15"/>
  <c r="G203" i="15"/>
  <c r="G185" i="15"/>
  <c r="AA186" i="15"/>
  <c r="Z186" i="15"/>
  <c r="W186" i="15"/>
  <c r="V186" i="15"/>
  <c r="U186" i="15"/>
  <c r="T186" i="15"/>
  <c r="R186" i="15"/>
  <c r="O186" i="15"/>
  <c r="M186" i="15"/>
  <c r="G164" i="15"/>
  <c r="G144" i="15"/>
  <c r="H370" i="17"/>
  <c r="G105" i="15"/>
  <c r="G104" i="15"/>
  <c r="H105" i="15"/>
  <c r="G103" i="15"/>
  <c r="H104" i="15"/>
  <c r="I105" i="15"/>
  <c r="AA88" i="15"/>
  <c r="Z88" i="15"/>
  <c r="Y88" i="15"/>
  <c r="X88" i="15"/>
  <c r="W88" i="15"/>
  <c r="V88" i="15"/>
  <c r="U88" i="15"/>
  <c r="T88" i="15"/>
  <c r="S88" i="15"/>
  <c r="R88" i="15"/>
  <c r="Q88" i="15"/>
  <c r="P88" i="15"/>
  <c r="O88" i="15"/>
  <c r="N88" i="15"/>
  <c r="M88" i="15"/>
  <c r="L88" i="15"/>
  <c r="K88" i="15"/>
  <c r="J88" i="15"/>
  <c r="I88" i="15"/>
  <c r="H88" i="15"/>
  <c r="H129" i="15"/>
  <c r="AA87" i="15"/>
  <c r="Z87" i="15"/>
  <c r="Y87" i="15"/>
  <c r="X87" i="15"/>
  <c r="W87" i="15"/>
  <c r="V87" i="15"/>
  <c r="U87" i="15"/>
  <c r="T87" i="15"/>
  <c r="S87" i="15"/>
  <c r="R87" i="15"/>
  <c r="Q87" i="15"/>
  <c r="P87" i="15"/>
  <c r="O87" i="15"/>
  <c r="N87" i="15"/>
  <c r="M87" i="15"/>
  <c r="L87" i="15"/>
  <c r="K87" i="15"/>
  <c r="J87" i="15"/>
  <c r="I87" i="15"/>
  <c r="I128" i="15"/>
  <c r="H87" i="15"/>
  <c r="G87" i="15"/>
  <c r="G128" i="15"/>
  <c r="AA86" i="15"/>
  <c r="Z86" i="15"/>
  <c r="Y86" i="15"/>
  <c r="X86" i="15"/>
  <c r="W86" i="15"/>
  <c r="V86" i="15"/>
  <c r="U86" i="15"/>
  <c r="T86" i="15"/>
  <c r="S86" i="15"/>
  <c r="R86" i="15"/>
  <c r="Q86" i="15"/>
  <c r="P86" i="15"/>
  <c r="O86" i="15"/>
  <c r="N86" i="15"/>
  <c r="M86" i="15"/>
  <c r="L86" i="15"/>
  <c r="K86" i="15"/>
  <c r="J86" i="15"/>
  <c r="I86" i="15"/>
  <c r="I127" i="15"/>
  <c r="H86" i="15"/>
  <c r="H127" i="15"/>
  <c r="G86" i="15"/>
  <c r="G127" i="15"/>
  <c r="G61" i="15"/>
  <c r="H61" i="15"/>
  <c r="I61" i="15"/>
  <c r="J61" i="15"/>
  <c r="K61" i="15"/>
  <c r="L61" i="15"/>
  <c r="M61" i="15"/>
  <c r="N61" i="15"/>
  <c r="O61" i="15"/>
  <c r="P61" i="15"/>
  <c r="Q61" i="15"/>
  <c r="R61" i="15"/>
  <c r="S61" i="15"/>
  <c r="T61" i="15"/>
  <c r="U61" i="15"/>
  <c r="V61" i="15"/>
  <c r="W61" i="15"/>
  <c r="X61" i="15"/>
  <c r="Y61" i="15"/>
  <c r="Z61" i="15"/>
  <c r="AA61" i="15"/>
  <c r="G60" i="15"/>
  <c r="H60" i="15"/>
  <c r="I60" i="15"/>
  <c r="J60" i="15"/>
  <c r="K60" i="15"/>
  <c r="L60" i="15"/>
  <c r="M60" i="15"/>
  <c r="N60" i="15"/>
  <c r="O60" i="15"/>
  <c r="P60" i="15"/>
  <c r="Q60" i="15"/>
  <c r="R60" i="15"/>
  <c r="S60" i="15"/>
  <c r="T60" i="15"/>
  <c r="U60" i="15"/>
  <c r="V60" i="15"/>
  <c r="W60" i="15"/>
  <c r="X60" i="15"/>
  <c r="Y60" i="15"/>
  <c r="Z60" i="15"/>
  <c r="AA60" i="15"/>
  <c r="G59" i="15"/>
  <c r="H59" i="15"/>
  <c r="I59" i="15"/>
  <c r="J59" i="15"/>
  <c r="K59" i="15"/>
  <c r="L59" i="15"/>
  <c r="M59" i="15"/>
  <c r="N59" i="15"/>
  <c r="O59" i="15"/>
  <c r="P59" i="15"/>
  <c r="Q59" i="15"/>
  <c r="R59" i="15"/>
  <c r="S59" i="15"/>
  <c r="T59" i="15"/>
  <c r="U59" i="15"/>
  <c r="V59" i="15"/>
  <c r="W59" i="15"/>
  <c r="X59" i="15"/>
  <c r="Y59" i="15"/>
  <c r="Z59" i="15"/>
  <c r="AA59" i="15"/>
  <c r="G57" i="15"/>
  <c r="G63" i="15"/>
  <c r="H57" i="15"/>
  <c r="H63" i="15"/>
  <c r="AA41" i="15"/>
  <c r="Z41" i="15"/>
  <c r="Y41" i="15"/>
  <c r="X41" i="15"/>
  <c r="W41" i="15"/>
  <c r="V41" i="15"/>
  <c r="U41" i="15"/>
  <c r="T41" i="15"/>
  <c r="S41" i="15"/>
  <c r="R41" i="15"/>
  <c r="Q41" i="15"/>
  <c r="P41" i="15"/>
  <c r="O41" i="15"/>
  <c r="N41" i="15"/>
  <c r="M41" i="15"/>
  <c r="L41" i="15"/>
  <c r="K41" i="15"/>
  <c r="J41" i="15"/>
  <c r="I41" i="15"/>
  <c r="H41" i="15"/>
  <c r="H2" i="15"/>
  <c r="H11" i="15"/>
  <c r="L27" i="3"/>
  <c r="M27" i="3"/>
  <c r="K24" i="3"/>
  <c r="L76" i="3"/>
  <c r="L72" i="3"/>
  <c r="S361" i="3"/>
  <c r="S369" i="17"/>
  <c r="T361" i="3"/>
  <c r="T369" i="17"/>
  <c r="Q361" i="3"/>
  <c r="Q369" i="17"/>
  <c r="H361" i="3"/>
  <c r="H369" i="17"/>
  <c r="I369" i="17"/>
  <c r="J369" i="17"/>
  <c r="I361" i="3"/>
  <c r="U361" i="3"/>
  <c r="U369" i="17"/>
  <c r="R361" i="3"/>
  <c r="R369" i="17"/>
  <c r="J361" i="3"/>
  <c r="V361" i="3"/>
  <c r="V369" i="17"/>
  <c r="P361" i="3"/>
  <c r="P369" i="17"/>
  <c r="K361" i="3"/>
  <c r="K369" i="17"/>
  <c r="W361" i="3"/>
  <c r="W369" i="17"/>
  <c r="L361" i="3"/>
  <c r="L369" i="17"/>
  <c r="X361" i="3"/>
  <c r="X369" i="17"/>
  <c r="Y361" i="3"/>
  <c r="Y369" i="17"/>
  <c r="M361" i="3"/>
  <c r="M369" i="17"/>
  <c r="N361" i="3"/>
  <c r="N369" i="17"/>
  <c r="Z361" i="3"/>
  <c r="Z369" i="17"/>
  <c r="O361" i="3"/>
  <c r="O369" i="17"/>
  <c r="AA361" i="3"/>
  <c r="AA369" i="17"/>
  <c r="K74" i="3"/>
  <c r="Y29" i="4"/>
  <c r="W216" i="3"/>
  <c r="V250" i="3"/>
  <c r="K75" i="3"/>
  <c r="K77" i="3"/>
  <c r="K26" i="3"/>
  <c r="K25" i="3"/>
  <c r="K78" i="3"/>
  <c r="K23" i="3"/>
  <c r="L71" i="3"/>
  <c r="L69" i="3"/>
  <c r="W92" i="3"/>
  <c r="U177" i="3"/>
  <c r="U184" i="3"/>
  <c r="A522" i="16"/>
  <c r="B345" i="16"/>
  <c r="M190" i="3"/>
  <c r="N271" i="4"/>
  <c r="L70" i="3"/>
  <c r="W90" i="3"/>
  <c r="G356" i="3"/>
  <c r="M76" i="3"/>
  <c r="M37" i="3"/>
  <c r="N40" i="3"/>
  <c r="M39" i="3"/>
  <c r="N38" i="3"/>
  <c r="N35" i="3"/>
  <c r="M34" i="3"/>
  <c r="I2" i="15"/>
  <c r="I11" i="15"/>
  <c r="G126" i="15"/>
  <c r="G361" i="3"/>
  <c r="H268" i="15"/>
  <c r="H356" i="3"/>
  <c r="H242" i="15"/>
  <c r="H164" i="13"/>
  <c r="H269" i="15"/>
  <c r="H278" i="15"/>
  <c r="H126" i="15"/>
  <c r="I242" i="15"/>
  <c r="I366" i="17"/>
  <c r="G129" i="15"/>
  <c r="G133" i="15"/>
  <c r="G273" i="15"/>
  <c r="H257" i="15"/>
  <c r="L24" i="3"/>
  <c r="M72" i="3"/>
  <c r="J2" i="15"/>
  <c r="J11" i="15"/>
  <c r="I268" i="15"/>
  <c r="H364" i="17"/>
  <c r="H446" i="17"/>
  <c r="H454" i="17"/>
  <c r="I269" i="15"/>
  <c r="I278" i="15"/>
  <c r="I126" i="15"/>
  <c r="L74" i="3"/>
  <c r="M71" i="3"/>
  <c r="Z29" i="4"/>
  <c r="X216" i="3"/>
  <c r="W250" i="3"/>
  <c r="L78" i="3"/>
  <c r="L25" i="3"/>
  <c r="L77" i="3"/>
  <c r="M69" i="3"/>
  <c r="L26" i="3"/>
  <c r="L75" i="3"/>
  <c r="L23" i="3"/>
  <c r="H363" i="17"/>
  <c r="H463" i="17"/>
  <c r="H471" i="17"/>
  <c r="X92" i="3"/>
  <c r="V177" i="3"/>
  <c r="V184" i="3"/>
  <c r="B355" i="16"/>
  <c r="B364" i="16"/>
  <c r="B373" i="16"/>
  <c r="B382" i="16"/>
  <c r="B391" i="16"/>
  <c r="B400" i="16"/>
  <c r="B409" i="16"/>
  <c r="A533" i="16"/>
  <c r="O271" i="4"/>
  <c r="N190" i="3"/>
  <c r="M70" i="3"/>
  <c r="X90" i="3"/>
  <c r="N76" i="3"/>
  <c r="N71" i="3"/>
  <c r="Y92" i="3"/>
  <c r="N27" i="3"/>
  <c r="O38" i="3"/>
  <c r="N37" i="3"/>
  <c r="N34" i="3"/>
  <c r="O35" i="3"/>
  <c r="N39" i="3"/>
  <c r="O40" i="3"/>
  <c r="J16" i="14"/>
  <c r="G134" i="15"/>
  <c r="H279" i="15"/>
  <c r="I257" i="15"/>
  <c r="J269" i="15"/>
  <c r="J278" i="15"/>
  <c r="J268" i="15"/>
  <c r="J356" i="3"/>
  <c r="J128" i="15"/>
  <c r="J126" i="15"/>
  <c r="J129" i="15"/>
  <c r="K2" i="15"/>
  <c r="K268" i="15"/>
  <c r="G337" i="3"/>
  <c r="G274" i="15"/>
  <c r="G275" i="15"/>
  <c r="M24" i="3"/>
  <c r="N72" i="3"/>
  <c r="M74" i="3"/>
  <c r="N69" i="3"/>
  <c r="I356" i="3"/>
  <c r="I364" i="17"/>
  <c r="I446" i="17"/>
  <c r="I454" i="17"/>
  <c r="X250" i="3"/>
  <c r="AA29" i="4"/>
  <c r="Y216" i="3"/>
  <c r="M78" i="3"/>
  <c r="M75" i="3"/>
  <c r="M26" i="3"/>
  <c r="M77" i="3"/>
  <c r="M25" i="3"/>
  <c r="M23" i="3"/>
  <c r="J363" i="17"/>
  <c r="J463" i="17"/>
  <c r="J471" i="17"/>
  <c r="W177" i="3"/>
  <c r="W184" i="3"/>
  <c r="N70" i="3"/>
  <c r="B421" i="16"/>
  <c r="B427" i="16"/>
  <c r="B432" i="16"/>
  <c r="B441" i="16"/>
  <c r="B450" i="16"/>
  <c r="B459" i="16"/>
  <c r="A548" i="16"/>
  <c r="O190" i="3"/>
  <c r="P271" i="4"/>
  <c r="Y90" i="3"/>
  <c r="Z92" i="3"/>
  <c r="O71" i="3"/>
  <c r="O76" i="3"/>
  <c r="O37" i="3"/>
  <c r="P38" i="3"/>
  <c r="P40" i="3"/>
  <c r="O39" i="3"/>
  <c r="P35" i="3"/>
  <c r="O34" i="3"/>
  <c r="O27" i="3"/>
  <c r="G385" i="3"/>
  <c r="H337" i="3"/>
  <c r="K274" i="15"/>
  <c r="K267" i="15"/>
  <c r="K269" i="15"/>
  <c r="K278" i="15"/>
  <c r="K247" i="15"/>
  <c r="K241" i="15"/>
  <c r="K242" i="15"/>
  <c r="L2" i="15"/>
  <c r="L274" i="15"/>
  <c r="L267" i="15"/>
  <c r="I279" i="15"/>
  <c r="J257" i="15"/>
  <c r="N24" i="3"/>
  <c r="O72" i="3"/>
  <c r="O69" i="3"/>
  <c r="N74" i="3"/>
  <c r="AB29" i="4"/>
  <c r="Z216" i="3"/>
  <c r="Y250" i="3"/>
  <c r="N75" i="3"/>
  <c r="N25" i="3"/>
  <c r="N77" i="3"/>
  <c r="N26" i="3"/>
  <c r="N78" i="3"/>
  <c r="N23" i="3"/>
  <c r="O70" i="3"/>
  <c r="X177" i="3"/>
  <c r="X184" i="3"/>
  <c r="B467" i="16"/>
  <c r="B477" i="16"/>
  <c r="B482" i="16"/>
  <c r="B489" i="16"/>
  <c r="B498" i="16"/>
  <c r="B505" i="16"/>
  <c r="B514" i="16"/>
  <c r="A588" i="16"/>
  <c r="Q271" i="4"/>
  <c r="P190" i="3"/>
  <c r="Z90" i="3"/>
  <c r="P76" i="3"/>
  <c r="P71" i="3"/>
  <c r="P37" i="3"/>
  <c r="P27" i="3"/>
  <c r="P34" i="3"/>
  <c r="P39" i="3"/>
  <c r="Q35" i="3"/>
  <c r="Q40" i="3"/>
  <c r="Q38" i="3"/>
  <c r="H385" i="3"/>
  <c r="J279" i="15"/>
  <c r="K257" i="15"/>
  <c r="L268" i="15"/>
  <c r="L356" i="3"/>
  <c r="L269" i="15"/>
  <c r="L278" i="15"/>
  <c r="L247" i="15"/>
  <c r="L241" i="15"/>
  <c r="L363" i="17"/>
  <c r="L463" i="17"/>
  <c r="L471" i="17"/>
  <c r="M2" i="15"/>
  <c r="M224" i="15"/>
  <c r="M11" i="15"/>
  <c r="I337" i="3"/>
  <c r="O24" i="3"/>
  <c r="P72" i="3"/>
  <c r="P69" i="3"/>
  <c r="L364" i="17"/>
  <c r="L446" i="17"/>
  <c r="L454" i="17"/>
  <c r="O74" i="3"/>
  <c r="Z250" i="3"/>
  <c r="AA216" i="3"/>
  <c r="Q72" i="3"/>
  <c r="O78" i="3"/>
  <c r="O77" i="3"/>
  <c r="O25" i="3"/>
  <c r="O75" i="3"/>
  <c r="O26" i="3"/>
  <c r="O23" i="3"/>
  <c r="P70" i="3"/>
  <c r="Y177" i="3"/>
  <c r="Y184" i="3"/>
  <c r="B524" i="16"/>
  <c r="B535" i="16"/>
  <c r="B540" i="16"/>
  <c r="A597" i="16"/>
  <c r="Q190" i="3"/>
  <c r="R271" i="4"/>
  <c r="AA90" i="3"/>
  <c r="Q76" i="3"/>
  <c r="Q71" i="3"/>
  <c r="Q69" i="3"/>
  <c r="Q34" i="3"/>
  <c r="Q27" i="3"/>
  <c r="R40" i="3"/>
  <c r="Q39" i="3"/>
  <c r="R38" i="3"/>
  <c r="R35" i="3"/>
  <c r="Q37" i="3"/>
  <c r="I385" i="3"/>
  <c r="K279" i="15"/>
  <c r="L257" i="15"/>
  <c r="M274" i="15"/>
  <c r="M267" i="15"/>
  <c r="M269" i="15"/>
  <c r="M278" i="15"/>
  <c r="M188" i="15"/>
  <c r="M229" i="15"/>
  <c r="M223" i="15"/>
  <c r="M193" i="15"/>
  <c r="M187" i="15"/>
  <c r="M168" i="15"/>
  <c r="M362" i="3"/>
  <c r="M133" i="15"/>
  <c r="M126" i="15"/>
  <c r="M131" i="15"/>
  <c r="N2" i="15"/>
  <c r="N274" i="15"/>
  <c r="N267" i="15"/>
  <c r="M127" i="15"/>
  <c r="H274" i="15"/>
  <c r="H267" i="15"/>
  <c r="P24" i="3"/>
  <c r="R72" i="3"/>
  <c r="P74" i="3"/>
  <c r="Q70" i="3"/>
  <c r="AA250" i="3"/>
  <c r="P26" i="3"/>
  <c r="P75" i="3"/>
  <c r="P25" i="3"/>
  <c r="P77" i="3"/>
  <c r="P78" i="3"/>
  <c r="P23" i="3"/>
  <c r="J337" i="3"/>
  <c r="J385" i="3"/>
  <c r="M355" i="3"/>
  <c r="M363" i="17"/>
  <c r="M463" i="17"/>
  <c r="M471" i="17"/>
  <c r="Z177" i="3"/>
  <c r="Z184" i="3"/>
  <c r="B550" i="16"/>
  <c r="B560" i="16"/>
  <c r="B569" i="16"/>
  <c r="B582" i="16"/>
  <c r="S271" i="4"/>
  <c r="R190" i="3"/>
  <c r="R69" i="3"/>
  <c r="R71" i="3"/>
  <c r="R76" i="3"/>
  <c r="R39" i="3"/>
  <c r="R27" i="3"/>
  <c r="R37" i="3"/>
  <c r="S35" i="3"/>
  <c r="S38" i="3"/>
  <c r="S40" i="3"/>
  <c r="R34" i="3"/>
  <c r="M337" i="3"/>
  <c r="N247" i="15"/>
  <c r="N241" i="15"/>
  <c r="N173" i="15"/>
  <c r="N167" i="15"/>
  <c r="N153" i="15"/>
  <c r="N147" i="15"/>
  <c r="N128" i="15"/>
  <c r="N127" i="15"/>
  <c r="O2" i="15"/>
  <c r="O211" i="15"/>
  <c r="O205" i="15"/>
  <c r="M134" i="15"/>
  <c r="L279" i="15"/>
  <c r="M257" i="15"/>
  <c r="M132" i="15"/>
  <c r="Q24" i="3"/>
  <c r="R70" i="3"/>
  <c r="S72" i="3"/>
  <c r="Q74" i="3"/>
  <c r="Q25" i="3"/>
  <c r="Q78" i="3"/>
  <c r="Q77" i="3"/>
  <c r="Q75" i="3"/>
  <c r="Q26" i="3"/>
  <c r="Q23" i="3"/>
  <c r="N337" i="3"/>
  <c r="N385" i="3"/>
  <c r="K337" i="3"/>
  <c r="K385" i="3"/>
  <c r="AA177" i="3"/>
  <c r="AA184" i="3"/>
  <c r="B590" i="16"/>
  <c r="B599" i="16"/>
  <c r="S190" i="3"/>
  <c r="T271" i="4"/>
  <c r="S76" i="3"/>
  <c r="S71" i="3"/>
  <c r="S69" i="3"/>
  <c r="T40" i="3"/>
  <c r="T38" i="3"/>
  <c r="S27" i="3"/>
  <c r="S34" i="3"/>
  <c r="T35" i="3"/>
  <c r="S37" i="3"/>
  <c r="S39" i="3"/>
  <c r="M385" i="3"/>
  <c r="N131" i="15"/>
  <c r="N133" i="15"/>
  <c r="M279" i="15"/>
  <c r="N257" i="15"/>
  <c r="O274" i="15"/>
  <c r="O267" i="15"/>
  <c r="O229" i="15"/>
  <c r="O223" i="15"/>
  <c r="O153" i="15"/>
  <c r="O147" i="15"/>
  <c r="R24" i="3"/>
  <c r="S70" i="3"/>
  <c r="T72" i="3"/>
  <c r="O337" i="3"/>
  <c r="O385" i="3"/>
  <c r="R74" i="3"/>
  <c r="R78" i="3"/>
  <c r="R25" i="3"/>
  <c r="R75" i="3"/>
  <c r="R26" i="3"/>
  <c r="R77" i="3"/>
  <c r="R23" i="3"/>
  <c r="L337" i="3"/>
  <c r="L385" i="3"/>
  <c r="U271" i="4"/>
  <c r="T190" i="3"/>
  <c r="T69" i="3"/>
  <c r="T71" i="3"/>
  <c r="T76" i="3"/>
  <c r="T37" i="3"/>
  <c r="T27" i="3"/>
  <c r="U38" i="3"/>
  <c r="T39" i="3"/>
  <c r="U35" i="3"/>
  <c r="T34" i="3"/>
  <c r="U40" i="3"/>
  <c r="O257" i="15"/>
  <c r="N279" i="15"/>
  <c r="I247" i="15"/>
  <c r="I241" i="15"/>
  <c r="I274" i="15"/>
  <c r="I267" i="15"/>
  <c r="S24" i="3"/>
  <c r="T70" i="3"/>
  <c r="U72" i="3"/>
  <c r="S74" i="3"/>
  <c r="S77" i="3"/>
  <c r="S75" i="3"/>
  <c r="S78" i="3"/>
  <c r="S26" i="3"/>
  <c r="S25" i="3"/>
  <c r="S23" i="3"/>
  <c r="P337" i="3"/>
  <c r="P385" i="3"/>
  <c r="U190" i="3"/>
  <c r="V271" i="4"/>
  <c r="J370" i="17"/>
  <c r="V72" i="3"/>
  <c r="U76" i="3"/>
  <c r="U69" i="3"/>
  <c r="U70" i="3"/>
  <c r="U71" i="3"/>
  <c r="V40" i="3"/>
  <c r="U39" i="3"/>
  <c r="V35" i="3"/>
  <c r="U34" i="3"/>
  <c r="V38" i="3"/>
  <c r="U27" i="3"/>
  <c r="U37" i="3"/>
  <c r="O279" i="15"/>
  <c r="P257" i="15"/>
  <c r="T24" i="3"/>
  <c r="T74" i="3"/>
  <c r="T25" i="3"/>
  <c r="T78" i="3"/>
  <c r="T77" i="3"/>
  <c r="T26" i="3"/>
  <c r="T75" i="3"/>
  <c r="T23" i="3"/>
  <c r="Q337" i="3"/>
  <c r="Q385" i="3"/>
  <c r="W271" i="4"/>
  <c r="V190" i="3"/>
  <c r="V70" i="3"/>
  <c r="V76" i="3"/>
  <c r="V71" i="3"/>
  <c r="V69" i="3"/>
  <c r="W72" i="3"/>
  <c r="V37" i="3"/>
  <c r="V27" i="3"/>
  <c r="V34" i="3"/>
  <c r="W35" i="3"/>
  <c r="W38" i="3"/>
  <c r="V39" i="3"/>
  <c r="W40" i="3"/>
  <c r="P279" i="15"/>
  <c r="Q257" i="15"/>
  <c r="U24" i="3"/>
  <c r="U74" i="3"/>
  <c r="U75" i="3"/>
  <c r="U25" i="3"/>
  <c r="U77" i="3"/>
  <c r="U78" i="3"/>
  <c r="U26" i="3"/>
  <c r="U23" i="3"/>
  <c r="R337" i="3"/>
  <c r="R385" i="3"/>
  <c r="W190" i="3"/>
  <c r="X271" i="4"/>
  <c r="W71" i="3"/>
  <c r="W70" i="3"/>
  <c r="X72" i="3"/>
  <c r="W69" i="3"/>
  <c r="W76" i="3"/>
  <c r="X35" i="3"/>
  <c r="W34" i="3"/>
  <c r="W27" i="3"/>
  <c r="X40" i="3"/>
  <c r="W39" i="3"/>
  <c r="X38" i="3"/>
  <c r="W37" i="3"/>
  <c r="J274" i="15"/>
  <c r="J267" i="15"/>
  <c r="J247" i="15"/>
  <c r="J241" i="15"/>
  <c r="Q279" i="15"/>
  <c r="R257" i="15"/>
  <c r="V24" i="3"/>
  <c r="V74" i="3"/>
  <c r="V26" i="3"/>
  <c r="V78" i="3"/>
  <c r="V75" i="3"/>
  <c r="V77" i="3"/>
  <c r="V25" i="3"/>
  <c r="V23" i="3"/>
  <c r="S337" i="3"/>
  <c r="S385" i="3"/>
  <c r="Y271" i="4"/>
  <c r="X190" i="3"/>
  <c r="J242" i="15"/>
  <c r="J164" i="13"/>
  <c r="X76" i="3"/>
  <c r="X69" i="3"/>
  <c r="X70" i="3"/>
  <c r="Y72" i="3"/>
  <c r="X71" i="3"/>
  <c r="X27" i="3"/>
  <c r="Y35" i="3"/>
  <c r="X37" i="3"/>
  <c r="Y38" i="3"/>
  <c r="X39" i="3"/>
  <c r="Y40" i="3"/>
  <c r="X34" i="3"/>
  <c r="L167" i="15"/>
  <c r="S257" i="15"/>
  <c r="R279" i="15"/>
  <c r="W24" i="3"/>
  <c r="W74" i="3"/>
  <c r="W26" i="3"/>
  <c r="W25" i="3"/>
  <c r="W77" i="3"/>
  <c r="W75" i="3"/>
  <c r="W78" i="3"/>
  <c r="W23" i="3"/>
  <c r="T337" i="3"/>
  <c r="T385" i="3"/>
  <c r="Y190" i="3"/>
  <c r="Z271" i="4"/>
  <c r="Y71" i="3"/>
  <c r="Z72" i="3"/>
  <c r="Y70" i="3"/>
  <c r="Y69" i="3"/>
  <c r="Y76" i="3"/>
  <c r="Z40" i="3"/>
  <c r="Z38" i="3"/>
  <c r="Y27" i="3"/>
  <c r="Y34" i="3"/>
  <c r="Y39" i="3"/>
  <c r="Y37" i="3"/>
  <c r="Z35" i="3"/>
  <c r="S279" i="15"/>
  <c r="T257" i="15"/>
  <c r="X24" i="3"/>
  <c r="X74" i="3"/>
  <c r="X78" i="3"/>
  <c r="X75" i="3"/>
  <c r="X77" i="3"/>
  <c r="X26" i="3"/>
  <c r="X25" i="3"/>
  <c r="X23" i="3"/>
  <c r="U337" i="3"/>
  <c r="U385" i="3"/>
  <c r="L370" i="17"/>
  <c r="AB271" i="4"/>
  <c r="AA271" i="4"/>
  <c r="Z190" i="3"/>
  <c r="Z76" i="3"/>
  <c r="AA92" i="3"/>
  <c r="Z69" i="3"/>
  <c r="AA72" i="3"/>
  <c r="Z71" i="3"/>
  <c r="Z70" i="3"/>
  <c r="AA35" i="3"/>
  <c r="Z37" i="3"/>
  <c r="Z39" i="3"/>
  <c r="Z27" i="3"/>
  <c r="AA38" i="3"/>
  <c r="Z34" i="3"/>
  <c r="AA40" i="3"/>
  <c r="T279" i="15"/>
  <c r="U257" i="15"/>
  <c r="M173" i="15"/>
  <c r="M167" i="15"/>
  <c r="Y24" i="3"/>
  <c r="Y74" i="3"/>
  <c r="Y26" i="3"/>
  <c r="Y25" i="3"/>
  <c r="Y77" i="3"/>
  <c r="Y78" i="3"/>
  <c r="Y75" i="3"/>
  <c r="Y23" i="3"/>
  <c r="V337" i="3"/>
  <c r="V385" i="3"/>
  <c r="AA190" i="3"/>
  <c r="AA71" i="3"/>
  <c r="AA70" i="3"/>
  <c r="AA69" i="3"/>
  <c r="AA76" i="3"/>
  <c r="AA39" i="3"/>
  <c r="AA34" i="3"/>
  <c r="AA27" i="3"/>
  <c r="AA37" i="3"/>
  <c r="U279" i="15"/>
  <c r="V257" i="15"/>
  <c r="Z24" i="3"/>
  <c r="Z74" i="3"/>
  <c r="Z77" i="3"/>
  <c r="Z25" i="3"/>
  <c r="Z75" i="3"/>
  <c r="Z78" i="3"/>
  <c r="Z26" i="3"/>
  <c r="Z23" i="3"/>
  <c r="W337" i="3"/>
  <c r="W385" i="3"/>
  <c r="V279" i="15"/>
  <c r="W257" i="15"/>
  <c r="O168" i="15"/>
  <c r="O370" i="17"/>
  <c r="O224" i="15"/>
  <c r="AA24" i="3"/>
  <c r="AA74" i="3"/>
  <c r="AA75" i="3"/>
  <c r="AA25" i="3"/>
  <c r="AA26" i="3"/>
  <c r="AA78" i="3"/>
  <c r="AA77" i="3"/>
  <c r="AA23" i="3"/>
  <c r="X337" i="3"/>
  <c r="X385" i="3"/>
  <c r="O362" i="3"/>
  <c r="W279" i="15"/>
  <c r="X257" i="15"/>
  <c r="L147" i="15"/>
  <c r="Y337" i="3"/>
  <c r="Y385" i="3"/>
  <c r="M242" i="15"/>
  <c r="M358" i="3"/>
  <c r="M164" i="13"/>
  <c r="X279" i="15"/>
  <c r="Y257" i="15"/>
  <c r="Z337" i="3"/>
  <c r="Z385" i="3"/>
  <c r="Y279" i="15"/>
  <c r="Z257" i="15"/>
  <c r="O188" i="15"/>
  <c r="AA337" i="3"/>
  <c r="AA385" i="3"/>
  <c r="O355" i="3"/>
  <c r="O363" i="17"/>
  <c r="Z279" i="15"/>
  <c r="AA257" i="15"/>
  <c r="AA279" i="15"/>
  <c r="M153" i="15"/>
  <c r="M147" i="15"/>
  <c r="O463" i="17"/>
  <c r="O471" i="17"/>
  <c r="O268" i="15"/>
  <c r="O364" i="17"/>
  <c r="O269" i="15"/>
  <c r="O278" i="15"/>
  <c r="O446" i="17"/>
  <c r="O454" i="17"/>
  <c r="F411" i="3"/>
  <c r="E16" i="14"/>
  <c r="F16" i="14"/>
  <c r="G16" i="14"/>
  <c r="H16" i="14"/>
  <c r="I16" i="14"/>
  <c r="D16" i="14"/>
  <c r="F10" i="14"/>
  <c r="G10" i="14"/>
  <c r="H10" i="14"/>
  <c r="I10" i="14"/>
  <c r="J10" i="14"/>
  <c r="CA9" i="14"/>
  <c r="BO9" i="14"/>
  <c r="BC9" i="14"/>
  <c r="AQ9" i="14"/>
  <c r="AE9" i="14"/>
  <c r="B1" i="14"/>
  <c r="G19" i="6"/>
  <c r="G27" i="6"/>
  <c r="G81" i="6"/>
  <c r="G74" i="6"/>
  <c r="G67" i="6"/>
  <c r="G59" i="6"/>
  <c r="G52" i="6"/>
  <c r="G45" i="6"/>
  <c r="G35" i="6"/>
  <c r="G84" i="6"/>
  <c r="A95" i="13"/>
  <c r="E170" i="13"/>
  <c r="D11" i="13"/>
  <c r="E11" i="13"/>
  <c r="D12" i="13"/>
  <c r="E12" i="13"/>
  <c r="G12" i="13"/>
  <c r="H12" i="13"/>
  <c r="I12" i="13"/>
  <c r="J12" i="13"/>
  <c r="K12" i="13"/>
  <c r="L12" i="13"/>
  <c r="M12" i="13"/>
  <c r="N12" i="13"/>
  <c r="O12" i="13"/>
  <c r="P12" i="13"/>
  <c r="Q12" i="13"/>
  <c r="R12" i="13"/>
  <c r="S12" i="13"/>
  <c r="T12" i="13"/>
  <c r="D13" i="13"/>
  <c r="E13" i="13"/>
  <c r="D14" i="13"/>
  <c r="E14" i="13"/>
  <c r="G14" i="13"/>
  <c r="H14" i="13"/>
  <c r="I14" i="13"/>
  <c r="J14" i="13"/>
  <c r="K14" i="13"/>
  <c r="L14" i="13"/>
  <c r="M14" i="13"/>
  <c r="N14" i="13"/>
  <c r="O14" i="13"/>
  <c r="P14" i="13"/>
  <c r="Q14" i="13"/>
  <c r="R14" i="13"/>
  <c r="S14" i="13"/>
  <c r="T14" i="13"/>
  <c r="D15" i="13"/>
  <c r="E15" i="13"/>
  <c r="D16" i="13"/>
  <c r="E16" i="13"/>
  <c r="G16" i="13"/>
  <c r="H16" i="13"/>
  <c r="I16" i="13"/>
  <c r="J16" i="13"/>
  <c r="K16" i="13"/>
  <c r="L16" i="13"/>
  <c r="M16" i="13"/>
  <c r="N16" i="13"/>
  <c r="O16" i="13"/>
  <c r="P16" i="13"/>
  <c r="Q16" i="13"/>
  <c r="R16" i="13"/>
  <c r="S16" i="13"/>
  <c r="T16" i="13"/>
  <c r="D18" i="13"/>
  <c r="E18" i="13"/>
  <c r="D19" i="13"/>
  <c r="E19" i="13"/>
  <c r="D20" i="13"/>
  <c r="E20" i="13"/>
  <c r="D21" i="13"/>
  <c r="E21" i="13"/>
  <c r="D22" i="13"/>
  <c r="E22" i="13"/>
  <c r="D23" i="13"/>
  <c r="E23" i="13"/>
  <c r="G23" i="13"/>
  <c r="H23" i="13"/>
  <c r="I23" i="13"/>
  <c r="J23" i="13"/>
  <c r="K23" i="13"/>
  <c r="L23" i="13"/>
  <c r="M23" i="13"/>
  <c r="N23" i="13"/>
  <c r="O23" i="13"/>
  <c r="P23" i="13"/>
  <c r="Q23" i="13"/>
  <c r="R23" i="13"/>
  <c r="S23" i="13"/>
  <c r="T23" i="13"/>
  <c r="D24" i="13"/>
  <c r="E24" i="13"/>
  <c r="D25" i="13"/>
  <c r="E25" i="13"/>
  <c r="D26" i="13"/>
  <c r="E26" i="13"/>
  <c r="D27" i="13"/>
  <c r="E27" i="13"/>
  <c r="D28" i="13"/>
  <c r="E28" i="13"/>
  <c r="D29" i="13"/>
  <c r="E29" i="13"/>
  <c r="G29" i="13"/>
  <c r="H29" i="13"/>
  <c r="I29" i="13"/>
  <c r="J29" i="13"/>
  <c r="K29" i="13"/>
  <c r="L29" i="13"/>
  <c r="M29" i="13"/>
  <c r="N29" i="13"/>
  <c r="O29" i="13"/>
  <c r="P29" i="13"/>
  <c r="Q29" i="13"/>
  <c r="R29" i="13"/>
  <c r="S29" i="13"/>
  <c r="T29" i="13"/>
  <c r="D31" i="13"/>
  <c r="E31" i="13"/>
  <c r="D32" i="13"/>
  <c r="E32" i="13"/>
  <c r="D33" i="13"/>
  <c r="E33" i="13"/>
  <c r="D34" i="13"/>
  <c r="E34" i="13"/>
  <c r="D35" i="13"/>
  <c r="E35" i="13"/>
  <c r="D36" i="13"/>
  <c r="E36" i="13"/>
  <c r="G36" i="13"/>
  <c r="H36" i="13"/>
  <c r="I36" i="13"/>
  <c r="J36" i="13"/>
  <c r="K36" i="13"/>
  <c r="L36" i="13"/>
  <c r="M36" i="13"/>
  <c r="N36" i="13"/>
  <c r="O36" i="13"/>
  <c r="P36" i="13"/>
  <c r="Q36" i="13"/>
  <c r="R36" i="13"/>
  <c r="S36" i="13"/>
  <c r="T36" i="13"/>
  <c r="D38" i="13"/>
  <c r="E38" i="13"/>
  <c r="D39" i="13"/>
  <c r="E39" i="13"/>
  <c r="G39" i="13"/>
  <c r="H39" i="13"/>
  <c r="I39" i="13"/>
  <c r="J39" i="13"/>
  <c r="K39" i="13"/>
  <c r="L39" i="13"/>
  <c r="M39" i="13"/>
  <c r="N39" i="13"/>
  <c r="O39" i="13"/>
  <c r="P39" i="13"/>
  <c r="Q39" i="13"/>
  <c r="R39" i="13"/>
  <c r="S39" i="13"/>
  <c r="T39" i="13"/>
  <c r="D40" i="13"/>
  <c r="E40" i="13"/>
  <c r="D41" i="13"/>
  <c r="E41" i="13"/>
  <c r="G41" i="13"/>
  <c r="H41" i="13"/>
  <c r="I41" i="13"/>
  <c r="J41" i="13"/>
  <c r="K41" i="13"/>
  <c r="L41" i="13"/>
  <c r="M41" i="13"/>
  <c r="N41" i="13"/>
  <c r="O41" i="13"/>
  <c r="P41" i="13"/>
  <c r="Q41" i="13"/>
  <c r="R41" i="13"/>
  <c r="S41" i="13"/>
  <c r="T41" i="13"/>
  <c r="D43" i="13"/>
  <c r="E43" i="13"/>
  <c r="D44" i="13"/>
  <c r="E44" i="13"/>
  <c r="D45" i="13"/>
  <c r="E45" i="13"/>
  <c r="G45" i="13"/>
  <c r="H45" i="13"/>
  <c r="I45" i="13"/>
  <c r="J45" i="13"/>
  <c r="K45" i="13"/>
  <c r="L45" i="13"/>
  <c r="M45" i="13"/>
  <c r="N45" i="13"/>
  <c r="O45" i="13"/>
  <c r="P45" i="13"/>
  <c r="Q45" i="13"/>
  <c r="R45" i="13"/>
  <c r="S45" i="13"/>
  <c r="T45" i="13"/>
  <c r="D46" i="13"/>
  <c r="E46" i="13"/>
  <c r="D47" i="13"/>
  <c r="E47" i="13"/>
  <c r="G47" i="13"/>
  <c r="H47" i="13"/>
  <c r="I47" i="13"/>
  <c r="J47" i="13"/>
  <c r="K47" i="13"/>
  <c r="L47" i="13"/>
  <c r="M47" i="13"/>
  <c r="N47" i="13"/>
  <c r="O47" i="13"/>
  <c r="P47" i="13"/>
  <c r="Q47" i="13"/>
  <c r="R47" i="13"/>
  <c r="S47" i="13"/>
  <c r="T47" i="13"/>
  <c r="D49" i="13"/>
  <c r="E49" i="13"/>
  <c r="D50" i="13"/>
  <c r="E50" i="13"/>
  <c r="G50" i="13"/>
  <c r="H50" i="13"/>
  <c r="I50" i="13"/>
  <c r="J50" i="13"/>
  <c r="K50" i="13"/>
  <c r="L50" i="13"/>
  <c r="M50" i="13"/>
  <c r="N50" i="13"/>
  <c r="O50" i="13"/>
  <c r="P50" i="13"/>
  <c r="Q50" i="13"/>
  <c r="R50" i="13"/>
  <c r="S50" i="13"/>
  <c r="T50" i="13"/>
  <c r="D52" i="13"/>
  <c r="E52" i="13"/>
  <c r="D53" i="13"/>
  <c r="E53" i="13"/>
  <c r="D54" i="13"/>
  <c r="E54" i="13"/>
  <c r="G54" i="13"/>
  <c r="H54" i="13"/>
  <c r="I54" i="13"/>
  <c r="J54" i="13"/>
  <c r="K54" i="13"/>
  <c r="L54" i="13"/>
  <c r="M54" i="13"/>
  <c r="N54" i="13"/>
  <c r="O54" i="13"/>
  <c r="P54" i="13"/>
  <c r="Q54" i="13"/>
  <c r="R54" i="13"/>
  <c r="S54" i="13"/>
  <c r="T54" i="13"/>
  <c r="D55" i="13"/>
  <c r="E55" i="13"/>
  <c r="G55" i="13"/>
  <c r="H55" i="13"/>
  <c r="I55" i="13"/>
  <c r="J55" i="13"/>
  <c r="K55" i="13"/>
  <c r="L55" i="13"/>
  <c r="M55" i="13"/>
  <c r="N55" i="13"/>
  <c r="O55" i="13"/>
  <c r="P55" i="13"/>
  <c r="Q55" i="13"/>
  <c r="R55" i="13"/>
  <c r="S55" i="13"/>
  <c r="T55" i="13"/>
  <c r="D56" i="13"/>
  <c r="E56" i="13"/>
  <c r="D57" i="13"/>
  <c r="E57" i="13"/>
  <c r="G57" i="13"/>
  <c r="H57" i="13"/>
  <c r="I57" i="13"/>
  <c r="J57" i="13"/>
  <c r="K57" i="13"/>
  <c r="L57" i="13"/>
  <c r="M57" i="13"/>
  <c r="N57" i="13"/>
  <c r="O57" i="13"/>
  <c r="P57" i="13"/>
  <c r="Q57" i="13"/>
  <c r="R57" i="13"/>
  <c r="S57" i="13"/>
  <c r="T57" i="13"/>
  <c r="D58" i="13"/>
  <c r="E58" i="13"/>
  <c r="D59" i="13"/>
  <c r="E59" i="13"/>
  <c r="D60" i="13"/>
  <c r="E60" i="13"/>
  <c r="F60" i="13"/>
  <c r="G60" i="13"/>
  <c r="H60" i="13"/>
  <c r="I60" i="13"/>
  <c r="J60" i="13"/>
  <c r="K60" i="13"/>
  <c r="L60" i="13"/>
  <c r="M60" i="13"/>
  <c r="N60" i="13"/>
  <c r="O60" i="13"/>
  <c r="P60" i="13"/>
  <c r="Q60" i="13"/>
  <c r="R60" i="13"/>
  <c r="S60" i="13"/>
  <c r="T60" i="13"/>
  <c r="D62" i="13"/>
  <c r="E62" i="13"/>
  <c r="D63" i="13"/>
  <c r="E63" i="13"/>
  <c r="G63" i="13"/>
  <c r="H63" i="13"/>
  <c r="I63" i="13"/>
  <c r="J63" i="13"/>
  <c r="K63" i="13"/>
  <c r="L63" i="13"/>
  <c r="M63" i="13"/>
  <c r="N63" i="13"/>
  <c r="O63" i="13"/>
  <c r="P63" i="13"/>
  <c r="Q63" i="13"/>
  <c r="R63" i="13"/>
  <c r="S63" i="13"/>
  <c r="T63" i="13"/>
  <c r="D64" i="13"/>
  <c r="E64" i="13"/>
  <c r="D65" i="13"/>
  <c r="E65" i="13"/>
  <c r="G65" i="13"/>
  <c r="H65" i="13"/>
  <c r="I65" i="13"/>
  <c r="J65" i="13"/>
  <c r="K65" i="13"/>
  <c r="L65" i="13"/>
  <c r="M65" i="13"/>
  <c r="N65" i="13"/>
  <c r="O65" i="13"/>
  <c r="P65" i="13"/>
  <c r="Q65" i="13"/>
  <c r="R65" i="13"/>
  <c r="S65" i="13"/>
  <c r="T65" i="13"/>
  <c r="D66" i="13"/>
  <c r="E66" i="13"/>
  <c r="B99" i="13"/>
  <c r="D100" i="13"/>
  <c r="E100" i="13"/>
  <c r="D101" i="13"/>
  <c r="E101" i="13"/>
  <c r="D102" i="13"/>
  <c r="E102" i="13"/>
  <c r="D104" i="13"/>
  <c r="E104" i="13"/>
  <c r="D105" i="13"/>
  <c r="E105" i="13"/>
  <c r="G105" i="13"/>
  <c r="H105" i="13"/>
  <c r="I105" i="13"/>
  <c r="J105" i="13"/>
  <c r="K105" i="13"/>
  <c r="L105" i="13"/>
  <c r="M105" i="13"/>
  <c r="N105" i="13"/>
  <c r="O105" i="13"/>
  <c r="P105" i="13"/>
  <c r="Q105" i="13"/>
  <c r="R105" i="13"/>
  <c r="S105" i="13"/>
  <c r="T105" i="13"/>
  <c r="D106" i="13"/>
  <c r="D107" i="13"/>
  <c r="E107" i="13"/>
  <c r="G107" i="13"/>
  <c r="H107" i="13"/>
  <c r="I107" i="13"/>
  <c r="J107" i="13"/>
  <c r="K107" i="13"/>
  <c r="L107" i="13"/>
  <c r="M107" i="13"/>
  <c r="N107" i="13"/>
  <c r="O107" i="13"/>
  <c r="P107" i="13"/>
  <c r="Q107" i="13"/>
  <c r="R107" i="13"/>
  <c r="S107" i="13"/>
  <c r="T107" i="13"/>
  <c r="D108" i="13"/>
  <c r="E108" i="13"/>
  <c r="D110" i="13"/>
  <c r="E110" i="13"/>
  <c r="D111" i="13"/>
  <c r="E111" i="13"/>
  <c r="G111" i="13"/>
  <c r="H111" i="13"/>
  <c r="I111" i="13"/>
  <c r="J111" i="13"/>
  <c r="K111" i="13"/>
  <c r="L111" i="13"/>
  <c r="M111" i="13"/>
  <c r="N111" i="13"/>
  <c r="O111" i="13"/>
  <c r="P111" i="13"/>
  <c r="Q111" i="13"/>
  <c r="R111" i="13"/>
  <c r="S111" i="13"/>
  <c r="T111" i="13"/>
  <c r="D113" i="13"/>
  <c r="E113" i="13"/>
  <c r="D114" i="13"/>
  <c r="E114" i="13"/>
  <c r="D115" i="13"/>
  <c r="E115" i="13"/>
  <c r="D116" i="13"/>
  <c r="E116" i="13"/>
  <c r="G116" i="13"/>
  <c r="H116" i="13"/>
  <c r="I116" i="13"/>
  <c r="J116" i="13"/>
  <c r="K116" i="13"/>
  <c r="L116" i="13"/>
  <c r="M116" i="13"/>
  <c r="N116" i="13"/>
  <c r="O116" i="13"/>
  <c r="P116" i="13"/>
  <c r="Q116" i="13"/>
  <c r="R116" i="13"/>
  <c r="S116" i="13"/>
  <c r="T116" i="13"/>
  <c r="D117" i="13"/>
  <c r="E117" i="13"/>
  <c r="G117" i="13"/>
  <c r="H117" i="13"/>
  <c r="I117" i="13"/>
  <c r="J117" i="13"/>
  <c r="K117" i="13"/>
  <c r="L117" i="13"/>
  <c r="M117" i="13"/>
  <c r="N117" i="13"/>
  <c r="O117" i="13"/>
  <c r="P117" i="13"/>
  <c r="Q117" i="13"/>
  <c r="R117" i="13"/>
  <c r="S117" i="13"/>
  <c r="T117" i="13"/>
  <c r="D118" i="13"/>
  <c r="E118" i="13"/>
  <c r="D119" i="13"/>
  <c r="E119" i="13"/>
  <c r="D120" i="13"/>
  <c r="E120" i="13"/>
  <c r="D121" i="13"/>
  <c r="E121" i="13"/>
  <c r="D122" i="13"/>
  <c r="E122" i="13"/>
  <c r="G122" i="13"/>
  <c r="H122" i="13"/>
  <c r="I122" i="13"/>
  <c r="J122" i="13"/>
  <c r="K122" i="13"/>
  <c r="L122" i="13"/>
  <c r="M122" i="13"/>
  <c r="N122" i="13"/>
  <c r="O122" i="13"/>
  <c r="P122" i="13"/>
  <c r="Q122" i="13"/>
  <c r="R122" i="13"/>
  <c r="S122" i="13"/>
  <c r="T122" i="13"/>
  <c r="D123" i="13"/>
  <c r="E123" i="13"/>
  <c r="D124" i="13"/>
  <c r="E124" i="13"/>
  <c r="G124" i="13"/>
  <c r="H124" i="13"/>
  <c r="I124" i="13"/>
  <c r="J124" i="13"/>
  <c r="K124" i="13"/>
  <c r="L124" i="13"/>
  <c r="M124" i="13"/>
  <c r="N124" i="13"/>
  <c r="O124" i="13"/>
  <c r="P124" i="13"/>
  <c r="Q124" i="13"/>
  <c r="R124" i="13"/>
  <c r="S124" i="13"/>
  <c r="T124" i="13"/>
  <c r="D126" i="13"/>
  <c r="D127" i="13"/>
  <c r="E127" i="13"/>
  <c r="D128" i="13"/>
  <c r="E128" i="13"/>
  <c r="D129" i="13"/>
  <c r="E129" i="13"/>
  <c r="G129" i="13"/>
  <c r="H129" i="13"/>
  <c r="I129" i="13"/>
  <c r="J129" i="13"/>
  <c r="K129" i="13"/>
  <c r="L129" i="13"/>
  <c r="M129" i="13"/>
  <c r="N129" i="13"/>
  <c r="O129" i="13"/>
  <c r="P129" i="13"/>
  <c r="Q129" i="13"/>
  <c r="R129" i="13"/>
  <c r="S129" i="13"/>
  <c r="T129" i="13"/>
  <c r="D130" i="13"/>
  <c r="E130" i="13"/>
  <c r="D131" i="13"/>
  <c r="E131" i="13"/>
  <c r="G131" i="13"/>
  <c r="H131" i="13"/>
  <c r="I131" i="13"/>
  <c r="J131" i="13"/>
  <c r="K131" i="13"/>
  <c r="L131" i="13"/>
  <c r="M131" i="13"/>
  <c r="N131" i="13"/>
  <c r="O131" i="13"/>
  <c r="P131" i="13"/>
  <c r="Q131" i="13"/>
  <c r="R131" i="13"/>
  <c r="S131" i="13"/>
  <c r="T131" i="13"/>
  <c r="D133" i="13"/>
  <c r="E133" i="13"/>
  <c r="D134" i="13"/>
  <c r="E134" i="13"/>
  <c r="G134" i="13"/>
  <c r="H134" i="13"/>
  <c r="I134" i="13"/>
  <c r="J134" i="13"/>
  <c r="K134" i="13"/>
  <c r="L134" i="13"/>
  <c r="M134" i="13"/>
  <c r="N134" i="13"/>
  <c r="O134" i="13"/>
  <c r="P134" i="13"/>
  <c r="Q134" i="13"/>
  <c r="R134" i="13"/>
  <c r="S134" i="13"/>
  <c r="T134" i="13"/>
  <c r="D136" i="13"/>
  <c r="E136" i="13"/>
  <c r="D137" i="13"/>
  <c r="E137" i="13"/>
  <c r="D138" i="13"/>
  <c r="E138" i="13"/>
  <c r="D139" i="13"/>
  <c r="E139" i="13"/>
  <c r="D140" i="13"/>
  <c r="E140" i="13"/>
  <c r="M140" i="13"/>
  <c r="N140" i="13"/>
  <c r="O140" i="13"/>
  <c r="P140" i="13"/>
  <c r="Q140" i="13"/>
  <c r="R140" i="13"/>
  <c r="S140" i="13"/>
  <c r="T140" i="13"/>
  <c r="D141" i="13"/>
  <c r="E141" i="13"/>
  <c r="B143" i="13"/>
  <c r="D144" i="13"/>
  <c r="E144" i="13"/>
  <c r="D145" i="13"/>
  <c r="E145" i="13"/>
  <c r="D146" i="13"/>
  <c r="E146" i="13"/>
  <c r="G146" i="13"/>
  <c r="H146" i="13"/>
  <c r="I146" i="13"/>
  <c r="J146" i="13"/>
  <c r="K146" i="13"/>
  <c r="L146" i="13"/>
  <c r="M146" i="13"/>
  <c r="N146" i="13"/>
  <c r="O146" i="13"/>
  <c r="P146" i="13"/>
  <c r="Q146" i="13"/>
  <c r="R146" i="13"/>
  <c r="S146" i="13"/>
  <c r="T146" i="13"/>
  <c r="D148" i="13"/>
  <c r="E148" i="13"/>
  <c r="D150" i="13"/>
  <c r="E150" i="13"/>
  <c r="D151" i="13"/>
  <c r="E151" i="13"/>
  <c r="D152" i="13"/>
  <c r="E152" i="13"/>
  <c r="D154" i="13"/>
  <c r="E154" i="13"/>
  <c r="D156" i="13"/>
  <c r="E156" i="13"/>
  <c r="D157" i="13"/>
  <c r="E157" i="13"/>
  <c r="D158" i="13"/>
  <c r="E158" i="13"/>
  <c r="G158" i="13"/>
  <c r="H158" i="13"/>
  <c r="I158" i="13"/>
  <c r="J158" i="13"/>
  <c r="K158" i="13"/>
  <c r="L158" i="13"/>
  <c r="M158" i="13"/>
  <c r="N158" i="13"/>
  <c r="O158" i="13"/>
  <c r="P158" i="13"/>
  <c r="Q158" i="13"/>
  <c r="R158" i="13"/>
  <c r="S158" i="13"/>
  <c r="T158" i="13"/>
  <c r="D159" i="13"/>
  <c r="E159" i="13"/>
  <c r="D160" i="13"/>
  <c r="E160" i="13"/>
  <c r="G160" i="13"/>
  <c r="H160" i="13"/>
  <c r="I160" i="13"/>
  <c r="J160" i="13"/>
  <c r="K160" i="13"/>
  <c r="L160" i="13"/>
  <c r="M160" i="13"/>
  <c r="N160" i="13"/>
  <c r="O160" i="13"/>
  <c r="P160" i="13"/>
  <c r="Q160" i="13"/>
  <c r="R160" i="13"/>
  <c r="S160" i="13"/>
  <c r="T160" i="13"/>
  <c r="D161" i="13"/>
  <c r="E161" i="13"/>
  <c r="G161" i="13"/>
  <c r="H161" i="13"/>
  <c r="L161" i="13"/>
  <c r="M161" i="13"/>
  <c r="D162" i="13"/>
  <c r="E162" i="13"/>
  <c r="G162" i="13"/>
  <c r="H162" i="13"/>
  <c r="I162" i="13"/>
  <c r="J162" i="13"/>
  <c r="D163" i="13"/>
  <c r="E163" i="13"/>
  <c r="D164" i="13"/>
  <c r="E164" i="13"/>
  <c r="K164" i="13"/>
  <c r="D165" i="13"/>
  <c r="E165" i="13"/>
  <c r="G165" i="13"/>
  <c r="H165" i="13"/>
  <c r="I165" i="13"/>
  <c r="J165" i="13"/>
  <c r="K165" i="13"/>
  <c r="L165" i="13"/>
  <c r="M165" i="13"/>
  <c r="N165" i="13"/>
  <c r="O165" i="13"/>
  <c r="P165" i="13"/>
  <c r="Q165" i="13"/>
  <c r="R165" i="13"/>
  <c r="S165" i="13"/>
  <c r="T165" i="13"/>
  <c r="D166" i="13"/>
  <c r="E166" i="13"/>
  <c r="D167" i="13"/>
  <c r="E167" i="13"/>
  <c r="G167" i="13"/>
  <c r="H167" i="13"/>
  <c r="I167" i="13"/>
  <c r="J167" i="13"/>
  <c r="K167" i="13"/>
  <c r="L167" i="13"/>
  <c r="M167" i="13"/>
  <c r="N167" i="13"/>
  <c r="O167" i="13"/>
  <c r="P167" i="13"/>
  <c r="Q167" i="13"/>
  <c r="R167" i="13"/>
  <c r="S167" i="13"/>
  <c r="T167" i="13"/>
  <c r="D168" i="13"/>
  <c r="E168" i="13"/>
  <c r="G168" i="13"/>
  <c r="H168" i="13"/>
  <c r="J168" i="13"/>
  <c r="K168" i="13"/>
  <c r="L168" i="13"/>
  <c r="M168" i="13"/>
  <c r="O168" i="13"/>
  <c r="D170" i="13"/>
  <c r="B171" i="13"/>
  <c r="D171" i="13"/>
  <c r="E171" i="13"/>
  <c r="F171" i="13"/>
  <c r="H171" i="13"/>
  <c r="I171" i="13"/>
  <c r="J171" i="13"/>
  <c r="K171" i="13"/>
  <c r="L171" i="13"/>
  <c r="M171" i="13"/>
  <c r="N171" i="13"/>
  <c r="O171" i="13"/>
  <c r="P171" i="13"/>
  <c r="Q171" i="13"/>
  <c r="R171" i="13"/>
  <c r="S171" i="13"/>
  <c r="T171" i="13"/>
  <c r="L162" i="13"/>
  <c r="M455" i="3"/>
  <c r="K16" i="12"/>
  <c r="I14" i="12"/>
  <c r="J14" i="12"/>
  <c r="L14" i="12"/>
  <c r="I13" i="12"/>
  <c r="K13" i="12"/>
  <c r="K19" i="12"/>
  <c r="J19" i="12"/>
  <c r="L19" i="12"/>
  <c r="K18" i="12"/>
  <c r="J18" i="12"/>
  <c r="L18" i="12"/>
  <c r="K17" i="12"/>
  <c r="J17" i="12"/>
  <c r="L17" i="12"/>
  <c r="J16" i="12"/>
  <c r="L16" i="12"/>
  <c r="K15" i="12"/>
  <c r="J15" i="12"/>
  <c r="L15" i="12"/>
  <c r="J13" i="12"/>
  <c r="L13" i="12"/>
  <c r="A1" i="12"/>
  <c r="G15" i="11"/>
  <c r="G17" i="11"/>
  <c r="K14" i="12"/>
  <c r="I55" i="7"/>
  <c r="H55" i="7"/>
  <c r="J55" i="7"/>
  <c r="K55" i="7"/>
  <c r="G289" i="15"/>
  <c r="H289" i="15"/>
  <c r="J289" i="15"/>
  <c r="I289" i="15"/>
  <c r="M289" i="15"/>
  <c r="K21" i="12"/>
  <c r="L21" i="12"/>
  <c r="F11" i="5"/>
  <c r="G456" i="3"/>
  <c r="F33" i="5"/>
  <c r="F35" i="5"/>
  <c r="H14" i="10"/>
  <c r="A1" i="11"/>
  <c r="I58" i="7"/>
  <c r="I59" i="7"/>
  <c r="I60" i="7"/>
  <c r="I62" i="7"/>
  <c r="I63" i="7"/>
  <c r="I64" i="7"/>
  <c r="I65" i="7"/>
  <c r="I66" i="7"/>
  <c r="I67" i="7"/>
  <c r="I68" i="7"/>
  <c r="I69" i="7"/>
  <c r="I70" i="7"/>
  <c r="I71" i="7"/>
  <c r="I72" i="7"/>
  <c r="I73" i="7"/>
  <c r="I61" i="7"/>
  <c r="L14" i="10"/>
  <c r="H277" i="4"/>
  <c r="I14" i="10"/>
  <c r="K14" i="10"/>
  <c r="A1" i="10"/>
  <c r="A1" i="8"/>
  <c r="K85" i="3"/>
  <c r="L85" i="3"/>
  <c r="J69" i="7"/>
  <c r="K69" i="7"/>
  <c r="J73" i="7"/>
  <c r="K73" i="7"/>
  <c r="J59" i="7"/>
  <c r="K59" i="7"/>
  <c r="J65" i="7"/>
  <c r="K65" i="7"/>
  <c r="J61" i="7"/>
  <c r="K61" i="7"/>
  <c r="J58" i="7"/>
  <c r="K58" i="7"/>
  <c r="J72" i="7"/>
  <c r="K72" i="7"/>
  <c r="J68" i="7"/>
  <c r="K68" i="7"/>
  <c r="J64" i="7"/>
  <c r="K64" i="7"/>
  <c r="J71" i="7"/>
  <c r="K71" i="7"/>
  <c r="J67" i="7"/>
  <c r="K67" i="7"/>
  <c r="J63" i="7"/>
  <c r="K63" i="7"/>
  <c r="J60" i="7"/>
  <c r="K60" i="7"/>
  <c r="J70" i="7"/>
  <c r="K70" i="7"/>
  <c r="J66" i="7"/>
  <c r="K66" i="7"/>
  <c r="J62" i="7"/>
  <c r="K62" i="7"/>
  <c r="I277" i="4"/>
  <c r="I13" i="7"/>
  <c r="H13" i="7"/>
  <c r="J13" i="7"/>
  <c r="K13" i="7"/>
  <c r="I14" i="7"/>
  <c r="H14" i="7"/>
  <c r="J14" i="7"/>
  <c r="K14" i="7"/>
  <c r="I15" i="7"/>
  <c r="H15" i="7"/>
  <c r="J15" i="7"/>
  <c r="K15" i="7"/>
  <c r="I12" i="7"/>
  <c r="H12" i="7"/>
  <c r="J12" i="7"/>
  <c r="K12" i="7"/>
  <c r="I25" i="7"/>
  <c r="H25" i="7"/>
  <c r="J25" i="7"/>
  <c r="K25" i="7"/>
  <c r="I24" i="7"/>
  <c r="H24" i="7"/>
  <c r="J24" i="7"/>
  <c r="K24" i="7"/>
  <c r="I56" i="7"/>
  <c r="H56" i="7"/>
  <c r="J56" i="7"/>
  <c r="K56" i="7"/>
  <c r="I51" i="7"/>
  <c r="H51" i="7"/>
  <c r="J51" i="7"/>
  <c r="K51" i="7"/>
  <c r="G8" i="15"/>
  <c r="G286" i="15"/>
  <c r="I49" i="7"/>
  <c r="H49" i="7"/>
  <c r="J49" i="7"/>
  <c r="K49" i="7"/>
  <c r="I50" i="7"/>
  <c r="H50" i="7"/>
  <c r="J50" i="7"/>
  <c r="K50" i="7"/>
  <c r="G7" i="15"/>
  <c r="G285" i="15"/>
  <c r="G13" i="15"/>
  <c r="G291" i="15"/>
  <c r="M85" i="3"/>
  <c r="I26" i="7"/>
  <c r="H26" i="7"/>
  <c r="J26" i="7"/>
  <c r="K26" i="7"/>
  <c r="I53" i="7"/>
  <c r="H53" i="7"/>
  <c r="J53" i="7"/>
  <c r="K53" i="7"/>
  <c r="I54" i="7"/>
  <c r="H54" i="7"/>
  <c r="J54" i="7"/>
  <c r="K54" i="7"/>
  <c r="I52" i="7"/>
  <c r="H52" i="7"/>
  <c r="J52" i="7"/>
  <c r="K52" i="7"/>
  <c r="I23" i="7"/>
  <c r="H23" i="7"/>
  <c r="J23" i="7"/>
  <c r="K23" i="7"/>
  <c r="I22" i="7"/>
  <c r="H22" i="7"/>
  <c r="J22" i="7"/>
  <c r="K22" i="7"/>
  <c r="H9" i="15"/>
  <c r="L9" i="15"/>
  <c r="I9" i="15"/>
  <c r="M9" i="15"/>
  <c r="J9" i="15"/>
  <c r="N9" i="15"/>
  <c r="K9" i="15"/>
  <c r="O9" i="15"/>
  <c r="J7" i="15"/>
  <c r="J285" i="15"/>
  <c r="H7" i="15"/>
  <c r="H285" i="15"/>
  <c r="M7" i="15"/>
  <c r="M285" i="15"/>
  <c r="L7" i="15"/>
  <c r="L285" i="15"/>
  <c r="I7" i="15"/>
  <c r="I285" i="15"/>
  <c r="N7" i="15"/>
  <c r="N285" i="15"/>
  <c r="O7" i="15"/>
  <c r="O285" i="15"/>
  <c r="K7" i="15"/>
  <c r="K285" i="15"/>
  <c r="N5" i="15"/>
  <c r="N283" i="15"/>
  <c r="K5" i="15"/>
  <c r="K283" i="15"/>
  <c r="L5" i="15"/>
  <c r="L283" i="15"/>
  <c r="O5" i="15"/>
  <c r="O283" i="15"/>
  <c r="J5" i="15"/>
  <c r="J283" i="15"/>
  <c r="H5" i="15"/>
  <c r="H283" i="15"/>
  <c r="I5" i="15"/>
  <c r="I283" i="15"/>
  <c r="M5" i="15"/>
  <c r="M283" i="15"/>
  <c r="K13" i="15"/>
  <c r="K291" i="15"/>
  <c r="J247" i="16"/>
  <c r="I13" i="15"/>
  <c r="I291" i="15"/>
  <c r="H8" i="15"/>
  <c r="H286" i="15"/>
  <c r="K8" i="15"/>
  <c r="K286" i="15"/>
  <c r="M8" i="15"/>
  <c r="M286" i="15"/>
  <c r="L13" i="15"/>
  <c r="L291" i="15"/>
  <c r="M13" i="15"/>
  <c r="M291" i="15"/>
  <c r="N8" i="15"/>
  <c r="N286" i="15"/>
  <c r="I8" i="15"/>
  <c r="I286" i="15"/>
  <c r="O13" i="15"/>
  <c r="O291" i="15"/>
  <c r="J13" i="15"/>
  <c r="J291" i="15"/>
  <c r="J8" i="15"/>
  <c r="J286" i="15"/>
  <c r="N13" i="15"/>
  <c r="N291" i="15"/>
  <c r="H13" i="15"/>
  <c r="H291" i="15"/>
  <c r="O8" i="15"/>
  <c r="O286" i="15"/>
  <c r="L8" i="15"/>
  <c r="L286" i="15"/>
  <c r="N85" i="3"/>
  <c r="G5" i="15"/>
  <c r="G283" i="15"/>
  <c r="I38" i="7"/>
  <c r="K38" i="7"/>
  <c r="G6" i="15"/>
  <c r="G284" i="15"/>
  <c r="G287" i="15"/>
  <c r="I21" i="7"/>
  <c r="H21" i="7"/>
  <c r="J21" i="7"/>
  <c r="K21" i="7"/>
  <c r="I43" i="7"/>
  <c r="H43" i="7"/>
  <c r="J43" i="7"/>
  <c r="K43" i="7"/>
  <c r="G10" i="15"/>
  <c r="G288" i="15"/>
  <c r="G12" i="15"/>
  <c r="G290" i="15"/>
  <c r="G293" i="15"/>
  <c r="G296" i="15"/>
  <c r="I6" i="15"/>
  <c r="I284" i="15"/>
  <c r="I287" i="15"/>
  <c r="I10" i="15"/>
  <c r="I288" i="15"/>
  <c r="I12" i="15"/>
  <c r="I290" i="15"/>
  <c r="I293" i="15"/>
  <c r="I296" i="15"/>
  <c r="J6" i="15"/>
  <c r="J284" i="15"/>
  <c r="L6" i="15"/>
  <c r="L284" i="15"/>
  <c r="H6" i="15"/>
  <c r="H284" i="15"/>
  <c r="M6" i="15"/>
  <c r="M284" i="15"/>
  <c r="K6" i="15"/>
  <c r="K284" i="15"/>
  <c r="N6" i="15"/>
  <c r="N284" i="15"/>
  <c r="O6" i="15"/>
  <c r="O284" i="15"/>
  <c r="L26" i="15"/>
  <c r="O26" i="15"/>
  <c r="O197" i="15"/>
  <c r="O204" i="15"/>
  <c r="P197" i="15"/>
  <c r="P204" i="15"/>
  <c r="P26" i="15"/>
  <c r="W197" i="15"/>
  <c r="W204" i="15"/>
  <c r="W26" i="15"/>
  <c r="G26" i="15"/>
  <c r="Z26" i="15"/>
  <c r="Z197" i="15"/>
  <c r="Z204" i="15"/>
  <c r="V197" i="15"/>
  <c r="V204" i="15"/>
  <c r="V26" i="15"/>
  <c r="R26" i="15"/>
  <c r="R197" i="15"/>
  <c r="R204" i="15"/>
  <c r="N26" i="15"/>
  <c r="N197" i="15"/>
  <c r="N204" i="15"/>
  <c r="I26" i="15"/>
  <c r="X197" i="15"/>
  <c r="X204" i="15"/>
  <c r="X26" i="15"/>
  <c r="T197" i="15"/>
  <c r="T204" i="15"/>
  <c r="T26" i="15"/>
  <c r="H26" i="15"/>
  <c r="AA26" i="15"/>
  <c r="AA197" i="15"/>
  <c r="AA204" i="15"/>
  <c r="S197" i="15"/>
  <c r="S204" i="15"/>
  <c r="S26" i="15"/>
  <c r="K26" i="15"/>
  <c r="K163" i="13"/>
  <c r="Y197" i="15"/>
  <c r="Y204" i="15"/>
  <c r="Y26" i="15"/>
  <c r="U197" i="15"/>
  <c r="U204" i="15"/>
  <c r="U26" i="15"/>
  <c r="Q197" i="15"/>
  <c r="Q204" i="15"/>
  <c r="Q26" i="15"/>
  <c r="M197" i="15"/>
  <c r="M204" i="15"/>
  <c r="M26" i="15"/>
  <c r="J26" i="15"/>
  <c r="J244" i="16"/>
  <c r="J243" i="16"/>
  <c r="O85" i="3"/>
  <c r="J246" i="16"/>
  <c r="I219" i="4"/>
  <c r="H220" i="4"/>
  <c r="I220" i="4"/>
  <c r="J241" i="16"/>
  <c r="G172" i="3"/>
  <c r="G176" i="3"/>
  <c r="G183" i="3"/>
  <c r="G242" i="17"/>
  <c r="P85" i="3"/>
  <c r="K21" i="3"/>
  <c r="K22" i="3"/>
  <c r="G249" i="3"/>
  <c r="G343" i="3"/>
  <c r="F286" i="3"/>
  <c r="G309" i="3"/>
  <c r="G320" i="3"/>
  <c r="G405" i="3"/>
  <c r="G391" i="3"/>
  <c r="V437" i="3"/>
  <c r="W437" i="3"/>
  <c r="X437" i="3"/>
  <c r="Y437" i="3"/>
  <c r="Z437" i="3"/>
  <c r="AA437" i="3"/>
  <c r="V445" i="3"/>
  <c r="W445" i="3"/>
  <c r="X445" i="3"/>
  <c r="Y445" i="3"/>
  <c r="Z445" i="3"/>
  <c r="AA445" i="3"/>
  <c r="V454" i="3"/>
  <c r="W454" i="3"/>
  <c r="X454" i="3"/>
  <c r="Y454" i="3"/>
  <c r="Z454" i="3"/>
  <c r="AA454" i="3"/>
  <c r="V462" i="3"/>
  <c r="W462" i="3"/>
  <c r="X462" i="3"/>
  <c r="Y462" i="3"/>
  <c r="Z462" i="3"/>
  <c r="AA462" i="3"/>
  <c r="I16" i="4"/>
  <c r="J16" i="4"/>
  <c r="K16" i="4"/>
  <c r="L16" i="4"/>
  <c r="M16" i="4"/>
  <c r="N16" i="4"/>
  <c r="O16" i="4"/>
  <c r="P16" i="4"/>
  <c r="Q16" i="4"/>
  <c r="R16" i="4"/>
  <c r="S16" i="4"/>
  <c r="T16" i="4"/>
  <c r="U16" i="4"/>
  <c r="V16" i="4"/>
  <c r="W16" i="4"/>
  <c r="X16" i="4"/>
  <c r="Y16" i="4"/>
  <c r="Z16" i="4"/>
  <c r="AA16" i="4"/>
  <c r="AB16" i="4"/>
  <c r="E429" i="3"/>
  <c r="G464" i="3"/>
  <c r="M463" i="3"/>
  <c r="L455" i="3"/>
  <c r="L463" i="3"/>
  <c r="J455" i="3"/>
  <c r="J463" i="3"/>
  <c r="G455" i="3"/>
  <c r="G463" i="3"/>
  <c r="U462" i="3"/>
  <c r="T462" i="3"/>
  <c r="S462" i="3"/>
  <c r="R462" i="3"/>
  <c r="Q462" i="3"/>
  <c r="P462" i="3"/>
  <c r="O462" i="3"/>
  <c r="F420" i="3"/>
  <c r="G421" i="3"/>
  <c r="G262" i="3"/>
  <c r="G263" i="3"/>
  <c r="G231" i="3"/>
  <c r="G264" i="3"/>
  <c r="K20" i="3"/>
  <c r="K28" i="3"/>
  <c r="K29" i="3"/>
  <c r="K30" i="3"/>
  <c r="K31" i="3"/>
  <c r="K32" i="3"/>
  <c r="K33" i="3"/>
  <c r="K73" i="3"/>
  <c r="K79" i="3"/>
  <c r="K80" i="3"/>
  <c r="K81" i="3"/>
  <c r="K82" i="3"/>
  <c r="K84" i="3"/>
  <c r="K86" i="3"/>
  <c r="K87" i="3"/>
  <c r="L20" i="3"/>
  <c r="L21" i="3"/>
  <c r="L22" i="3"/>
  <c r="L28" i="3"/>
  <c r="L29" i="3"/>
  <c r="L30" i="3"/>
  <c r="L31" i="3"/>
  <c r="L32" i="3"/>
  <c r="L33" i="3"/>
  <c r="L73" i="3"/>
  <c r="L79" i="3"/>
  <c r="L80" i="3"/>
  <c r="L81" i="3"/>
  <c r="L82" i="3"/>
  <c r="L84" i="3"/>
  <c r="L86" i="3"/>
  <c r="L87" i="3"/>
  <c r="M20" i="3"/>
  <c r="M21" i="3"/>
  <c r="M22" i="3"/>
  <c r="M28" i="3"/>
  <c r="M29" i="3"/>
  <c r="M30" i="3"/>
  <c r="M31" i="3"/>
  <c r="M32" i="3"/>
  <c r="M33" i="3"/>
  <c r="M73" i="3"/>
  <c r="M79" i="3"/>
  <c r="M80" i="3"/>
  <c r="M81" i="3"/>
  <c r="M82" i="3"/>
  <c r="M84" i="3"/>
  <c r="M86" i="3"/>
  <c r="M87" i="3"/>
  <c r="N20" i="3"/>
  <c r="N21" i="3"/>
  <c r="N22" i="3"/>
  <c r="N28" i="3"/>
  <c r="N29" i="3"/>
  <c r="N30" i="3"/>
  <c r="N31" i="3"/>
  <c r="N32" i="3"/>
  <c r="N33" i="3"/>
  <c r="N73" i="3"/>
  <c r="N79" i="3"/>
  <c r="N80" i="3"/>
  <c r="N81" i="3"/>
  <c r="N82" i="3"/>
  <c r="N84" i="3"/>
  <c r="N86" i="3"/>
  <c r="N87" i="3"/>
  <c r="O20" i="3"/>
  <c r="O21" i="3"/>
  <c r="O22" i="3"/>
  <c r="O28" i="3"/>
  <c r="O29" i="3"/>
  <c r="O30" i="3"/>
  <c r="O31" i="3"/>
  <c r="O32" i="3"/>
  <c r="O33" i="3"/>
  <c r="O73" i="3"/>
  <c r="O79" i="3"/>
  <c r="O80" i="3"/>
  <c r="O81" i="3"/>
  <c r="O82" i="3"/>
  <c r="O84" i="3"/>
  <c r="O86" i="3"/>
  <c r="O87" i="3"/>
  <c r="P20" i="3"/>
  <c r="P21" i="3"/>
  <c r="P22" i="3"/>
  <c r="P28" i="3"/>
  <c r="P29" i="3"/>
  <c r="P30" i="3"/>
  <c r="P31" i="3"/>
  <c r="P32" i="3"/>
  <c r="P33" i="3"/>
  <c r="P73" i="3"/>
  <c r="P79" i="3"/>
  <c r="P80" i="3"/>
  <c r="P81" i="3"/>
  <c r="P82" i="3"/>
  <c r="P84" i="3"/>
  <c r="P86" i="3"/>
  <c r="P87" i="3"/>
  <c r="Q20" i="3"/>
  <c r="Q21" i="3"/>
  <c r="Q22" i="3"/>
  <c r="Q28" i="3"/>
  <c r="Q29" i="3"/>
  <c r="Q30" i="3"/>
  <c r="Q31" i="3"/>
  <c r="Q32" i="3"/>
  <c r="Q33" i="3"/>
  <c r="Q73" i="3"/>
  <c r="Q79" i="3"/>
  <c r="Q80" i="3"/>
  <c r="Q81" i="3"/>
  <c r="Q82" i="3"/>
  <c r="Q84" i="3"/>
  <c r="Q85" i="3"/>
  <c r="Q86" i="3"/>
  <c r="Q87" i="3"/>
  <c r="R20" i="3"/>
  <c r="R21" i="3"/>
  <c r="R22" i="3"/>
  <c r="R28" i="3"/>
  <c r="R29" i="3"/>
  <c r="R30" i="3"/>
  <c r="R31" i="3"/>
  <c r="R32" i="3"/>
  <c r="R33" i="3"/>
  <c r="R73" i="3"/>
  <c r="R79" i="3"/>
  <c r="R80" i="3"/>
  <c r="R81" i="3"/>
  <c r="R82" i="3"/>
  <c r="R84" i="3"/>
  <c r="R85" i="3"/>
  <c r="R86" i="3"/>
  <c r="R87" i="3"/>
  <c r="S20" i="3"/>
  <c r="S21" i="3"/>
  <c r="S22" i="3"/>
  <c r="S28" i="3"/>
  <c r="S29" i="3"/>
  <c r="S30" i="3"/>
  <c r="S31" i="3"/>
  <c r="S32" i="3"/>
  <c r="S33" i="3"/>
  <c r="S73" i="3"/>
  <c r="S79" i="3"/>
  <c r="S80" i="3"/>
  <c r="S81" i="3"/>
  <c r="S82" i="3"/>
  <c r="S84" i="3"/>
  <c r="S85" i="3"/>
  <c r="S86" i="3"/>
  <c r="S87" i="3"/>
  <c r="T20" i="3"/>
  <c r="T21" i="3"/>
  <c r="T22" i="3"/>
  <c r="T28" i="3"/>
  <c r="T29" i="3"/>
  <c r="T30" i="3"/>
  <c r="T31" i="3"/>
  <c r="T32" i="3"/>
  <c r="T33" i="3"/>
  <c r="T73" i="3"/>
  <c r="T79" i="3"/>
  <c r="T80" i="3"/>
  <c r="T81" i="3"/>
  <c r="T82" i="3"/>
  <c r="T84" i="3"/>
  <c r="T85" i="3"/>
  <c r="T86" i="3"/>
  <c r="T87" i="3"/>
  <c r="U20" i="3"/>
  <c r="U21" i="3"/>
  <c r="U22" i="3"/>
  <c r="U28" i="3"/>
  <c r="U29" i="3"/>
  <c r="U30" i="3"/>
  <c r="U31" i="3"/>
  <c r="U32" i="3"/>
  <c r="U33" i="3"/>
  <c r="U73" i="3"/>
  <c r="U79" i="3"/>
  <c r="U80" i="3"/>
  <c r="U81" i="3"/>
  <c r="U82" i="3"/>
  <c r="U84" i="3"/>
  <c r="U85" i="3"/>
  <c r="U86" i="3"/>
  <c r="U87" i="3"/>
  <c r="V20" i="3"/>
  <c r="V21" i="3"/>
  <c r="V22" i="3"/>
  <c r="V28" i="3"/>
  <c r="V29" i="3"/>
  <c r="V30" i="3"/>
  <c r="V31" i="3"/>
  <c r="V32" i="3"/>
  <c r="V33" i="3"/>
  <c r="V73" i="3"/>
  <c r="V79" i="3"/>
  <c r="V80" i="3"/>
  <c r="V81" i="3"/>
  <c r="V82" i="3"/>
  <c r="V84" i="3"/>
  <c r="V85" i="3"/>
  <c r="V86" i="3"/>
  <c r="V87" i="3"/>
  <c r="W20" i="3"/>
  <c r="W21" i="3"/>
  <c r="W22" i="3"/>
  <c r="W28" i="3"/>
  <c r="W29" i="3"/>
  <c r="W30" i="3"/>
  <c r="W31" i="3"/>
  <c r="W32" i="3"/>
  <c r="W33" i="3"/>
  <c r="W73" i="3"/>
  <c r="W79" i="3"/>
  <c r="W80" i="3"/>
  <c r="W81" i="3"/>
  <c r="W82" i="3"/>
  <c r="W84" i="3"/>
  <c r="W85" i="3"/>
  <c r="W86" i="3"/>
  <c r="W87" i="3"/>
  <c r="X20" i="3"/>
  <c r="X21" i="3"/>
  <c r="X22" i="3"/>
  <c r="X28" i="3"/>
  <c r="X29" i="3"/>
  <c r="X30" i="3"/>
  <c r="X31" i="3"/>
  <c r="X32" i="3"/>
  <c r="X33" i="3"/>
  <c r="X73" i="3"/>
  <c r="X79" i="3"/>
  <c r="X80" i="3"/>
  <c r="X81" i="3"/>
  <c r="X82" i="3"/>
  <c r="X84" i="3"/>
  <c r="X85" i="3"/>
  <c r="X86" i="3"/>
  <c r="X87" i="3"/>
  <c r="Y20" i="3"/>
  <c r="Y21" i="3"/>
  <c r="Y22" i="3"/>
  <c r="Y28" i="3"/>
  <c r="Y29" i="3"/>
  <c r="Y30" i="3"/>
  <c r="Y31" i="3"/>
  <c r="Y32" i="3"/>
  <c r="Y33" i="3"/>
  <c r="Y73" i="3"/>
  <c r="Y79" i="3"/>
  <c r="Y80" i="3"/>
  <c r="Y81" i="3"/>
  <c r="Y82" i="3"/>
  <c r="Y84" i="3"/>
  <c r="Y85" i="3"/>
  <c r="Y86" i="3"/>
  <c r="Y87" i="3"/>
  <c r="G247" i="15"/>
  <c r="G248" i="15"/>
  <c r="G414" i="3"/>
  <c r="G241" i="15"/>
  <c r="G243" i="15"/>
  <c r="G418" i="3"/>
  <c r="G422" i="3"/>
  <c r="G424" i="3"/>
  <c r="L462" i="3"/>
  <c r="K462" i="3"/>
  <c r="J462" i="3"/>
  <c r="G439" i="3"/>
  <c r="G447" i="3"/>
  <c r="J438" i="3"/>
  <c r="J446" i="3"/>
  <c r="I438" i="3"/>
  <c r="I446" i="3"/>
  <c r="H438" i="3"/>
  <c r="H446" i="3"/>
  <c r="G438" i="3"/>
  <c r="G446" i="3"/>
  <c r="U445" i="3"/>
  <c r="T445" i="3"/>
  <c r="S445" i="3"/>
  <c r="R445" i="3"/>
  <c r="Q445" i="3"/>
  <c r="P445" i="3"/>
  <c r="O445" i="3"/>
  <c r="L445" i="3"/>
  <c r="K445" i="3"/>
  <c r="J445" i="3"/>
  <c r="U454" i="3"/>
  <c r="T454" i="3"/>
  <c r="S454" i="3"/>
  <c r="R454" i="3"/>
  <c r="Q454" i="3"/>
  <c r="P454" i="3"/>
  <c r="O454" i="3"/>
  <c r="L454" i="3"/>
  <c r="K454" i="3"/>
  <c r="J454" i="3"/>
  <c r="U437" i="3"/>
  <c r="T437" i="3"/>
  <c r="S437" i="3"/>
  <c r="R437" i="3"/>
  <c r="Q437" i="3"/>
  <c r="P437" i="3"/>
  <c r="O437" i="3"/>
  <c r="L437" i="3"/>
  <c r="K437" i="3"/>
  <c r="J437" i="3"/>
  <c r="F429" i="3"/>
  <c r="C30" i="4"/>
  <c r="C31" i="4"/>
  <c r="C32" i="4"/>
  <c r="C33" i="4"/>
  <c r="C34" i="4"/>
  <c r="C35" i="4"/>
  <c r="C36" i="4"/>
  <c r="A1" i="4"/>
  <c r="G420" i="3"/>
  <c r="F398" i="3"/>
  <c r="F396" i="3"/>
  <c r="A1" i="3"/>
  <c r="C51" i="4"/>
  <c r="C55" i="4"/>
  <c r="C54" i="4"/>
  <c r="C52" i="4"/>
  <c r="C48" i="4"/>
  <c r="C50" i="4"/>
  <c r="C49" i="4"/>
  <c r="C53" i="4"/>
  <c r="C39" i="4"/>
  <c r="H172" i="3"/>
  <c r="H176" i="3"/>
  <c r="H183" i="3"/>
  <c r="H242" i="17"/>
  <c r="H249" i="17"/>
  <c r="V257" i="4"/>
  <c r="H256" i="4"/>
  <c r="I176" i="3"/>
  <c r="I183" i="3"/>
  <c r="I172" i="3"/>
  <c r="G152" i="13"/>
  <c r="S11" i="13"/>
  <c r="O11" i="13"/>
  <c r="K11" i="13"/>
  <c r="R11" i="13"/>
  <c r="N11" i="13"/>
  <c r="Q11" i="13"/>
  <c r="M11" i="13"/>
  <c r="T11" i="13"/>
  <c r="P11" i="13"/>
  <c r="L11" i="13"/>
  <c r="H245" i="3"/>
  <c r="G25" i="13"/>
  <c r="F402" i="3"/>
  <c r="F59" i="13"/>
  <c r="H249" i="3"/>
  <c r="G28" i="13"/>
  <c r="H320" i="3"/>
  <c r="I320" i="3"/>
  <c r="G127" i="13"/>
  <c r="H309" i="3"/>
  <c r="G115" i="13"/>
  <c r="I216" i="4"/>
  <c r="L438" i="3"/>
  <c r="L446" i="3"/>
  <c r="C45" i="4"/>
  <c r="C41" i="4"/>
  <c r="C46" i="4"/>
  <c r="C43" i="4"/>
  <c r="C44" i="4"/>
  <c r="C40" i="4"/>
  <c r="C42" i="4"/>
  <c r="L38" i="16"/>
  <c r="L40" i="16"/>
  <c r="I251" i="4"/>
  <c r="L39" i="16"/>
  <c r="V250" i="4"/>
  <c r="Y257" i="4"/>
  <c r="P250" i="4"/>
  <c r="Y254" i="4"/>
  <c r="H250" i="4"/>
  <c r="I255" i="4"/>
  <c r="I254" i="4"/>
  <c r="I256" i="4"/>
  <c r="I253" i="4"/>
  <c r="V254" i="4"/>
  <c r="V255" i="4"/>
  <c r="H253" i="4"/>
  <c r="H255" i="4"/>
  <c r="U253" i="4"/>
  <c r="I252" i="4"/>
  <c r="R257" i="4"/>
  <c r="I257" i="4"/>
  <c r="L257" i="4"/>
  <c r="P257" i="4"/>
  <c r="Z257" i="4"/>
  <c r="U257" i="4"/>
  <c r="W257" i="4"/>
  <c r="O250" i="4"/>
  <c r="S250" i="4"/>
  <c r="H230" i="3"/>
  <c r="I258" i="4"/>
  <c r="I268" i="4"/>
  <c r="T257" i="4"/>
  <c r="N257" i="4"/>
  <c r="U250" i="4"/>
  <c r="Q250" i="4"/>
  <c r="X257" i="4"/>
  <c r="K257" i="4"/>
  <c r="AA250" i="4"/>
  <c r="J257" i="4"/>
  <c r="S257" i="4"/>
  <c r="O257" i="4"/>
  <c r="M257" i="4"/>
  <c r="Q257" i="4"/>
  <c r="W250" i="4"/>
  <c r="AA257" i="4"/>
  <c r="R250" i="4"/>
  <c r="AB257" i="4"/>
  <c r="X250" i="4"/>
  <c r="T250" i="4"/>
  <c r="AB250" i="4"/>
  <c r="J176" i="3"/>
  <c r="J183" i="3"/>
  <c r="J172" i="3"/>
  <c r="H25" i="13"/>
  <c r="I245" i="3"/>
  <c r="G233" i="3"/>
  <c r="G22" i="13"/>
  <c r="I249" i="3"/>
  <c r="J249" i="3"/>
  <c r="G35" i="13"/>
  <c r="G232" i="3"/>
  <c r="H28" i="13"/>
  <c r="I309" i="3"/>
  <c r="H115" i="13"/>
  <c r="N18" i="13"/>
  <c r="J18" i="13"/>
  <c r="L18" i="13"/>
  <c r="R18" i="13"/>
  <c r="M18" i="13"/>
  <c r="O18" i="13"/>
  <c r="Q18" i="13"/>
  <c r="H18" i="13"/>
  <c r="K18" i="13"/>
  <c r="S18" i="13"/>
  <c r="I18" i="13"/>
  <c r="P18" i="13"/>
  <c r="T18" i="13"/>
  <c r="I233" i="3"/>
  <c r="H232" i="3"/>
  <c r="J232" i="3"/>
  <c r="L232" i="3"/>
  <c r="K232" i="3"/>
  <c r="I232" i="3"/>
  <c r="K233" i="3"/>
  <c r="J233" i="3"/>
  <c r="L233" i="3"/>
  <c r="H233" i="3"/>
  <c r="R232" i="3"/>
  <c r="R233" i="3"/>
  <c r="T232" i="3"/>
  <c r="T233" i="3"/>
  <c r="X233" i="3"/>
  <c r="X232" i="3"/>
  <c r="Z232" i="3"/>
  <c r="Z233" i="3"/>
  <c r="M233" i="3"/>
  <c r="M232" i="3"/>
  <c r="U233" i="3"/>
  <c r="U232" i="3"/>
  <c r="O232" i="3"/>
  <c r="O233" i="3"/>
  <c r="Q233" i="3"/>
  <c r="Q232" i="3"/>
  <c r="W232" i="3"/>
  <c r="W233" i="3"/>
  <c r="S232" i="3"/>
  <c r="S233" i="3"/>
  <c r="N233" i="3"/>
  <c r="N232" i="3"/>
  <c r="AA232" i="3"/>
  <c r="AA233" i="3"/>
  <c r="P232" i="3"/>
  <c r="P233" i="3"/>
  <c r="V232" i="3"/>
  <c r="V233" i="3"/>
  <c r="Y233" i="3"/>
  <c r="Y232" i="3"/>
  <c r="Y252" i="4"/>
  <c r="N39" i="16"/>
  <c r="Q40" i="16"/>
  <c r="N40" i="16"/>
  <c r="P40" i="16"/>
  <c r="O40" i="16"/>
  <c r="O39" i="16"/>
  <c r="Q39" i="16"/>
  <c r="M40" i="16"/>
  <c r="M39" i="16"/>
  <c r="P39" i="16"/>
  <c r="V252" i="4"/>
  <c r="P253" i="4"/>
  <c r="M250" i="4"/>
  <c r="P38" i="16"/>
  <c r="O38" i="16"/>
  <c r="K250" i="4"/>
  <c r="N38" i="16"/>
  <c r="N250" i="4"/>
  <c r="Q38" i="16"/>
  <c r="J250" i="4"/>
  <c r="M38" i="16"/>
  <c r="V253" i="4"/>
  <c r="Y250" i="4"/>
  <c r="Y253" i="4"/>
  <c r="L253" i="4"/>
  <c r="L250" i="4"/>
  <c r="Z253" i="4"/>
  <c r="Z250" i="4"/>
  <c r="Y255" i="4"/>
  <c r="N252" i="4"/>
  <c r="Q253" i="4"/>
  <c r="J253" i="4"/>
  <c r="Q255" i="4"/>
  <c r="R251" i="4"/>
  <c r="AB252" i="4"/>
  <c r="W253" i="4"/>
  <c r="P251" i="4"/>
  <c r="O251" i="4"/>
  <c r="AB255" i="4"/>
  <c r="Z254" i="4"/>
  <c r="N251" i="4"/>
  <c r="T252" i="4"/>
  <c r="K255" i="4"/>
  <c r="Q251" i="4"/>
  <c r="S256" i="4"/>
  <c r="O255" i="4"/>
  <c r="AB254" i="4"/>
  <c r="N256" i="4"/>
  <c r="T254" i="4"/>
  <c r="W255" i="4"/>
  <c r="X254" i="4"/>
  <c r="V256" i="4"/>
  <c r="J256" i="4"/>
  <c r="S252" i="4"/>
  <c r="R255" i="4"/>
  <c r="J252" i="4"/>
  <c r="AA252" i="4"/>
  <c r="Y256" i="4"/>
  <c r="U252" i="4"/>
  <c r="AA254" i="4"/>
  <c r="Z252" i="4"/>
  <c r="P255" i="4"/>
  <c r="P252" i="4"/>
  <c r="P256" i="4"/>
  <c r="W252" i="4"/>
  <c r="L256" i="4"/>
  <c r="U255" i="4"/>
  <c r="V251" i="4"/>
  <c r="S253" i="4"/>
  <c r="K252" i="4"/>
  <c r="T253" i="4"/>
  <c r="M255" i="4"/>
  <c r="M252" i="4"/>
  <c r="R252" i="4"/>
  <c r="M254" i="4"/>
  <c r="S251" i="4"/>
  <c r="J251" i="4"/>
  <c r="AA251" i="4"/>
  <c r="M253" i="4"/>
  <c r="AB251" i="4"/>
  <c r="O253" i="4"/>
  <c r="N255" i="4"/>
  <c r="T256" i="4"/>
  <c r="X253" i="4"/>
  <c r="M251" i="4"/>
  <c r="Y251" i="4"/>
  <c r="X256" i="4"/>
  <c r="R254" i="4"/>
  <c r="K256" i="4"/>
  <c r="Q252" i="4"/>
  <c r="U251" i="4"/>
  <c r="O256" i="4"/>
  <c r="W256" i="4"/>
  <c r="Q254" i="4"/>
  <c r="AA253" i="4"/>
  <c r="T255" i="4"/>
  <c r="S254" i="4"/>
  <c r="L255" i="4"/>
  <c r="X251" i="4"/>
  <c r="Z256" i="4"/>
  <c r="X252" i="4"/>
  <c r="Q256" i="4"/>
  <c r="N254" i="4"/>
  <c r="L252" i="4"/>
  <c r="P254" i="4"/>
  <c r="J254" i="4"/>
  <c r="W251" i="4"/>
  <c r="X255" i="4"/>
  <c r="L251" i="4"/>
  <c r="AA256" i="4"/>
  <c r="S255" i="4"/>
  <c r="R256" i="4"/>
  <c r="J255" i="4"/>
  <c r="AA255" i="4"/>
  <c r="K254" i="4"/>
  <c r="U256" i="4"/>
  <c r="AB256" i="4"/>
  <c r="O252" i="4"/>
  <c r="AB253" i="4"/>
  <c r="N253" i="4"/>
  <c r="T251" i="4"/>
  <c r="W254" i="4"/>
  <c r="M256" i="4"/>
  <c r="Z251" i="4"/>
  <c r="K251" i="4"/>
  <c r="K253" i="4"/>
  <c r="O254" i="4"/>
  <c r="U254" i="4"/>
  <c r="Z255" i="4"/>
  <c r="R253" i="4"/>
  <c r="L254" i="4"/>
  <c r="W230" i="3"/>
  <c r="X258" i="4"/>
  <c r="X268" i="4"/>
  <c r="V230" i="3"/>
  <c r="W258" i="4"/>
  <c r="W268" i="4"/>
  <c r="Z230" i="3"/>
  <c r="AA258" i="4"/>
  <c r="AA268" i="4"/>
  <c r="X230" i="3"/>
  <c r="Y258" i="4"/>
  <c r="Y268" i="4"/>
  <c r="I230" i="3"/>
  <c r="J258" i="4"/>
  <c r="J268" i="4"/>
  <c r="U230" i="3"/>
  <c r="V258" i="4"/>
  <c r="V268" i="4"/>
  <c r="AA230" i="3"/>
  <c r="AB258" i="4"/>
  <c r="AB268" i="4"/>
  <c r="L230" i="3"/>
  <c r="M258" i="4"/>
  <c r="M268" i="4"/>
  <c r="N230" i="3"/>
  <c r="O258" i="4"/>
  <c r="O268" i="4"/>
  <c r="S230" i="3"/>
  <c r="T258" i="4"/>
  <c r="T268" i="4"/>
  <c r="J230" i="3"/>
  <c r="K258" i="4"/>
  <c r="K268" i="4"/>
  <c r="Q230" i="3"/>
  <c r="R258" i="4"/>
  <c r="R268" i="4"/>
  <c r="M230" i="3"/>
  <c r="N258" i="4"/>
  <c r="N268" i="4"/>
  <c r="P230" i="3"/>
  <c r="Q258" i="4"/>
  <c r="Q268" i="4"/>
  <c r="T230" i="3"/>
  <c r="U258" i="4"/>
  <c r="U268" i="4"/>
  <c r="O230" i="3"/>
  <c r="P258" i="4"/>
  <c r="P268" i="4"/>
  <c r="K230" i="3"/>
  <c r="L258" i="4"/>
  <c r="L268" i="4"/>
  <c r="R230" i="3"/>
  <c r="S258" i="4"/>
  <c r="S268" i="4"/>
  <c r="Y230" i="3"/>
  <c r="Z258" i="4"/>
  <c r="Z268" i="4"/>
  <c r="K176" i="3"/>
  <c r="K183" i="3"/>
  <c r="K172" i="3"/>
  <c r="J245" i="3"/>
  <c r="I25" i="13"/>
  <c r="I28" i="13"/>
  <c r="G20" i="13"/>
  <c r="Q22" i="13"/>
  <c r="T22" i="13"/>
  <c r="P22" i="13"/>
  <c r="R22" i="13"/>
  <c r="S22" i="13"/>
  <c r="S19" i="13"/>
  <c r="L19" i="13"/>
  <c r="J19" i="13"/>
  <c r="Q19" i="13"/>
  <c r="T19" i="13"/>
  <c r="O19" i="13"/>
  <c r="R19" i="13"/>
  <c r="I19" i="13"/>
  <c r="K19" i="13"/>
  <c r="M19" i="13"/>
  <c r="P19" i="13"/>
  <c r="H19" i="13"/>
  <c r="N19" i="13"/>
  <c r="G21" i="13"/>
  <c r="G19" i="13"/>
  <c r="P20" i="13"/>
  <c r="N22" i="13"/>
  <c r="O20" i="13"/>
  <c r="M20" i="13"/>
  <c r="K21" i="13"/>
  <c r="N20" i="13"/>
  <c r="Q21" i="13"/>
  <c r="O22" i="13"/>
  <c r="L20" i="13"/>
  <c r="K20" i="13"/>
  <c r="L21" i="13"/>
  <c r="I22" i="13"/>
  <c r="J309" i="3"/>
  <c r="I115" i="13"/>
  <c r="K249" i="3"/>
  <c r="J28" i="13"/>
  <c r="S21" i="13"/>
  <c r="T20" i="13"/>
  <c r="H22" i="13"/>
  <c r="H21" i="13"/>
  <c r="O21" i="13"/>
  <c r="T21" i="13"/>
  <c r="J20" i="13"/>
  <c r="K22" i="13"/>
  <c r="R20" i="13"/>
  <c r="J22" i="13"/>
  <c r="P21" i="13"/>
  <c r="S20" i="13"/>
  <c r="M21" i="13"/>
  <c r="N21" i="13"/>
  <c r="Q20" i="13"/>
  <c r="M22" i="13"/>
  <c r="R21" i="13"/>
  <c r="H20" i="13"/>
  <c r="L22" i="13"/>
  <c r="I21" i="13"/>
  <c r="J21" i="13"/>
  <c r="I20" i="13"/>
  <c r="L176" i="3"/>
  <c r="L183" i="3"/>
  <c r="L172" i="3"/>
  <c r="J25" i="13"/>
  <c r="K245" i="3"/>
  <c r="G32" i="13"/>
  <c r="H35" i="13"/>
  <c r="I35" i="13"/>
  <c r="J35" i="13"/>
  <c r="H32" i="13"/>
  <c r="I32" i="13"/>
  <c r="L249" i="3"/>
  <c r="K28" i="13"/>
  <c r="K309" i="3"/>
  <c r="J115" i="13"/>
  <c r="L245" i="3"/>
  <c r="J32" i="13"/>
  <c r="M176" i="3"/>
  <c r="M183" i="3"/>
  <c r="M172" i="3"/>
  <c r="K25" i="13"/>
  <c r="K35" i="13"/>
  <c r="K32" i="13"/>
  <c r="M249" i="3"/>
  <c r="L28" i="13"/>
  <c r="L309" i="3"/>
  <c r="K115" i="13"/>
  <c r="L25" i="13"/>
  <c r="M245" i="3"/>
  <c r="N176" i="3"/>
  <c r="N183" i="3"/>
  <c r="N172" i="3"/>
  <c r="L35" i="13"/>
  <c r="L32" i="13"/>
  <c r="M309" i="3"/>
  <c r="L115" i="13"/>
  <c r="N249" i="3"/>
  <c r="M28" i="13"/>
  <c r="N245" i="3"/>
  <c r="M25" i="13"/>
  <c r="O176" i="3"/>
  <c r="O183" i="3"/>
  <c r="O172" i="3"/>
  <c r="M35" i="13"/>
  <c r="M32" i="13"/>
  <c r="N28" i="13"/>
  <c r="O249" i="3"/>
  <c r="N309" i="3"/>
  <c r="M115" i="13"/>
  <c r="O245" i="3"/>
  <c r="N25" i="13"/>
  <c r="P176" i="3"/>
  <c r="P183" i="3"/>
  <c r="P172" i="3"/>
  <c r="N32" i="13"/>
  <c r="N35" i="13"/>
  <c r="O28" i="13"/>
  <c r="P249" i="3"/>
  <c r="O309" i="3"/>
  <c r="N115" i="13"/>
  <c r="O25" i="13"/>
  <c r="P245" i="3"/>
  <c r="Q176" i="3"/>
  <c r="Q183" i="3"/>
  <c r="Q172" i="3"/>
  <c r="O35" i="13"/>
  <c r="O32" i="13"/>
  <c r="P309" i="3"/>
  <c r="O115" i="13"/>
  <c r="P28" i="13"/>
  <c r="Q249" i="3"/>
  <c r="Q245" i="3"/>
  <c r="P25" i="13"/>
  <c r="Z85" i="3"/>
  <c r="R176" i="3"/>
  <c r="R183" i="3"/>
  <c r="R172" i="3"/>
  <c r="P35" i="13"/>
  <c r="P32" i="13"/>
  <c r="Q28" i="13"/>
  <c r="R249" i="3"/>
  <c r="Q309" i="3"/>
  <c r="P115" i="13"/>
  <c r="R245" i="3"/>
  <c r="Q25" i="13"/>
  <c r="AA85" i="3"/>
  <c r="S176" i="3"/>
  <c r="S183" i="3"/>
  <c r="S172" i="3"/>
  <c r="Q32" i="13"/>
  <c r="S245" i="3"/>
  <c r="R25" i="13"/>
  <c r="R309" i="3"/>
  <c r="Q115" i="13"/>
  <c r="Q35" i="13"/>
  <c r="R28" i="13"/>
  <c r="S249" i="3"/>
  <c r="T176" i="3"/>
  <c r="T183" i="3"/>
  <c r="T172" i="3"/>
  <c r="R32" i="13"/>
  <c r="S309" i="3"/>
  <c r="R115" i="13"/>
  <c r="S28" i="13"/>
  <c r="T249" i="3"/>
  <c r="T245" i="3"/>
  <c r="S25" i="13"/>
  <c r="R35" i="13"/>
  <c r="U176" i="3"/>
  <c r="U183" i="3"/>
  <c r="U172" i="3"/>
  <c r="S32" i="13"/>
  <c r="T28" i="13"/>
  <c r="U249" i="3"/>
  <c r="T309" i="3"/>
  <c r="S115" i="13"/>
  <c r="S35" i="13"/>
  <c r="U245" i="3"/>
  <c r="T25" i="13"/>
  <c r="V176" i="3"/>
  <c r="V183" i="3"/>
  <c r="V172" i="3"/>
  <c r="T32" i="13"/>
  <c r="V245" i="3"/>
  <c r="U309" i="3"/>
  <c r="T115" i="13"/>
  <c r="V249" i="3"/>
  <c r="T35" i="13"/>
  <c r="W176" i="3"/>
  <c r="W183" i="3"/>
  <c r="W172" i="3"/>
  <c r="Z22" i="3"/>
  <c r="Z21" i="3"/>
  <c r="W245" i="3"/>
  <c r="W249" i="3"/>
  <c r="V309" i="3"/>
  <c r="Z33" i="3"/>
  <c r="Z31" i="3"/>
  <c r="Z81" i="3"/>
  <c r="Z86" i="3"/>
  <c r="Z79" i="3"/>
  <c r="Z80" i="3"/>
  <c r="Z84" i="3"/>
  <c r="Z32" i="3"/>
  <c r="Z82" i="3"/>
  <c r="Z30" i="3"/>
  <c r="Z29" i="3"/>
  <c r="X176" i="3"/>
  <c r="X183" i="3"/>
  <c r="X172" i="3"/>
  <c r="Z20" i="3"/>
  <c r="AA21" i="3"/>
  <c r="AA22" i="3"/>
  <c r="W309" i="3"/>
  <c r="X245" i="3"/>
  <c r="X249" i="3"/>
  <c r="AA80" i="3"/>
  <c r="AA86" i="3"/>
  <c r="AA32" i="3"/>
  <c r="AA31" i="3"/>
  <c r="AA84" i="3"/>
  <c r="AA79" i="3"/>
  <c r="AA81" i="3"/>
  <c r="AA33" i="3"/>
  <c r="AA82" i="3"/>
  <c r="AA30" i="3"/>
  <c r="AA29" i="3"/>
  <c r="Y176" i="3"/>
  <c r="Y183" i="3"/>
  <c r="Y172" i="3"/>
  <c r="AA20" i="3"/>
  <c r="Y249" i="3"/>
  <c r="X309" i="3"/>
  <c r="Y245" i="3"/>
  <c r="Z176" i="3"/>
  <c r="Z183" i="3"/>
  <c r="Z172" i="3"/>
  <c r="Z245" i="3"/>
  <c r="Z249" i="3"/>
  <c r="Y309" i="3"/>
  <c r="AA176" i="3"/>
  <c r="AA183" i="3"/>
  <c r="AA172" i="3"/>
  <c r="Z309" i="3"/>
  <c r="AA249" i="3"/>
  <c r="AA245" i="3"/>
  <c r="AA309" i="3"/>
  <c r="N445" i="3"/>
  <c r="N462" i="3"/>
  <c r="N454" i="3"/>
  <c r="N437" i="3"/>
  <c r="H455" i="3"/>
  <c r="O161" i="13"/>
  <c r="O455" i="3"/>
  <c r="O463" i="3"/>
  <c r="H463" i="3"/>
  <c r="M445" i="3"/>
  <c r="M462" i="3"/>
  <c r="M437" i="3"/>
  <c r="M454" i="3"/>
  <c r="O126" i="15"/>
  <c r="O133" i="15"/>
  <c r="O134" i="15"/>
  <c r="O131" i="15"/>
  <c r="O132" i="15"/>
  <c r="O129" i="15"/>
  <c r="O127" i="15"/>
  <c r="O128" i="15"/>
  <c r="K12" i="8"/>
  <c r="L12" i="8"/>
  <c r="H228" i="4"/>
  <c r="I228" i="4"/>
  <c r="G191" i="3"/>
  <c r="K174" i="3"/>
  <c r="L174" i="3"/>
  <c r="M174" i="3"/>
  <c r="N174" i="3"/>
  <c r="O174" i="3"/>
  <c r="P174" i="3"/>
  <c r="Q174" i="3"/>
  <c r="R174" i="3"/>
  <c r="S174" i="3"/>
  <c r="T174" i="3"/>
  <c r="U174" i="3"/>
  <c r="V174" i="3"/>
  <c r="W174" i="3"/>
  <c r="X174" i="3"/>
  <c r="Y174" i="3"/>
  <c r="Z174" i="3"/>
  <c r="AA174" i="3"/>
  <c r="K21" i="8"/>
  <c r="H229" i="4"/>
  <c r="I229" i="4"/>
  <c r="G192" i="3"/>
  <c r="K22" i="8"/>
  <c r="H230" i="4"/>
  <c r="I230" i="4"/>
  <c r="H192" i="3"/>
  <c r="G193" i="3"/>
  <c r="H193" i="3"/>
  <c r="I192" i="3"/>
  <c r="I193" i="3"/>
  <c r="G24" i="13"/>
  <c r="J192" i="3"/>
  <c r="J193" i="3"/>
  <c r="K192" i="3"/>
  <c r="H24" i="13"/>
  <c r="G31" i="13"/>
  <c r="K193" i="3"/>
  <c r="L192" i="3"/>
  <c r="I24" i="13"/>
  <c r="H31" i="13"/>
  <c r="L193" i="3"/>
  <c r="M192" i="3"/>
  <c r="J24" i="13"/>
  <c r="I31" i="13"/>
  <c r="M193" i="3"/>
  <c r="N192" i="3"/>
  <c r="L24" i="13"/>
  <c r="K24" i="13"/>
  <c r="J31" i="13"/>
  <c r="N193" i="3"/>
  <c r="O192" i="3"/>
  <c r="L31" i="13"/>
  <c r="K31" i="13"/>
  <c r="P192" i="3"/>
  <c r="O193" i="3"/>
  <c r="M24" i="13"/>
  <c r="Q192" i="3"/>
  <c r="P193" i="3"/>
  <c r="N24" i="13"/>
  <c r="M31" i="13"/>
  <c r="N31" i="13"/>
  <c r="Q193" i="3"/>
  <c r="R192" i="3"/>
  <c r="O24" i="13"/>
  <c r="S192" i="3"/>
  <c r="R193" i="3"/>
  <c r="O31" i="13"/>
  <c r="P24" i="13"/>
  <c r="T192" i="3"/>
  <c r="S193" i="3"/>
  <c r="Q24" i="13"/>
  <c r="P31" i="13"/>
  <c r="G64" i="13"/>
  <c r="T193" i="3"/>
  <c r="U192" i="3"/>
  <c r="R24" i="13"/>
  <c r="Q31" i="13"/>
  <c r="U193" i="3"/>
  <c r="V192" i="3"/>
  <c r="R31" i="13"/>
  <c r="S24" i="13"/>
  <c r="V193" i="3"/>
  <c r="W192" i="3"/>
  <c r="T24" i="13"/>
  <c r="S31" i="13"/>
  <c r="W193" i="3"/>
  <c r="X192" i="3"/>
  <c r="T31" i="13"/>
  <c r="Y192" i="3"/>
  <c r="X193" i="3"/>
  <c r="Z192" i="3"/>
  <c r="Y193" i="3"/>
  <c r="Z193" i="3"/>
  <c r="AA192" i="3"/>
  <c r="AA193" i="3"/>
  <c r="H64" i="13"/>
  <c r="I445" i="3"/>
  <c r="I462" i="3"/>
  <c r="I437" i="3"/>
  <c r="I454" i="3"/>
  <c r="I64" i="13"/>
  <c r="J64" i="13"/>
  <c r="K64" i="13"/>
  <c r="L64" i="13"/>
  <c r="M64" i="13"/>
  <c r="N64" i="13"/>
  <c r="O64" i="13"/>
  <c r="P64" i="13"/>
  <c r="Q64" i="13"/>
  <c r="R64" i="13"/>
  <c r="S64" i="13"/>
  <c r="T64" i="13"/>
  <c r="H57" i="7"/>
  <c r="J57" i="7"/>
  <c r="K57" i="7"/>
  <c r="O12" i="15"/>
  <c r="J12" i="15"/>
  <c r="L12" i="15"/>
  <c r="K12" i="15"/>
  <c r="K290" i="15"/>
  <c r="M12" i="15"/>
  <c r="M10" i="15"/>
  <c r="M15" i="15"/>
  <c r="N12" i="15"/>
  <c r="H12" i="15"/>
  <c r="H290" i="15"/>
  <c r="J290" i="15"/>
  <c r="O290" i="15"/>
  <c r="L290" i="15"/>
  <c r="N290" i="15"/>
  <c r="J245" i="16"/>
  <c r="Z87" i="3"/>
  <c r="AA87" i="3"/>
  <c r="I12" i="10"/>
  <c r="K12" i="10"/>
  <c r="H275" i="4"/>
  <c r="I275" i="4"/>
  <c r="G247" i="3"/>
  <c r="G26" i="13"/>
  <c r="H247" i="3"/>
  <c r="L230" i="16"/>
  <c r="G33" i="13"/>
  <c r="K230" i="16"/>
  <c r="H26" i="13"/>
  <c r="I247" i="3"/>
  <c r="M230" i="16"/>
  <c r="H33" i="13"/>
  <c r="I26" i="13"/>
  <c r="J247" i="3"/>
  <c r="N230" i="16"/>
  <c r="I33" i="13"/>
  <c r="J26" i="13"/>
  <c r="K247" i="3"/>
  <c r="O230" i="16"/>
  <c r="J33" i="13"/>
  <c r="K26" i="13"/>
  <c r="L247" i="3"/>
  <c r="P230" i="16"/>
  <c r="K33" i="13"/>
  <c r="L26" i="13"/>
  <c r="M247" i="3"/>
  <c r="Q230" i="16"/>
  <c r="L33" i="13"/>
  <c r="N247" i="3"/>
  <c r="M26" i="13"/>
  <c r="N26" i="13"/>
  <c r="O247" i="3"/>
  <c r="M33" i="13"/>
  <c r="O26" i="13"/>
  <c r="P247" i="3"/>
  <c r="N33" i="13"/>
  <c r="P26" i="13"/>
  <c r="Q247" i="3"/>
  <c r="O33" i="13"/>
  <c r="Q26" i="13"/>
  <c r="R247" i="3"/>
  <c r="P33" i="13"/>
  <c r="Q33" i="13"/>
  <c r="R26" i="13"/>
  <c r="S247" i="3"/>
  <c r="R33" i="13"/>
  <c r="S26" i="13"/>
  <c r="T247" i="3"/>
  <c r="S33" i="13"/>
  <c r="T26" i="13"/>
  <c r="U247" i="3"/>
  <c r="T33" i="13"/>
  <c r="V247" i="3"/>
  <c r="W247" i="3"/>
  <c r="X247" i="3"/>
  <c r="Y247" i="3"/>
  <c r="Z247" i="3"/>
  <c r="AA247" i="3"/>
  <c r="L16" i="10"/>
  <c r="I13" i="10"/>
  <c r="K13" i="10"/>
  <c r="K16" i="10"/>
  <c r="H276" i="4"/>
  <c r="I276" i="4"/>
  <c r="G248" i="3"/>
  <c r="G27" i="13"/>
  <c r="K231" i="16"/>
  <c r="H248" i="3"/>
  <c r="L231" i="16"/>
  <c r="I248" i="3"/>
  <c r="H27" i="13"/>
  <c r="G34" i="13"/>
  <c r="M231" i="16"/>
  <c r="I27" i="13"/>
  <c r="J248" i="3"/>
  <c r="H34" i="13"/>
  <c r="N231" i="16"/>
  <c r="K248" i="3"/>
  <c r="J27" i="13"/>
  <c r="I34" i="13"/>
  <c r="O231" i="16"/>
  <c r="L248" i="3"/>
  <c r="K27" i="13"/>
  <c r="J34" i="13"/>
  <c r="P231" i="16"/>
  <c r="L27" i="13"/>
  <c r="M248" i="3"/>
  <c r="K34" i="13"/>
  <c r="L34" i="13"/>
  <c r="Q231" i="16"/>
  <c r="M27" i="13"/>
  <c r="N248" i="3"/>
  <c r="N27" i="13"/>
  <c r="O248" i="3"/>
  <c r="M34" i="13"/>
  <c r="O27" i="13"/>
  <c r="P248" i="3"/>
  <c r="N34" i="13"/>
  <c r="O34" i="13"/>
  <c r="P27" i="13"/>
  <c r="Q248" i="3"/>
  <c r="R248" i="3"/>
  <c r="Q27" i="13"/>
  <c r="P34" i="13"/>
  <c r="S248" i="3"/>
  <c r="R27" i="13"/>
  <c r="Q34" i="13"/>
  <c r="R34" i="13"/>
  <c r="T248" i="3"/>
  <c r="S27" i="13"/>
  <c r="T27" i="13"/>
  <c r="U248" i="3"/>
  <c r="S34" i="13"/>
  <c r="V248" i="3"/>
  <c r="T34" i="13"/>
  <c r="W248" i="3"/>
  <c r="X248" i="3"/>
  <c r="Y248" i="3"/>
  <c r="Z248" i="3"/>
  <c r="AA248" i="3"/>
  <c r="J242" i="16"/>
  <c r="H462" i="3"/>
  <c r="H445" i="3"/>
  <c r="H454" i="3"/>
  <c r="H437" i="3"/>
  <c r="H287" i="15"/>
  <c r="J287" i="15"/>
  <c r="K287" i="15"/>
  <c r="O287" i="15"/>
  <c r="M287" i="15"/>
  <c r="L287" i="15"/>
  <c r="K35" i="7"/>
  <c r="J35" i="7"/>
  <c r="Z28" i="3"/>
  <c r="H38" i="7"/>
  <c r="J38" i="7"/>
  <c r="AA28" i="3"/>
  <c r="I188" i="4"/>
  <c r="G150" i="17"/>
  <c r="H150" i="17"/>
  <c r="G151" i="17"/>
  <c r="J75" i="7"/>
  <c r="G150" i="3"/>
  <c r="G151" i="3"/>
  <c r="J10" i="15"/>
  <c r="J288" i="15"/>
  <c r="K75" i="7"/>
  <c r="H10" i="15"/>
  <c r="H288" i="15"/>
  <c r="O10" i="15"/>
  <c r="K10" i="15"/>
  <c r="L10" i="15"/>
  <c r="L288" i="15"/>
  <c r="N10" i="15"/>
  <c r="N288" i="15"/>
  <c r="H150" i="3"/>
  <c r="I150" i="3"/>
  <c r="H151" i="3"/>
  <c r="M288" i="15"/>
  <c r="J15" i="15"/>
  <c r="I15" i="15"/>
  <c r="O288" i="15"/>
  <c r="J150" i="3"/>
  <c r="I151" i="3"/>
  <c r="K150" i="3"/>
  <c r="J151" i="3"/>
  <c r="L150" i="3"/>
  <c r="K151" i="3"/>
  <c r="M150" i="3"/>
  <c r="L151" i="3"/>
  <c r="M151" i="3"/>
  <c r="N150" i="3"/>
  <c r="O150" i="3"/>
  <c r="N151" i="3"/>
  <c r="O151" i="3"/>
  <c r="P150" i="3"/>
  <c r="Q150" i="3"/>
  <c r="P151" i="3"/>
  <c r="Q151" i="3"/>
  <c r="R150" i="3"/>
  <c r="S150" i="3"/>
  <c r="R151" i="3"/>
  <c r="T150" i="3"/>
  <c r="S151" i="3"/>
  <c r="T151" i="3"/>
  <c r="U150" i="3"/>
  <c r="U151" i="3"/>
  <c r="V150" i="3"/>
  <c r="W150" i="3"/>
  <c r="V151" i="3"/>
  <c r="Z73" i="3"/>
  <c r="X150" i="3"/>
  <c r="W151" i="3"/>
  <c r="X151" i="3"/>
  <c r="Y150" i="3"/>
  <c r="AA73" i="3"/>
  <c r="Z150" i="3"/>
  <c r="Y151" i="3"/>
  <c r="Z151" i="3"/>
  <c r="AA150" i="3"/>
  <c r="AA151" i="3"/>
  <c r="L38" i="17"/>
  <c r="Z196" i="17"/>
  <c r="T197" i="17"/>
  <c r="H196" i="17"/>
  <c r="H197" i="17"/>
  <c r="H151" i="17"/>
  <c r="Q197" i="17"/>
  <c r="I150" i="17"/>
  <c r="J150" i="17"/>
  <c r="K150" i="17"/>
  <c r="L150" i="17"/>
  <c r="M150" i="17"/>
  <c r="N150" i="17"/>
  <c r="O150" i="17"/>
  <c r="K39" i="17"/>
  <c r="I40" i="17"/>
  <c r="H250" i="17"/>
  <c r="N250" i="17"/>
  <c r="O243" i="17"/>
  <c r="P243" i="17"/>
  <c r="Q243" i="17"/>
  <c r="R243" i="17"/>
  <c r="I242" i="17"/>
  <c r="J242" i="17"/>
  <c r="K242" i="17"/>
  <c r="L242" i="17"/>
  <c r="M242" i="17"/>
  <c r="J320" i="3"/>
  <c r="I127" i="13"/>
  <c r="I57" i="15"/>
  <c r="H127" i="13"/>
  <c r="M366" i="17"/>
  <c r="H366" i="17"/>
  <c r="I164" i="13"/>
  <c r="K366" i="17"/>
  <c r="H239" i="15"/>
  <c r="J366" i="17"/>
  <c r="H257" i="4"/>
  <c r="G18" i="13"/>
  <c r="K40" i="16"/>
  <c r="H252" i="4"/>
  <c r="K38" i="16"/>
  <c r="S197" i="17"/>
  <c r="S196" i="17"/>
  <c r="K196" i="17"/>
  <c r="K197" i="17"/>
  <c r="J250" i="17"/>
  <c r="P197" i="17"/>
  <c r="P196" i="17"/>
  <c r="I196" i="17"/>
  <c r="I197" i="17"/>
  <c r="N196" i="17"/>
  <c r="N197" i="17"/>
  <c r="M250" i="17"/>
  <c r="K250" i="17"/>
  <c r="L197" i="17"/>
  <c r="L196" i="17"/>
  <c r="Y197" i="17"/>
  <c r="Y196" i="17"/>
  <c r="J196" i="17"/>
  <c r="I249" i="17"/>
  <c r="I250" i="17"/>
  <c r="O197" i="17"/>
  <c r="O196" i="17"/>
  <c r="V196" i="17"/>
  <c r="V197" i="17"/>
  <c r="M197" i="17"/>
  <c r="M196" i="17"/>
  <c r="L249" i="17"/>
  <c r="L250" i="17"/>
  <c r="G250" i="17"/>
  <c r="Z197" i="17"/>
  <c r="W196" i="17"/>
  <c r="Q196" i="17"/>
  <c r="G249" i="17"/>
  <c r="U196" i="17"/>
  <c r="AA196" i="17"/>
  <c r="T196" i="17"/>
  <c r="H132" i="15"/>
  <c r="H131" i="15"/>
  <c r="O90" i="15"/>
  <c r="AA90" i="15"/>
  <c r="W90" i="15"/>
  <c r="K445" i="17"/>
  <c r="K462" i="17"/>
  <c r="K453" i="17"/>
  <c r="K470" i="17"/>
  <c r="F421" i="3"/>
  <c r="F414" i="3"/>
  <c r="F418" i="3"/>
  <c r="F422" i="3"/>
  <c r="F424" i="3"/>
  <c r="H166" i="3"/>
  <c r="I166" i="3"/>
  <c r="J166" i="3"/>
  <c r="L90" i="15"/>
  <c r="X90" i="15"/>
  <c r="S90" i="15"/>
  <c r="G365" i="17"/>
  <c r="K356" i="3"/>
  <c r="K364" i="17"/>
  <c r="K446" i="17"/>
  <c r="K454" i="17"/>
  <c r="J166" i="13"/>
  <c r="J161" i="13"/>
  <c r="L163" i="13"/>
  <c r="N287" i="15"/>
  <c r="N11" i="15"/>
  <c r="N289" i="15"/>
  <c r="N293" i="15"/>
  <c r="N296" i="15"/>
  <c r="H365" i="17"/>
  <c r="M206" i="15"/>
  <c r="M365" i="17"/>
  <c r="K11" i="15"/>
  <c r="K15" i="15"/>
  <c r="K288" i="15"/>
  <c r="K289" i="15"/>
  <c r="K293" i="15"/>
  <c r="K296" i="15"/>
  <c r="J293" i="15"/>
  <c r="J296" i="15"/>
  <c r="G15" i="15"/>
  <c r="J163" i="13"/>
  <c r="J365" i="17"/>
  <c r="M357" i="3"/>
  <c r="M163" i="13"/>
  <c r="H293" i="15"/>
  <c r="H296" i="15"/>
  <c r="L365" i="17"/>
  <c r="M290" i="15"/>
  <c r="M293" i="15"/>
  <c r="M296" i="15"/>
  <c r="K365" i="17"/>
  <c r="H15" i="15"/>
  <c r="O356" i="3"/>
  <c r="K363" i="17"/>
  <c r="I363" i="17"/>
  <c r="G446" i="17"/>
  <c r="G454" i="17"/>
  <c r="G447" i="17"/>
  <c r="G455" i="17"/>
  <c r="M370" i="17"/>
  <c r="H280" i="15"/>
  <c r="I277" i="15"/>
  <c r="I280" i="15"/>
  <c r="J277" i="15"/>
  <c r="J280" i="15"/>
  <c r="K277" i="15"/>
  <c r="K280" i="15"/>
  <c r="L277" i="15"/>
  <c r="L280" i="15"/>
  <c r="M277" i="15"/>
  <c r="M280" i="15"/>
  <c r="N277" i="15"/>
  <c r="P2" i="15"/>
  <c r="O242" i="15"/>
  <c r="O358" i="3"/>
  <c r="O164" i="13"/>
  <c r="N132" i="15"/>
  <c r="N193" i="15"/>
  <c r="N187" i="15"/>
  <c r="M128" i="15"/>
  <c r="M211" i="15"/>
  <c r="M205" i="15"/>
  <c r="G370" i="17"/>
  <c r="F428" i="17"/>
  <c r="N129" i="15"/>
  <c r="K370" i="17"/>
  <c r="L11" i="15"/>
  <c r="O193" i="15"/>
  <c r="O187" i="15"/>
  <c r="O247" i="15"/>
  <c r="O241" i="15"/>
  <c r="N229" i="15"/>
  <c r="N223" i="15"/>
  <c r="M247" i="15"/>
  <c r="M241" i="15"/>
  <c r="N126" i="15"/>
  <c r="M268" i="15"/>
  <c r="K126" i="15"/>
  <c r="G366" i="17"/>
  <c r="O206" i="15"/>
  <c r="O357" i="3"/>
  <c r="O163" i="13"/>
  <c r="J364" i="17"/>
  <c r="H128" i="15"/>
  <c r="K129" i="15"/>
  <c r="I129" i="15"/>
  <c r="K133" i="15"/>
  <c r="G363" i="17"/>
  <c r="O173" i="15"/>
  <c r="O167" i="15"/>
  <c r="O11" i="15"/>
  <c r="N206" i="15"/>
  <c r="N357" i="3"/>
  <c r="N163" i="13"/>
  <c r="G164" i="13"/>
  <c r="G267" i="15"/>
  <c r="G270" i="15"/>
  <c r="K128" i="15"/>
  <c r="N134" i="15"/>
  <c r="N211" i="15"/>
  <c r="N205" i="15"/>
  <c r="N168" i="15"/>
  <c r="M129" i="15"/>
  <c r="J90" i="15"/>
  <c r="V90" i="15"/>
  <c r="M90" i="15"/>
  <c r="Y90" i="15"/>
  <c r="K90" i="15"/>
  <c r="N90" i="15"/>
  <c r="G132" i="15"/>
  <c r="Z90" i="15"/>
  <c r="Q90" i="15"/>
  <c r="H90" i="15"/>
  <c r="T90" i="15"/>
  <c r="R90" i="15"/>
  <c r="U90" i="15"/>
  <c r="P90" i="15"/>
  <c r="H191" i="3"/>
  <c r="G257" i="17"/>
  <c r="G175" i="3"/>
  <c r="G241" i="17"/>
  <c r="G173" i="3"/>
  <c r="G239" i="17"/>
  <c r="I90" i="15"/>
  <c r="I131" i="15"/>
  <c r="J131" i="15"/>
  <c r="J127" i="15"/>
  <c r="G131" i="15"/>
  <c r="K127" i="15"/>
  <c r="H133" i="15"/>
  <c r="H134" i="15"/>
  <c r="I134" i="15"/>
  <c r="K131" i="15"/>
  <c r="I132" i="15"/>
  <c r="J133" i="15"/>
  <c r="K249" i="17"/>
  <c r="Q250" i="17"/>
  <c r="O250" i="17"/>
  <c r="J151" i="17"/>
  <c r="M38" i="17"/>
  <c r="N151" i="17"/>
  <c r="K151" i="17"/>
  <c r="L151" i="17"/>
  <c r="I151" i="17"/>
  <c r="M151" i="17"/>
  <c r="J40" i="17"/>
  <c r="P150" i="17"/>
  <c r="O151" i="17"/>
  <c r="L39" i="17"/>
  <c r="P250" i="17"/>
  <c r="N242" i="17"/>
  <c r="M249" i="17"/>
  <c r="J249" i="17"/>
  <c r="S243" i="17"/>
  <c r="R250" i="17"/>
  <c r="J57" i="15"/>
  <c r="I63" i="15"/>
  <c r="J127" i="13"/>
  <c r="K320" i="3"/>
  <c r="G50" i="15"/>
  <c r="H368" i="17"/>
  <c r="K39" i="16"/>
  <c r="H251" i="4"/>
  <c r="G230" i="3"/>
  <c r="H258" i="4"/>
  <c r="H268" i="4"/>
  <c r="H254" i="4"/>
  <c r="L445" i="17"/>
  <c r="L462" i="17"/>
  <c r="L453" i="17"/>
  <c r="L470" i="17"/>
  <c r="K132" i="15"/>
  <c r="I133" i="15"/>
  <c r="K134" i="15"/>
  <c r="N362" i="3"/>
  <c r="N168" i="13"/>
  <c r="N370" i="17"/>
  <c r="L289" i="15"/>
  <c r="L293" i="15"/>
  <c r="L296" i="15"/>
  <c r="L15" i="15"/>
  <c r="P11" i="15"/>
  <c r="P289" i="15"/>
  <c r="P269" i="15"/>
  <c r="P278" i="15"/>
  <c r="P153" i="15"/>
  <c r="P147" i="15"/>
  <c r="P168" i="15"/>
  <c r="P229" i="15"/>
  <c r="P223" i="15"/>
  <c r="P134" i="15"/>
  <c r="Q2" i="15"/>
  <c r="P132" i="15"/>
  <c r="P247" i="15"/>
  <c r="P241" i="15"/>
  <c r="P129" i="15"/>
  <c r="P127" i="15"/>
  <c r="P131" i="15"/>
  <c r="P274" i="15"/>
  <c r="P267" i="15"/>
  <c r="P206" i="15"/>
  <c r="P128" i="15"/>
  <c r="P224" i="15"/>
  <c r="P126" i="15"/>
  <c r="P268" i="15"/>
  <c r="P188" i="15"/>
  <c r="P173" i="15"/>
  <c r="P167" i="15"/>
  <c r="P242" i="15"/>
  <c r="P211" i="15"/>
  <c r="P205" i="15"/>
  <c r="P193" i="15"/>
  <c r="P187" i="15"/>
  <c r="P133" i="15"/>
  <c r="P7" i="15"/>
  <c r="P285" i="15"/>
  <c r="P9" i="15"/>
  <c r="P287" i="15"/>
  <c r="P6" i="15"/>
  <c r="P284" i="15"/>
  <c r="P8" i="15"/>
  <c r="P286" i="15"/>
  <c r="P5" i="15"/>
  <c r="P13" i="15"/>
  <c r="P291" i="15"/>
  <c r="P10" i="15"/>
  <c r="P288" i="15"/>
  <c r="P12" i="15"/>
  <c r="P290" i="15"/>
  <c r="O162" i="13"/>
  <c r="O438" i="3"/>
  <c r="O446" i="3"/>
  <c r="O360" i="3"/>
  <c r="O166" i="13"/>
  <c r="K162" i="13"/>
  <c r="K438" i="3"/>
  <c r="K446" i="3"/>
  <c r="M356" i="3"/>
  <c r="M364" i="17"/>
  <c r="G463" i="17"/>
  <c r="G471" i="17"/>
  <c r="G464" i="17"/>
  <c r="G472" i="17"/>
  <c r="G368" i="17"/>
  <c r="G121" i="13"/>
  <c r="G321" i="17"/>
  <c r="G49" i="15"/>
  <c r="O366" i="17"/>
  <c r="I161" i="13"/>
  <c r="I455" i="3"/>
  <c r="I463" i="3"/>
  <c r="H166" i="13"/>
  <c r="H163" i="13"/>
  <c r="G320" i="17"/>
  <c r="G120" i="13"/>
  <c r="G48" i="15"/>
  <c r="I463" i="17"/>
  <c r="I471" i="17"/>
  <c r="N15" i="15"/>
  <c r="O289" i="15"/>
  <c r="O293" i="15"/>
  <c r="O296" i="15"/>
  <c r="O15" i="15"/>
  <c r="G429" i="17"/>
  <c r="G343" i="17"/>
  <c r="G344" i="17"/>
  <c r="G347" i="17"/>
  <c r="G349" i="17"/>
  <c r="G353" i="17"/>
  <c r="G355" i="17"/>
  <c r="G356" i="17"/>
  <c r="G358" i="17"/>
  <c r="G283" i="17"/>
  <c r="G284" i="17"/>
  <c r="G359" i="17"/>
  <c r="G361" i="17"/>
  <c r="G372" i="17"/>
  <c r="G309" i="17"/>
  <c r="G422" i="17"/>
  <c r="G318" i="17"/>
  <c r="G323" i="17"/>
  <c r="G426" i="17"/>
  <c r="G430" i="17"/>
  <c r="G432" i="17"/>
  <c r="F429" i="17"/>
  <c r="F422" i="17"/>
  <c r="F426" i="17"/>
  <c r="F430" i="17"/>
  <c r="F432" i="17"/>
  <c r="G166" i="13"/>
  <c r="G163" i="13"/>
  <c r="J446" i="17"/>
  <c r="J454" i="17"/>
  <c r="J368" i="17"/>
  <c r="N365" i="17"/>
  <c r="H265" i="15"/>
  <c r="G319" i="17"/>
  <c r="H447" i="17"/>
  <c r="H455" i="17"/>
  <c r="G51" i="15"/>
  <c r="G313" i="3"/>
  <c r="H246" i="15"/>
  <c r="G314" i="17"/>
  <c r="G308" i="3"/>
  <c r="G114" i="13"/>
  <c r="G45" i="15"/>
  <c r="G47" i="15"/>
  <c r="O365" i="17"/>
  <c r="K463" i="17"/>
  <c r="K471" i="17"/>
  <c r="K368" i="17"/>
  <c r="K161" i="13"/>
  <c r="K166" i="13"/>
  <c r="K455" i="3"/>
  <c r="K463" i="3"/>
  <c r="N19" i="15"/>
  <c r="K150" i="13"/>
  <c r="I19" i="15"/>
  <c r="H38" i="13"/>
  <c r="I191" i="3"/>
  <c r="H175" i="3"/>
  <c r="L19" i="15"/>
  <c r="H173" i="3"/>
  <c r="J132" i="15"/>
  <c r="J134" i="15"/>
  <c r="G108" i="15"/>
  <c r="G100" i="15"/>
  <c r="G102" i="15"/>
  <c r="K166" i="3"/>
  <c r="N38" i="17"/>
  <c r="Y194" i="17"/>
  <c r="H194" i="17"/>
  <c r="K40" i="17"/>
  <c r="M39" i="17"/>
  <c r="Q150" i="17"/>
  <c r="P151" i="17"/>
  <c r="T243" i="17"/>
  <c r="S250" i="17"/>
  <c r="O242" i="17"/>
  <c r="N249" i="17"/>
  <c r="L320" i="3"/>
  <c r="K127" i="13"/>
  <c r="K57" i="15"/>
  <c r="J63" i="15"/>
  <c r="O368" i="17"/>
  <c r="O194" i="17"/>
  <c r="V194" i="17"/>
  <c r="P194" i="17"/>
  <c r="G194" i="17"/>
  <c r="M445" i="17"/>
  <c r="M462" i="17"/>
  <c r="M453" i="17"/>
  <c r="M470" i="17"/>
  <c r="Q229" i="15"/>
  <c r="Q223" i="15"/>
  <c r="Q126" i="15"/>
  <c r="Q132" i="15"/>
  <c r="Q153" i="15"/>
  <c r="Q147" i="15"/>
  <c r="Q134" i="15"/>
  <c r="Q127" i="15"/>
  <c r="Q193" i="15"/>
  <c r="Q187" i="15"/>
  <c r="R2" i="15"/>
  <c r="Q11" i="15"/>
  <c r="Q289" i="15"/>
  <c r="Q274" i="15"/>
  <c r="Q267" i="15"/>
  <c r="Q129" i="15"/>
  <c r="Q242" i="15"/>
  <c r="Q173" i="15"/>
  <c r="Q167" i="15"/>
  <c r="Q247" i="15"/>
  <c r="Q241" i="15"/>
  <c r="Q133" i="15"/>
  <c r="Q211" i="15"/>
  <c r="Q205" i="15"/>
  <c r="Q131" i="15"/>
  <c r="Q168" i="15"/>
  <c r="Q128" i="15"/>
  <c r="Q9" i="15"/>
  <c r="Q287" i="15"/>
  <c r="Q188" i="15"/>
  <c r="Q268" i="15"/>
  <c r="Q224" i="15"/>
  <c r="Q269" i="15"/>
  <c r="Q278" i="15"/>
  <c r="Q12" i="15"/>
  <c r="Q290" i="15"/>
  <c r="Q7" i="15"/>
  <c r="Q285" i="15"/>
  <c r="Q10" i="15"/>
  <c r="Q288" i="15"/>
  <c r="Q5" i="15"/>
  <c r="Q8" i="15"/>
  <c r="Q286" i="15"/>
  <c r="Q6" i="15"/>
  <c r="Q284" i="15"/>
  <c r="Q13" i="15"/>
  <c r="Q291" i="15"/>
  <c r="Q206" i="15"/>
  <c r="H247" i="15"/>
  <c r="H241" i="15"/>
  <c r="H243" i="15"/>
  <c r="P362" i="3"/>
  <c r="P168" i="13"/>
  <c r="P370" i="17"/>
  <c r="P366" i="17"/>
  <c r="P358" i="3"/>
  <c r="P164" i="13"/>
  <c r="M162" i="13"/>
  <c r="M360" i="3"/>
  <c r="M166" i="13"/>
  <c r="M438" i="3"/>
  <c r="M446" i="3"/>
  <c r="O19" i="15"/>
  <c r="P357" i="3"/>
  <c r="P163" i="13"/>
  <c r="P365" i="17"/>
  <c r="M446" i="17"/>
  <c r="M454" i="17"/>
  <c r="M368" i="17"/>
  <c r="G119" i="13"/>
  <c r="H439" i="3"/>
  <c r="H447" i="3"/>
  <c r="G118" i="13"/>
  <c r="H456" i="3"/>
  <c r="H464" i="3"/>
  <c r="P283" i="15"/>
  <c r="P293" i="15"/>
  <c r="P296" i="15"/>
  <c r="P15" i="15"/>
  <c r="P355" i="3"/>
  <c r="P363" i="17"/>
  <c r="H464" i="17"/>
  <c r="H472" i="17"/>
  <c r="H270" i="15"/>
  <c r="H273" i="15"/>
  <c r="H275" i="15"/>
  <c r="P356" i="3"/>
  <c r="P364" i="17"/>
  <c r="P446" i="17"/>
  <c r="P454" i="17"/>
  <c r="L150" i="13"/>
  <c r="V341" i="3"/>
  <c r="Q341" i="3"/>
  <c r="Q150" i="13"/>
  <c r="G19" i="15"/>
  <c r="Y341" i="3"/>
  <c r="S341" i="3"/>
  <c r="S150" i="13"/>
  <c r="Z341" i="3"/>
  <c r="E11" i="14"/>
  <c r="H40" i="13"/>
  <c r="I38" i="13"/>
  <c r="K19" i="15"/>
  <c r="J191" i="3"/>
  <c r="P19" i="15"/>
  <c r="G303" i="17"/>
  <c r="I175" i="3"/>
  <c r="J19" i="15"/>
  <c r="H19" i="15"/>
  <c r="R341" i="3"/>
  <c r="R150" i="13"/>
  <c r="M19" i="15"/>
  <c r="K193" i="16"/>
  <c r="K76" i="16"/>
  <c r="I173" i="3"/>
  <c r="G145" i="13"/>
  <c r="G297" i="3"/>
  <c r="G102" i="13"/>
  <c r="G384" i="3"/>
  <c r="G44" i="13"/>
  <c r="J150" i="13"/>
  <c r="H150" i="13"/>
  <c r="G302" i="17"/>
  <c r="H44" i="13"/>
  <c r="O341" i="3"/>
  <c r="O150" i="13"/>
  <c r="H103" i="15"/>
  <c r="I104" i="15"/>
  <c r="J105" i="15"/>
  <c r="G150" i="13"/>
  <c r="G389" i="3"/>
  <c r="G296" i="3"/>
  <c r="G109" i="15"/>
  <c r="X341" i="3"/>
  <c r="L166" i="3"/>
  <c r="W341" i="3"/>
  <c r="G107" i="15"/>
  <c r="H349" i="17"/>
  <c r="O38" i="17"/>
  <c r="R194" i="17"/>
  <c r="Q194" i="17"/>
  <c r="X194" i="17"/>
  <c r="AA194" i="17"/>
  <c r="K194" i="17"/>
  <c r="U194" i="17"/>
  <c r="M194" i="17"/>
  <c r="Z194" i="17"/>
  <c r="S194" i="17"/>
  <c r="J194" i="17"/>
  <c r="T194" i="17"/>
  <c r="W194" i="17"/>
  <c r="I194" i="17"/>
  <c r="L194" i="17"/>
  <c r="N194" i="17"/>
  <c r="R150" i="17"/>
  <c r="Q151" i="17"/>
  <c r="L40" i="17"/>
  <c r="N39" i="17"/>
  <c r="P242" i="17"/>
  <c r="O249" i="17"/>
  <c r="T250" i="17"/>
  <c r="U243" i="17"/>
  <c r="L57" i="15"/>
  <c r="K63" i="15"/>
  <c r="M320" i="3"/>
  <c r="L127" i="13"/>
  <c r="G38" i="13"/>
  <c r="N445" i="17"/>
  <c r="N462" i="17"/>
  <c r="N453" i="17"/>
  <c r="N470" i="17"/>
  <c r="D14" i="14"/>
  <c r="G123" i="13"/>
  <c r="Q366" i="17"/>
  <c r="Q358" i="3"/>
  <c r="Q164" i="13"/>
  <c r="H320" i="17"/>
  <c r="H48" i="15"/>
  <c r="H120" i="13"/>
  <c r="H50" i="15"/>
  <c r="I239" i="15"/>
  <c r="Q356" i="3"/>
  <c r="Q364" i="17"/>
  <c r="Q446" i="17"/>
  <c r="Q454" i="17"/>
  <c r="H248" i="15"/>
  <c r="Q355" i="3"/>
  <c r="Q363" i="17"/>
  <c r="R206" i="15"/>
  <c r="S2" i="15"/>
  <c r="R268" i="15"/>
  <c r="R133" i="15"/>
  <c r="R224" i="15"/>
  <c r="R131" i="15"/>
  <c r="R229" i="15"/>
  <c r="R223" i="15"/>
  <c r="R128" i="15"/>
  <c r="R126" i="15"/>
  <c r="R193" i="15"/>
  <c r="R187" i="15"/>
  <c r="R188" i="15"/>
  <c r="R11" i="15"/>
  <c r="R289" i="15"/>
  <c r="R168" i="15"/>
  <c r="R242" i="15"/>
  <c r="R173" i="15"/>
  <c r="R167" i="15"/>
  <c r="R134" i="15"/>
  <c r="R269" i="15"/>
  <c r="R278" i="15"/>
  <c r="R132" i="15"/>
  <c r="R211" i="15"/>
  <c r="R205" i="15"/>
  <c r="R129" i="15"/>
  <c r="R274" i="15"/>
  <c r="R267" i="15"/>
  <c r="R153" i="15"/>
  <c r="R147" i="15"/>
  <c r="R127" i="15"/>
  <c r="R9" i="15"/>
  <c r="R287" i="15"/>
  <c r="R247" i="15"/>
  <c r="R241" i="15"/>
  <c r="R13" i="15"/>
  <c r="R291" i="15"/>
  <c r="R8" i="15"/>
  <c r="R286" i="15"/>
  <c r="R12" i="15"/>
  <c r="R290" i="15"/>
  <c r="R10" i="15"/>
  <c r="R288" i="15"/>
  <c r="R6" i="15"/>
  <c r="R284" i="15"/>
  <c r="R7" i="15"/>
  <c r="R285" i="15"/>
  <c r="R5" i="15"/>
  <c r="P463" i="17"/>
  <c r="P471" i="17"/>
  <c r="P368" i="17"/>
  <c r="P162" i="13"/>
  <c r="P438" i="3"/>
  <c r="P446" i="3"/>
  <c r="P161" i="13"/>
  <c r="P360" i="3"/>
  <c r="P166" i="13"/>
  <c r="P455" i="3"/>
  <c r="P463" i="3"/>
  <c r="Q362" i="3"/>
  <c r="Q168" i="13"/>
  <c r="Q370" i="17"/>
  <c r="I370" i="17"/>
  <c r="I168" i="13"/>
  <c r="Q357" i="3"/>
  <c r="Q163" i="13"/>
  <c r="Q365" i="17"/>
  <c r="H321" i="17"/>
  <c r="H49" i="15"/>
  <c r="H121" i="13"/>
  <c r="H318" i="17"/>
  <c r="H47" i="15"/>
  <c r="Q283" i="15"/>
  <c r="Q293" i="15"/>
  <c r="Q296" i="15"/>
  <c r="Q15" i="15"/>
  <c r="Q19" i="15"/>
  <c r="H313" i="3"/>
  <c r="I265" i="15"/>
  <c r="H319" i="17"/>
  <c r="I447" i="17"/>
  <c r="I455" i="17"/>
  <c r="H51" i="15"/>
  <c r="N341" i="3"/>
  <c r="N150" i="13"/>
  <c r="U341" i="3"/>
  <c r="G305" i="17"/>
  <c r="J38" i="13"/>
  <c r="I40" i="13"/>
  <c r="F11" i="14"/>
  <c r="I150" i="13"/>
  <c r="H302" i="17"/>
  <c r="K191" i="3"/>
  <c r="T341" i="3"/>
  <c r="T150" i="13"/>
  <c r="P341" i="3"/>
  <c r="P150" i="13"/>
  <c r="H303" i="17"/>
  <c r="H297" i="3"/>
  <c r="H102" i="13"/>
  <c r="H145" i="13"/>
  <c r="J175" i="3"/>
  <c r="I269" i="4"/>
  <c r="AA341" i="3"/>
  <c r="J173" i="3"/>
  <c r="M341" i="3"/>
  <c r="M150" i="13"/>
  <c r="G43" i="13"/>
  <c r="G46" i="13"/>
  <c r="M166" i="3"/>
  <c r="H344" i="17"/>
  <c r="G101" i="13"/>
  <c r="H296" i="3"/>
  <c r="G299" i="3"/>
  <c r="I302" i="17"/>
  <c r="P38" i="17"/>
  <c r="I349" i="17"/>
  <c r="M40" i="17"/>
  <c r="O39" i="17"/>
  <c r="S150" i="17"/>
  <c r="R151" i="17"/>
  <c r="G465" i="17"/>
  <c r="G473" i="17"/>
  <c r="U250" i="17"/>
  <c r="V243" i="17"/>
  <c r="Q242" i="17"/>
  <c r="P249" i="17"/>
  <c r="N320" i="3"/>
  <c r="M127" i="13"/>
  <c r="L63" i="15"/>
  <c r="M57" i="15"/>
  <c r="G40" i="13"/>
  <c r="D11" i="14"/>
  <c r="G301" i="3"/>
  <c r="G106" i="13"/>
  <c r="G307" i="17"/>
  <c r="O445" i="17"/>
  <c r="O462" i="17"/>
  <c r="O453" i="17"/>
  <c r="O470" i="17"/>
  <c r="Q463" i="17"/>
  <c r="Q471" i="17"/>
  <c r="Q368" i="17"/>
  <c r="I270" i="15"/>
  <c r="I273" i="15"/>
  <c r="I275" i="15"/>
  <c r="R355" i="3"/>
  <c r="R363" i="17"/>
  <c r="Q161" i="13"/>
  <c r="Q455" i="3"/>
  <c r="Q463" i="3"/>
  <c r="Q360" i="3"/>
  <c r="Q166" i="13"/>
  <c r="H119" i="13"/>
  <c r="I439" i="3"/>
  <c r="I447" i="3"/>
  <c r="R283" i="15"/>
  <c r="R293" i="15"/>
  <c r="R296" i="15"/>
  <c r="R15" i="15"/>
  <c r="R19" i="15"/>
  <c r="Q162" i="13"/>
  <c r="Q438" i="3"/>
  <c r="Q446" i="3"/>
  <c r="I456" i="3"/>
  <c r="I464" i="3"/>
  <c r="H118" i="13"/>
  <c r="I246" i="15"/>
  <c r="I248" i="15"/>
  <c r="I243" i="15"/>
  <c r="R366" i="17"/>
  <c r="R358" i="3"/>
  <c r="R164" i="13"/>
  <c r="H308" i="3"/>
  <c r="H114" i="13"/>
  <c r="H314" i="17"/>
  <c r="H45" i="15"/>
  <c r="I464" i="17"/>
  <c r="I472" i="17"/>
  <c r="H323" i="17"/>
  <c r="R356" i="3"/>
  <c r="R364" i="17"/>
  <c r="R446" i="17"/>
  <c r="R454" i="17"/>
  <c r="S126" i="15"/>
  <c r="S268" i="15"/>
  <c r="S193" i="15"/>
  <c r="S187" i="15"/>
  <c r="S224" i="15"/>
  <c r="S229" i="15"/>
  <c r="S223" i="15"/>
  <c r="S134" i="15"/>
  <c r="S11" i="15"/>
  <c r="S289" i="15"/>
  <c r="S132" i="15"/>
  <c r="S211" i="15"/>
  <c r="S205" i="15"/>
  <c r="S129" i="15"/>
  <c r="S274" i="15"/>
  <c r="S267" i="15"/>
  <c r="S173" i="15"/>
  <c r="S167" i="15"/>
  <c r="S168" i="15"/>
  <c r="S128" i="15"/>
  <c r="S269" i="15"/>
  <c r="S278" i="15"/>
  <c r="S206" i="15"/>
  <c r="S131" i="15"/>
  <c r="S188" i="15"/>
  <c r="S133" i="15"/>
  <c r="S247" i="15"/>
  <c r="S241" i="15"/>
  <c r="S127" i="15"/>
  <c r="T2" i="15"/>
  <c r="S242" i="15"/>
  <c r="S9" i="15"/>
  <c r="S287" i="15"/>
  <c r="S5" i="15"/>
  <c r="S7" i="15"/>
  <c r="S285" i="15"/>
  <c r="S153" i="15"/>
  <c r="S147" i="15"/>
  <c r="S10" i="15"/>
  <c r="S288" i="15"/>
  <c r="S8" i="15"/>
  <c r="S286" i="15"/>
  <c r="S12" i="15"/>
  <c r="S290" i="15"/>
  <c r="S13" i="15"/>
  <c r="S291" i="15"/>
  <c r="S6" i="15"/>
  <c r="S284" i="15"/>
  <c r="R362" i="3"/>
  <c r="R168" i="13"/>
  <c r="R370" i="17"/>
  <c r="R357" i="3"/>
  <c r="R163" i="13"/>
  <c r="R365" i="17"/>
  <c r="H305" i="17"/>
  <c r="K38" i="13"/>
  <c r="G11" i="14"/>
  <c r="J40" i="13"/>
  <c r="L191" i="3"/>
  <c r="K175" i="3"/>
  <c r="I297" i="3"/>
  <c r="I102" i="13"/>
  <c r="J269" i="4"/>
  <c r="K173" i="3"/>
  <c r="N166" i="3"/>
  <c r="I344" i="17"/>
  <c r="I296" i="3"/>
  <c r="H299" i="3"/>
  <c r="H101" i="13"/>
  <c r="J145" i="13"/>
  <c r="J44" i="13"/>
  <c r="I303" i="17"/>
  <c r="G104" i="13"/>
  <c r="Q38" i="17"/>
  <c r="K349" i="17"/>
  <c r="P39" i="17"/>
  <c r="J302" i="17"/>
  <c r="J349" i="17"/>
  <c r="N40" i="17"/>
  <c r="T150" i="17"/>
  <c r="S151" i="17"/>
  <c r="Q249" i="17"/>
  <c r="R242" i="17"/>
  <c r="W243" i="17"/>
  <c r="V250" i="17"/>
  <c r="N57" i="15"/>
  <c r="M63" i="15"/>
  <c r="O320" i="3"/>
  <c r="N127" i="13"/>
  <c r="G390" i="3"/>
  <c r="G49" i="13"/>
  <c r="G440" i="3"/>
  <c r="G448" i="3"/>
  <c r="G383" i="3"/>
  <c r="G387" i="3"/>
  <c r="G83" i="15"/>
  <c r="G457" i="3"/>
  <c r="G465" i="3"/>
  <c r="D12" i="14"/>
  <c r="G448" i="17"/>
  <c r="G456" i="17"/>
  <c r="P462" i="17"/>
  <c r="P453" i="17"/>
  <c r="P470" i="17"/>
  <c r="P445" i="17"/>
  <c r="I313" i="3"/>
  <c r="I319" i="17"/>
  <c r="J447" i="17"/>
  <c r="J455" i="17"/>
  <c r="J265" i="15"/>
  <c r="I51" i="15"/>
  <c r="I121" i="13"/>
  <c r="I321" i="17"/>
  <c r="I49" i="15"/>
  <c r="I48" i="15"/>
  <c r="I120" i="13"/>
  <c r="I320" i="17"/>
  <c r="L169" i="15"/>
  <c r="M164" i="15"/>
  <c r="T274" i="15"/>
  <c r="T267" i="15"/>
  <c r="T224" i="15"/>
  <c r="T173" i="15"/>
  <c r="T167" i="15"/>
  <c r="T206" i="15"/>
  <c r="T268" i="15"/>
  <c r="T242" i="15"/>
  <c r="T193" i="15"/>
  <c r="T187" i="15"/>
  <c r="T131" i="15"/>
  <c r="T168" i="15"/>
  <c r="T126" i="15"/>
  <c r="T132" i="15"/>
  <c r="T211" i="15"/>
  <c r="T205" i="15"/>
  <c r="T129" i="15"/>
  <c r="T127" i="15"/>
  <c r="T269" i="15"/>
  <c r="T278" i="15"/>
  <c r="T153" i="15"/>
  <c r="T147" i="15"/>
  <c r="T229" i="15"/>
  <c r="T223" i="15"/>
  <c r="T133" i="15"/>
  <c r="T128" i="15"/>
  <c r="U2" i="15"/>
  <c r="T247" i="15"/>
  <c r="T241" i="15"/>
  <c r="T188" i="15"/>
  <c r="T134" i="15"/>
  <c r="T9" i="15"/>
  <c r="T287" i="15"/>
  <c r="T11" i="15"/>
  <c r="T289" i="15"/>
  <c r="T6" i="15"/>
  <c r="T284" i="15"/>
  <c r="T12" i="15"/>
  <c r="T290" i="15"/>
  <c r="T10" i="15"/>
  <c r="T288" i="15"/>
  <c r="T7" i="15"/>
  <c r="T285" i="15"/>
  <c r="T5" i="15"/>
  <c r="T8" i="15"/>
  <c r="T286" i="15"/>
  <c r="T13" i="15"/>
  <c r="T291" i="15"/>
  <c r="I365" i="17"/>
  <c r="I368" i="17"/>
  <c r="S362" i="3"/>
  <c r="S168" i="13"/>
  <c r="S370" i="17"/>
  <c r="I47" i="15"/>
  <c r="I318" i="17"/>
  <c r="R162" i="13"/>
  <c r="R438" i="3"/>
  <c r="R446" i="3"/>
  <c r="J239" i="15"/>
  <c r="I50" i="15"/>
  <c r="S355" i="3"/>
  <c r="S363" i="17"/>
  <c r="H355" i="17"/>
  <c r="R463" i="17"/>
  <c r="R471" i="17"/>
  <c r="R368" i="17"/>
  <c r="S357" i="3"/>
  <c r="S163" i="13"/>
  <c r="S365" i="17"/>
  <c r="R161" i="13"/>
  <c r="R360" i="3"/>
  <c r="R166" i="13"/>
  <c r="R455" i="3"/>
  <c r="R463" i="3"/>
  <c r="S366" i="17"/>
  <c r="S358" i="3"/>
  <c r="S164" i="13"/>
  <c r="E14" i="14"/>
  <c r="H123" i="13"/>
  <c r="S283" i="15"/>
  <c r="S293" i="15"/>
  <c r="S296" i="15"/>
  <c r="S15" i="15"/>
  <c r="S19" i="15"/>
  <c r="S356" i="3"/>
  <c r="S364" i="17"/>
  <c r="S446" i="17"/>
  <c r="S454" i="17"/>
  <c r="L193" i="16"/>
  <c r="L76" i="16"/>
  <c r="L38" i="13"/>
  <c r="H11" i="14"/>
  <c r="K40" i="13"/>
  <c r="J297" i="3"/>
  <c r="J102" i="13"/>
  <c r="M191" i="3"/>
  <c r="K145" i="13"/>
  <c r="K44" i="13"/>
  <c r="I44" i="13"/>
  <c r="J303" i="17"/>
  <c r="L175" i="3"/>
  <c r="I145" i="13"/>
  <c r="H43" i="13"/>
  <c r="L173" i="3"/>
  <c r="K269" i="4"/>
  <c r="M193" i="16"/>
  <c r="M76" i="16"/>
  <c r="O166" i="3"/>
  <c r="J344" i="17"/>
  <c r="H104" i="13"/>
  <c r="J296" i="3"/>
  <c r="I101" i="13"/>
  <c r="I299" i="3"/>
  <c r="I305" i="17"/>
  <c r="K303" i="17"/>
  <c r="K302" i="17"/>
  <c r="R38" i="17"/>
  <c r="H448" i="17"/>
  <c r="H456" i="17"/>
  <c r="H458" i="17"/>
  <c r="K344" i="17"/>
  <c r="O40" i="17"/>
  <c r="Q39" i="17"/>
  <c r="U150" i="17"/>
  <c r="T151" i="17"/>
  <c r="X243" i="17"/>
  <c r="W250" i="17"/>
  <c r="S242" i="17"/>
  <c r="R249" i="17"/>
  <c r="O127" i="13"/>
  <c r="P320" i="3"/>
  <c r="O57" i="15"/>
  <c r="N63" i="15"/>
  <c r="G151" i="13"/>
  <c r="G393" i="3"/>
  <c r="G144" i="13"/>
  <c r="G6" i="17"/>
  <c r="Q462" i="17"/>
  <c r="Q453" i="17"/>
  <c r="Q470" i="17"/>
  <c r="Q445" i="17"/>
  <c r="J243" i="15"/>
  <c r="J246" i="15"/>
  <c r="J248" i="15"/>
  <c r="T370" i="17"/>
  <c r="T362" i="3"/>
  <c r="T168" i="13"/>
  <c r="U247" i="15"/>
  <c r="U241" i="15"/>
  <c r="U173" i="15"/>
  <c r="U167" i="15"/>
  <c r="U132" i="15"/>
  <c r="U224" i="15"/>
  <c r="U131" i="15"/>
  <c r="U274" i="15"/>
  <c r="U267" i="15"/>
  <c r="U153" i="15"/>
  <c r="U147" i="15"/>
  <c r="U126" i="15"/>
  <c r="U206" i="15"/>
  <c r="U242" i="15"/>
  <c r="U193" i="15"/>
  <c r="U187" i="15"/>
  <c r="U134" i="15"/>
  <c r="U269" i="15"/>
  <c r="U278" i="15"/>
  <c r="U127" i="15"/>
  <c r="U133" i="15"/>
  <c r="U211" i="15"/>
  <c r="U205" i="15"/>
  <c r="U11" i="15"/>
  <c r="U289" i="15"/>
  <c r="U268" i="15"/>
  <c r="U188" i="15"/>
  <c r="U168" i="15"/>
  <c r="V2" i="15"/>
  <c r="U9" i="15"/>
  <c r="U287" i="15"/>
  <c r="U5" i="15"/>
  <c r="U229" i="15"/>
  <c r="U223" i="15"/>
  <c r="U128" i="15"/>
  <c r="U8" i="15"/>
  <c r="U286" i="15"/>
  <c r="U129" i="15"/>
  <c r="U6" i="15"/>
  <c r="U284" i="15"/>
  <c r="U7" i="15"/>
  <c r="U285" i="15"/>
  <c r="U10" i="15"/>
  <c r="U288" i="15"/>
  <c r="U13" i="15"/>
  <c r="U291" i="15"/>
  <c r="U12" i="15"/>
  <c r="U290" i="15"/>
  <c r="T15" i="15"/>
  <c r="T19" i="15"/>
  <c r="T283" i="15"/>
  <c r="T293" i="15"/>
  <c r="T296" i="15"/>
  <c r="T356" i="3"/>
  <c r="T364" i="17"/>
  <c r="T446" i="17"/>
  <c r="T454" i="17"/>
  <c r="S162" i="13"/>
  <c r="S438" i="3"/>
  <c r="S446" i="3"/>
  <c r="J464" i="17"/>
  <c r="J472" i="17"/>
  <c r="I323" i="17"/>
  <c r="T357" i="3"/>
  <c r="T163" i="13"/>
  <c r="T365" i="17"/>
  <c r="T358" i="3"/>
  <c r="T164" i="13"/>
  <c r="T366" i="17"/>
  <c r="J270" i="15"/>
  <c r="J273" i="15"/>
  <c r="J275" i="15"/>
  <c r="I163" i="13"/>
  <c r="I166" i="13"/>
  <c r="J456" i="3"/>
  <c r="J464" i="3"/>
  <c r="I118" i="13"/>
  <c r="M172" i="15"/>
  <c r="M174" i="15"/>
  <c r="M169" i="15"/>
  <c r="N164" i="15"/>
  <c r="S360" i="3"/>
  <c r="S166" i="13"/>
  <c r="S161" i="13"/>
  <c r="S455" i="3"/>
  <c r="S463" i="3"/>
  <c r="S463" i="17"/>
  <c r="S471" i="17"/>
  <c r="S368" i="17"/>
  <c r="T363" i="17"/>
  <c r="T355" i="3"/>
  <c r="J439" i="3"/>
  <c r="J447" i="3"/>
  <c r="I119" i="13"/>
  <c r="I11" i="14"/>
  <c r="L40" i="13"/>
  <c r="M38" i="13"/>
  <c r="K297" i="3"/>
  <c r="H450" i="17"/>
  <c r="N191" i="3"/>
  <c r="J305" i="17"/>
  <c r="M175" i="3"/>
  <c r="M173" i="3"/>
  <c r="L269" i="4"/>
  <c r="N336" i="3"/>
  <c r="N145" i="13"/>
  <c r="I43" i="13"/>
  <c r="N193" i="16"/>
  <c r="N76" i="16"/>
  <c r="H46" i="13"/>
  <c r="I104" i="13"/>
  <c r="K296" i="3"/>
  <c r="J101" i="13"/>
  <c r="J299" i="3"/>
  <c r="P166" i="3"/>
  <c r="H465" i="17"/>
  <c r="H473" i="17"/>
  <c r="H475" i="17"/>
  <c r="K305" i="17"/>
  <c r="L302" i="17"/>
  <c r="H343" i="17"/>
  <c r="H347" i="17"/>
  <c r="L349" i="17"/>
  <c r="S38" i="17"/>
  <c r="U151" i="17"/>
  <c r="V150" i="17"/>
  <c r="R39" i="17"/>
  <c r="P40" i="17"/>
  <c r="H307" i="17"/>
  <c r="T242" i="17"/>
  <c r="S249" i="17"/>
  <c r="Y243" i="17"/>
  <c r="X250" i="17"/>
  <c r="I343" i="17"/>
  <c r="I347" i="17"/>
  <c r="P57" i="15"/>
  <c r="O63" i="15"/>
  <c r="Q320" i="3"/>
  <c r="P127" i="13"/>
  <c r="G148" i="13"/>
  <c r="G333" i="17"/>
  <c r="G336" i="17"/>
  <c r="G287" i="17"/>
  <c r="G337" i="17"/>
  <c r="G334" i="17"/>
  <c r="G311" i="17"/>
  <c r="G423" i="17"/>
  <c r="F423" i="17"/>
  <c r="E441" i="17"/>
  <c r="G384" i="17"/>
  <c r="G383" i="17"/>
  <c r="H301" i="3"/>
  <c r="H106" i="13"/>
  <c r="R462" i="17"/>
  <c r="R453" i="17"/>
  <c r="R470" i="17"/>
  <c r="R445" i="17"/>
  <c r="F14" i="14"/>
  <c r="I123" i="13"/>
  <c r="U358" i="3"/>
  <c r="U366" i="17"/>
  <c r="I308" i="3"/>
  <c r="I114" i="13"/>
  <c r="I314" i="17"/>
  <c r="I45" i="15"/>
  <c r="J51" i="15"/>
  <c r="J313" i="3"/>
  <c r="J319" i="17"/>
  <c r="K447" i="17"/>
  <c r="K455" i="17"/>
  <c r="K265" i="15"/>
  <c r="I355" i="17"/>
  <c r="U283" i="15"/>
  <c r="U293" i="15"/>
  <c r="U296" i="15"/>
  <c r="U15" i="15"/>
  <c r="U19" i="15"/>
  <c r="T463" i="17"/>
  <c r="T471" i="17"/>
  <c r="T368" i="17"/>
  <c r="J47" i="15"/>
  <c r="J318" i="17"/>
  <c r="T162" i="13"/>
  <c r="T438" i="3"/>
  <c r="T446" i="3"/>
  <c r="N172" i="15"/>
  <c r="N174" i="15"/>
  <c r="N169" i="15"/>
  <c r="O164" i="15"/>
  <c r="V224" i="15"/>
  <c r="V206" i="15"/>
  <c r="W2" i="15"/>
  <c r="V168" i="15"/>
  <c r="V131" i="15"/>
  <c r="V269" i="15"/>
  <c r="V278" i="15"/>
  <c r="V126" i="15"/>
  <c r="V173" i="15"/>
  <c r="V167" i="15"/>
  <c r="V134" i="15"/>
  <c r="V11" i="15"/>
  <c r="V289" i="15"/>
  <c r="V247" i="15"/>
  <c r="V241" i="15"/>
  <c r="V132" i="15"/>
  <c r="V274" i="15"/>
  <c r="V267" i="15"/>
  <c r="V129" i="15"/>
  <c r="V242" i="15"/>
  <c r="V128" i="15"/>
  <c r="V211" i="15"/>
  <c r="V205" i="15"/>
  <c r="V188" i="15"/>
  <c r="V268" i="15"/>
  <c r="V229" i="15"/>
  <c r="V223" i="15"/>
  <c r="V193" i="15"/>
  <c r="V187" i="15"/>
  <c r="V153" i="15"/>
  <c r="V147" i="15"/>
  <c r="V9" i="15"/>
  <c r="V287" i="15"/>
  <c r="V133" i="15"/>
  <c r="V7" i="15"/>
  <c r="V285" i="15"/>
  <c r="V127" i="15"/>
  <c r="V13" i="15"/>
  <c r="V291" i="15"/>
  <c r="V8" i="15"/>
  <c r="V286" i="15"/>
  <c r="V12" i="15"/>
  <c r="V290" i="15"/>
  <c r="V5" i="15"/>
  <c r="V6" i="15"/>
  <c r="V284" i="15"/>
  <c r="V10" i="15"/>
  <c r="V288" i="15"/>
  <c r="U365" i="17"/>
  <c r="U357" i="3"/>
  <c r="J48" i="15"/>
  <c r="J120" i="13"/>
  <c r="J320" i="17"/>
  <c r="U362" i="3"/>
  <c r="U370" i="17"/>
  <c r="T161" i="13"/>
  <c r="T455" i="3"/>
  <c r="T463" i="3"/>
  <c r="T360" i="3"/>
  <c r="T166" i="13"/>
  <c r="J49" i="15"/>
  <c r="J121" i="13"/>
  <c r="J321" i="17"/>
  <c r="U363" i="17"/>
  <c r="U355" i="3"/>
  <c r="U356" i="3"/>
  <c r="U438" i="3"/>
  <c r="U446" i="3"/>
  <c r="U364" i="17"/>
  <c r="U446" i="17"/>
  <c r="U454" i="17"/>
  <c r="K239" i="15"/>
  <c r="J50" i="15"/>
  <c r="L297" i="3"/>
  <c r="M297" i="3"/>
  <c r="K102" i="13"/>
  <c r="N38" i="13"/>
  <c r="L44" i="13"/>
  <c r="J11" i="14"/>
  <c r="M40" i="13"/>
  <c r="L145" i="13"/>
  <c r="O191" i="3"/>
  <c r="P336" i="3"/>
  <c r="P145" i="13"/>
  <c r="N175" i="3"/>
  <c r="I301" i="3"/>
  <c r="I106" i="13"/>
  <c r="H151" i="13"/>
  <c r="J307" i="17"/>
  <c r="O193" i="16"/>
  <c r="O76" i="16"/>
  <c r="N44" i="13"/>
  <c r="I46" i="13"/>
  <c r="N173" i="3"/>
  <c r="M44" i="13"/>
  <c r="M336" i="3"/>
  <c r="M145" i="13"/>
  <c r="H440" i="3"/>
  <c r="E12" i="14"/>
  <c r="H457" i="3"/>
  <c r="H49" i="13"/>
  <c r="J43" i="13"/>
  <c r="J104" i="13"/>
  <c r="Q166" i="3"/>
  <c r="K101" i="13"/>
  <c r="L296" i="3"/>
  <c r="K299" i="3"/>
  <c r="H467" i="17"/>
  <c r="L303" i="17"/>
  <c r="L305" i="17"/>
  <c r="T38" i="17"/>
  <c r="J465" i="17"/>
  <c r="J467" i="17"/>
  <c r="L344" i="17"/>
  <c r="N349" i="17"/>
  <c r="M349" i="17"/>
  <c r="M302" i="17"/>
  <c r="J343" i="17"/>
  <c r="J347" i="17"/>
  <c r="J448" i="17"/>
  <c r="J450" i="17"/>
  <c r="S39" i="17"/>
  <c r="V151" i="17"/>
  <c r="W150" i="17"/>
  <c r="Q40" i="17"/>
  <c r="I307" i="17"/>
  <c r="I465" i="17"/>
  <c r="I467" i="17"/>
  <c r="I448" i="17"/>
  <c r="I456" i="17"/>
  <c r="I458" i="17"/>
  <c r="Z243" i="17"/>
  <c r="Y250" i="17"/>
  <c r="U242" i="17"/>
  <c r="T249" i="17"/>
  <c r="R320" i="3"/>
  <c r="Q127" i="13"/>
  <c r="P63" i="15"/>
  <c r="Q57" i="15"/>
  <c r="G154" i="13"/>
  <c r="G470" i="17"/>
  <c r="G475" i="17"/>
  <c r="I473" i="17"/>
  <c r="I475" i="17"/>
  <c r="J473" i="17"/>
  <c r="J475" i="17"/>
  <c r="K318" i="17"/>
  <c r="K465" i="17"/>
  <c r="K473" i="17"/>
  <c r="K464" i="17"/>
  <c r="K472" i="17"/>
  <c r="K475" i="17"/>
  <c r="L318" i="17"/>
  <c r="L465" i="17"/>
  <c r="L473" i="17"/>
  <c r="L464" i="17"/>
  <c r="L472" i="17"/>
  <c r="L475" i="17"/>
  <c r="M185" i="15"/>
  <c r="M189" i="15"/>
  <c r="M318" i="17"/>
  <c r="M465" i="17"/>
  <c r="M473" i="17"/>
  <c r="M464" i="17"/>
  <c r="M472" i="17"/>
  <c r="M475" i="17"/>
  <c r="N185" i="15"/>
  <c r="N188" i="15"/>
  <c r="N189" i="15"/>
  <c r="N318" i="17"/>
  <c r="N465" i="17"/>
  <c r="N473" i="17"/>
  <c r="N363" i="17"/>
  <c r="N463" i="17"/>
  <c r="N471" i="17"/>
  <c r="N464" i="17"/>
  <c r="N472" i="17"/>
  <c r="N475" i="17"/>
  <c r="O185" i="15"/>
  <c r="O189" i="15"/>
  <c r="O318" i="17"/>
  <c r="O465" i="17"/>
  <c r="O473" i="17"/>
  <c r="O464" i="17"/>
  <c r="O472" i="17"/>
  <c r="O475" i="17"/>
  <c r="P185" i="15"/>
  <c r="P189" i="15"/>
  <c r="P318" i="17"/>
  <c r="P465" i="17"/>
  <c r="P473" i="17"/>
  <c r="P464" i="17"/>
  <c r="P472" i="17"/>
  <c r="P475" i="17"/>
  <c r="Q185" i="15"/>
  <c r="Q189" i="15"/>
  <c r="Q318" i="17"/>
  <c r="Q465" i="17"/>
  <c r="Q473" i="17"/>
  <c r="Q464" i="17"/>
  <c r="Q472" i="17"/>
  <c r="Q475" i="17"/>
  <c r="R185" i="15"/>
  <c r="R189" i="15"/>
  <c r="R318" i="17"/>
  <c r="R465" i="17"/>
  <c r="R473" i="17"/>
  <c r="R464" i="17"/>
  <c r="R472" i="17"/>
  <c r="R475" i="17"/>
  <c r="S185" i="15"/>
  <c r="S189" i="15"/>
  <c r="S318" i="17"/>
  <c r="S465" i="17"/>
  <c r="S473" i="17"/>
  <c r="S464" i="17"/>
  <c r="S472" i="17"/>
  <c r="S475" i="17"/>
  <c r="T185" i="15"/>
  <c r="T189" i="15"/>
  <c r="T318" i="17"/>
  <c r="T465" i="17"/>
  <c r="T473" i="17"/>
  <c r="T464" i="17"/>
  <c r="T472" i="17"/>
  <c r="T475" i="17"/>
  <c r="U185" i="15"/>
  <c r="U189" i="15"/>
  <c r="U318" i="17"/>
  <c r="U465" i="17"/>
  <c r="U473" i="17"/>
  <c r="U463" i="17"/>
  <c r="U471" i="17"/>
  <c r="U464" i="17"/>
  <c r="U472" i="17"/>
  <c r="U475" i="17"/>
  <c r="E475" i="17"/>
  <c r="G453" i="17"/>
  <c r="G458" i="17"/>
  <c r="J456" i="17"/>
  <c r="J458" i="17"/>
  <c r="K448" i="17"/>
  <c r="K456" i="17"/>
  <c r="K458" i="17"/>
  <c r="L448" i="17"/>
  <c r="L456" i="17"/>
  <c r="L458" i="17"/>
  <c r="M448" i="17"/>
  <c r="M456" i="17"/>
  <c r="M458" i="17"/>
  <c r="N448" i="17"/>
  <c r="N456" i="17"/>
  <c r="N458" i="17"/>
  <c r="O448" i="17"/>
  <c r="O456" i="17"/>
  <c r="O458" i="17"/>
  <c r="P448" i="17"/>
  <c r="P456" i="17"/>
  <c r="P458" i="17"/>
  <c r="Q448" i="17"/>
  <c r="Q456" i="17"/>
  <c r="Q458" i="17"/>
  <c r="R448" i="17"/>
  <c r="R456" i="17"/>
  <c r="R458" i="17"/>
  <c r="S448" i="17"/>
  <c r="S456" i="17"/>
  <c r="S458" i="17"/>
  <c r="T448" i="17"/>
  <c r="T456" i="17"/>
  <c r="T458" i="17"/>
  <c r="U448" i="17"/>
  <c r="U456" i="17"/>
  <c r="U458" i="17"/>
  <c r="E458" i="17"/>
  <c r="G289" i="17"/>
  <c r="G290" i="17"/>
  <c r="G387" i="17"/>
  <c r="G388" i="17"/>
  <c r="G313" i="17"/>
  <c r="H351" i="17"/>
  <c r="H353" i="17"/>
  <c r="S462" i="17"/>
  <c r="S453" i="17"/>
  <c r="S470" i="17"/>
  <c r="S445" i="17"/>
  <c r="V364" i="17"/>
  <c r="V446" i="17"/>
  <c r="V454" i="17"/>
  <c r="V356" i="3"/>
  <c r="V438" i="3"/>
  <c r="V446" i="3"/>
  <c r="K439" i="3"/>
  <c r="K447" i="3"/>
  <c r="J119" i="13"/>
  <c r="V283" i="15"/>
  <c r="V293" i="15"/>
  <c r="V296" i="15"/>
  <c r="V15" i="15"/>
  <c r="V19" i="15"/>
  <c r="V363" i="17"/>
  <c r="V355" i="3"/>
  <c r="J323" i="17"/>
  <c r="K456" i="3"/>
  <c r="K464" i="3"/>
  <c r="J118" i="13"/>
  <c r="K273" i="15"/>
  <c r="K275" i="15"/>
  <c r="K270" i="15"/>
  <c r="K243" i="15"/>
  <c r="K246" i="15"/>
  <c r="K248" i="15"/>
  <c r="V370" i="17"/>
  <c r="V362" i="3"/>
  <c r="U360" i="3"/>
  <c r="U455" i="3"/>
  <c r="U463" i="3"/>
  <c r="V365" i="17"/>
  <c r="V357" i="3"/>
  <c r="U368" i="17"/>
  <c r="V358" i="3"/>
  <c r="V366" i="17"/>
  <c r="O172" i="15"/>
  <c r="O174" i="15"/>
  <c r="O169" i="15"/>
  <c r="P164" i="15"/>
  <c r="W274" i="15"/>
  <c r="W267" i="15"/>
  <c r="W242" i="15"/>
  <c r="W129" i="15"/>
  <c r="W224" i="15"/>
  <c r="W193" i="15"/>
  <c r="W187" i="15"/>
  <c r="W229" i="15"/>
  <c r="W223" i="15"/>
  <c r="W211" i="15"/>
  <c r="W205" i="15"/>
  <c r="W134" i="15"/>
  <c r="X2" i="15"/>
  <c r="W168" i="15"/>
  <c r="W247" i="15"/>
  <c r="W241" i="15"/>
  <c r="W132" i="15"/>
  <c r="W268" i="15"/>
  <c r="W131" i="15"/>
  <c r="W11" i="15"/>
  <c r="W289" i="15"/>
  <c r="W126" i="15"/>
  <c r="W269" i="15"/>
  <c r="W278" i="15"/>
  <c r="W173" i="15"/>
  <c r="W167" i="15"/>
  <c r="W206" i="15"/>
  <c r="W188" i="15"/>
  <c r="W153" i="15"/>
  <c r="W147" i="15"/>
  <c r="W127" i="15"/>
  <c r="W133" i="15"/>
  <c r="W128" i="15"/>
  <c r="W5" i="15"/>
  <c r="W13" i="15"/>
  <c r="W291" i="15"/>
  <c r="W6" i="15"/>
  <c r="W284" i="15"/>
  <c r="W9" i="15"/>
  <c r="W287" i="15"/>
  <c r="W7" i="15"/>
  <c r="W285" i="15"/>
  <c r="W12" i="15"/>
  <c r="W290" i="15"/>
  <c r="W8" i="15"/>
  <c r="W286" i="15"/>
  <c r="W10" i="15"/>
  <c r="W288" i="15"/>
  <c r="L102" i="13"/>
  <c r="N40" i="13"/>
  <c r="O38" i="13"/>
  <c r="P191" i="3"/>
  <c r="P44" i="13"/>
  <c r="M269" i="4"/>
  <c r="O175" i="3"/>
  <c r="J301" i="3"/>
  <c r="J106" i="13"/>
  <c r="N269" i="4"/>
  <c r="K43" i="13"/>
  <c r="I151" i="13"/>
  <c r="O173" i="3"/>
  <c r="I440" i="3"/>
  <c r="I457" i="3"/>
  <c r="I49" i="13"/>
  <c r="F12" i="14"/>
  <c r="H459" i="3"/>
  <c r="H465" i="3"/>
  <c r="H467" i="3"/>
  <c r="H442" i="3"/>
  <c r="H448" i="3"/>
  <c r="H450" i="3"/>
  <c r="J46" i="13"/>
  <c r="P193" i="16"/>
  <c r="P76" i="16"/>
  <c r="H148" i="13"/>
  <c r="H144" i="13"/>
  <c r="K104" i="13"/>
  <c r="O336" i="3"/>
  <c r="O145" i="13"/>
  <c r="O44" i="13"/>
  <c r="L101" i="13"/>
  <c r="L299" i="3"/>
  <c r="M296" i="3"/>
  <c r="N297" i="3"/>
  <c r="M102" i="13"/>
  <c r="R166" i="3"/>
  <c r="U38" i="17"/>
  <c r="L307" i="17"/>
  <c r="N302" i="17"/>
  <c r="R40" i="17"/>
  <c r="T39" i="17"/>
  <c r="M344" i="17"/>
  <c r="M303" i="17"/>
  <c r="X150" i="17"/>
  <c r="W151" i="17"/>
  <c r="I450" i="17"/>
  <c r="V242" i="17"/>
  <c r="U249" i="17"/>
  <c r="Z250" i="17"/>
  <c r="AA243" i="17"/>
  <c r="AA250" i="17"/>
  <c r="R57" i="15"/>
  <c r="Q63" i="15"/>
  <c r="S320" i="3"/>
  <c r="R127" i="13"/>
  <c r="G156" i="13"/>
  <c r="T470" i="17"/>
  <c r="T445" i="17"/>
  <c r="T462" i="17"/>
  <c r="T453" i="17"/>
  <c r="W363" i="17"/>
  <c r="W355" i="3"/>
  <c r="L239" i="15"/>
  <c r="K50" i="15"/>
  <c r="V455" i="3"/>
  <c r="V463" i="3"/>
  <c r="V360" i="3"/>
  <c r="W362" i="3"/>
  <c r="W370" i="17"/>
  <c r="X269" i="15"/>
  <c r="X278" i="15"/>
  <c r="X206" i="15"/>
  <c r="X133" i="15"/>
  <c r="X211" i="15"/>
  <c r="X205" i="15"/>
  <c r="X129" i="15"/>
  <c r="X247" i="15"/>
  <c r="X241" i="15"/>
  <c r="X173" i="15"/>
  <c r="X167" i="15"/>
  <c r="X229" i="15"/>
  <c r="X223" i="15"/>
  <c r="X131" i="15"/>
  <c r="Y2" i="15"/>
  <c r="X168" i="15"/>
  <c r="X274" i="15"/>
  <c r="X267" i="15"/>
  <c r="X134" i="15"/>
  <c r="X268" i="15"/>
  <c r="X127" i="15"/>
  <c r="X242" i="15"/>
  <c r="X188" i="15"/>
  <c r="X193" i="15"/>
  <c r="X187" i="15"/>
  <c r="X11" i="15"/>
  <c r="X289" i="15"/>
  <c r="X224" i="15"/>
  <c r="X132" i="15"/>
  <c r="X8" i="15"/>
  <c r="X286" i="15"/>
  <c r="X9" i="15"/>
  <c r="X287" i="15"/>
  <c r="X7" i="15"/>
  <c r="X285" i="15"/>
  <c r="X128" i="15"/>
  <c r="X126" i="15"/>
  <c r="X153" i="15"/>
  <c r="X147" i="15"/>
  <c r="X12" i="15"/>
  <c r="X290" i="15"/>
  <c r="X10" i="15"/>
  <c r="X288" i="15"/>
  <c r="X6" i="15"/>
  <c r="X284" i="15"/>
  <c r="X5" i="15"/>
  <c r="X13" i="15"/>
  <c r="X291" i="15"/>
  <c r="W357" i="3"/>
  <c r="W365" i="17"/>
  <c r="K49" i="15"/>
  <c r="K321" i="17"/>
  <c r="K121" i="13"/>
  <c r="V463" i="17"/>
  <c r="V471" i="17"/>
  <c r="V368" i="17"/>
  <c r="K48" i="15"/>
  <c r="K120" i="13"/>
  <c r="K320" i="17"/>
  <c r="L265" i="15"/>
  <c r="K51" i="15"/>
  <c r="K319" i="17"/>
  <c r="K313" i="3"/>
  <c r="W358" i="3"/>
  <c r="W366" i="17"/>
  <c r="K47" i="15"/>
  <c r="W283" i="15"/>
  <c r="W293" i="15"/>
  <c r="W296" i="15"/>
  <c r="W15" i="15"/>
  <c r="W19" i="15"/>
  <c r="W356" i="3"/>
  <c r="W438" i="3"/>
  <c r="W446" i="3"/>
  <c r="W364" i="17"/>
  <c r="W446" i="17"/>
  <c r="W454" i="17"/>
  <c r="G14" i="14"/>
  <c r="J123" i="13"/>
  <c r="P172" i="15"/>
  <c r="P174" i="15"/>
  <c r="P169" i="15"/>
  <c r="Q164" i="15"/>
  <c r="P38" i="13"/>
  <c r="O40" i="13"/>
  <c r="Q191" i="3"/>
  <c r="P175" i="3"/>
  <c r="I148" i="13"/>
  <c r="I144" i="13"/>
  <c r="G292" i="17"/>
  <c r="G296" i="17"/>
  <c r="G327" i="17"/>
  <c r="G329" i="17"/>
  <c r="J151" i="13"/>
  <c r="P173" i="3"/>
  <c r="J440" i="3"/>
  <c r="J49" i="13"/>
  <c r="G12" i="14"/>
  <c r="J457" i="3"/>
  <c r="K46" i="13"/>
  <c r="Q193" i="16"/>
  <c r="Q76" i="16"/>
  <c r="L43" i="13"/>
  <c r="I459" i="3"/>
  <c r="I465" i="3"/>
  <c r="I467" i="3"/>
  <c r="I442" i="3"/>
  <c r="I448" i="3"/>
  <c r="I450" i="3"/>
  <c r="K301" i="3"/>
  <c r="K106" i="13"/>
  <c r="O269" i="4"/>
  <c r="L104" i="13"/>
  <c r="O297" i="3"/>
  <c r="N102" i="13"/>
  <c r="Q336" i="3"/>
  <c r="Q145" i="13"/>
  <c r="Q44" i="13"/>
  <c r="M101" i="13"/>
  <c r="M299" i="3"/>
  <c r="N296" i="3"/>
  <c r="S166" i="3"/>
  <c r="H356" i="17"/>
  <c r="H358" i="17"/>
  <c r="L343" i="17"/>
  <c r="L347" i="17"/>
  <c r="V38" i="17"/>
  <c r="O302" i="17"/>
  <c r="O349" i="17"/>
  <c r="S40" i="17"/>
  <c r="N344" i="17"/>
  <c r="N303" i="17"/>
  <c r="M305" i="17"/>
  <c r="Y150" i="17"/>
  <c r="X151" i="17"/>
  <c r="U39" i="17"/>
  <c r="K307" i="17"/>
  <c r="K343" i="17"/>
  <c r="K347" i="17"/>
  <c r="W242" i="17"/>
  <c r="V249" i="17"/>
  <c r="T320" i="3"/>
  <c r="S127" i="13"/>
  <c r="S57" i="15"/>
  <c r="R63" i="15"/>
  <c r="G52" i="13"/>
  <c r="U445" i="17"/>
  <c r="U470" i="17"/>
  <c r="U462" i="17"/>
  <c r="U453" i="17"/>
  <c r="J355" i="17"/>
  <c r="W463" i="17"/>
  <c r="W471" i="17"/>
  <c r="W368" i="17"/>
  <c r="J314" i="17"/>
  <c r="J45" i="15"/>
  <c r="J308" i="3"/>
  <c r="J114" i="13"/>
  <c r="X356" i="3"/>
  <c r="X438" i="3"/>
  <c r="X446" i="3"/>
  <c r="X364" i="17"/>
  <c r="X446" i="17"/>
  <c r="X454" i="17"/>
  <c r="X365" i="17"/>
  <c r="X357" i="3"/>
  <c r="K119" i="13"/>
  <c r="L439" i="3"/>
  <c r="L447" i="3"/>
  <c r="L447" i="17"/>
  <c r="L455" i="17"/>
  <c r="X370" i="17"/>
  <c r="X362" i="3"/>
  <c r="L273" i="15"/>
  <c r="L275" i="15"/>
  <c r="L270" i="15"/>
  <c r="Y269" i="15"/>
  <c r="Y278" i="15"/>
  <c r="Y211" i="15"/>
  <c r="Y205" i="15"/>
  <c r="Y134" i="15"/>
  <c r="Y224" i="15"/>
  <c r="Y131" i="15"/>
  <c r="Y188" i="15"/>
  <c r="Y128" i="15"/>
  <c r="Y127" i="15"/>
  <c r="Y132" i="15"/>
  <c r="Y173" i="15"/>
  <c r="Y167" i="15"/>
  <c r="Y274" i="15"/>
  <c r="Y267" i="15"/>
  <c r="Y242" i="15"/>
  <c r="Y206" i="15"/>
  <c r="Y247" i="15"/>
  <c r="Y241" i="15"/>
  <c r="Y133" i="15"/>
  <c r="Y126" i="15"/>
  <c r="Y268" i="15"/>
  <c r="Y129" i="15"/>
  <c r="Z2" i="15"/>
  <c r="Y11" i="15"/>
  <c r="Y289" i="15"/>
  <c r="Y153" i="15"/>
  <c r="Y147" i="15"/>
  <c r="Y193" i="15"/>
  <c r="Y187" i="15"/>
  <c r="Y168" i="15"/>
  <c r="Y8" i="15"/>
  <c r="Y286" i="15"/>
  <c r="Y229" i="15"/>
  <c r="Y223" i="15"/>
  <c r="Y6" i="15"/>
  <c r="Y284" i="15"/>
  <c r="Y12" i="15"/>
  <c r="Y290" i="15"/>
  <c r="Y10" i="15"/>
  <c r="Y288" i="15"/>
  <c r="Y7" i="15"/>
  <c r="Y285" i="15"/>
  <c r="Y9" i="15"/>
  <c r="Y287" i="15"/>
  <c r="Y5" i="15"/>
  <c r="Y13" i="15"/>
  <c r="Y291" i="15"/>
  <c r="Q169" i="15"/>
  <c r="R164" i="15"/>
  <c r="Q172" i="15"/>
  <c r="Q174" i="15"/>
  <c r="K323" i="17"/>
  <c r="X366" i="17"/>
  <c r="X358" i="3"/>
  <c r="X283" i="15"/>
  <c r="X293" i="15"/>
  <c r="X296" i="15"/>
  <c r="X15" i="15"/>
  <c r="X19" i="15"/>
  <c r="L456" i="3"/>
  <c r="L464" i="3"/>
  <c r="K118" i="13"/>
  <c r="L246" i="15"/>
  <c r="L248" i="15"/>
  <c r="L242" i="15"/>
  <c r="L243" i="15"/>
  <c r="X355" i="3"/>
  <c r="X363" i="17"/>
  <c r="W360" i="3"/>
  <c r="W455" i="3"/>
  <c r="W463" i="3"/>
  <c r="P40" i="13"/>
  <c r="Q38" i="13"/>
  <c r="R191" i="3"/>
  <c r="P269" i="4"/>
  <c r="Q175" i="3"/>
  <c r="K440" i="3"/>
  <c r="K49" i="13"/>
  <c r="K457" i="3"/>
  <c r="H12" i="14"/>
  <c r="Q173" i="3"/>
  <c r="K151" i="13"/>
  <c r="L46" i="13"/>
  <c r="J465" i="3"/>
  <c r="J467" i="3"/>
  <c r="J459" i="3"/>
  <c r="L301" i="3"/>
  <c r="L106" i="13"/>
  <c r="J448" i="3"/>
  <c r="J450" i="3"/>
  <c r="J442" i="3"/>
  <c r="J148" i="13"/>
  <c r="J144" i="13"/>
  <c r="M343" i="17"/>
  <c r="M347" i="17"/>
  <c r="M43" i="13"/>
  <c r="H283" i="17"/>
  <c r="M104" i="13"/>
  <c r="R44" i="13"/>
  <c r="R336" i="3"/>
  <c r="R145" i="13"/>
  <c r="G331" i="17"/>
  <c r="G338" i="17"/>
  <c r="G335" i="17"/>
  <c r="N101" i="13"/>
  <c r="N299" i="3"/>
  <c r="O296" i="3"/>
  <c r="T166" i="3"/>
  <c r="P297" i="3"/>
  <c r="O102" i="13"/>
  <c r="W38" i="17"/>
  <c r="P302" i="17"/>
  <c r="P349" i="17"/>
  <c r="P344" i="17"/>
  <c r="O344" i="17"/>
  <c r="V39" i="17"/>
  <c r="Z150" i="17"/>
  <c r="Y151" i="17"/>
  <c r="T40" i="17"/>
  <c r="O303" i="17"/>
  <c r="N305" i="17"/>
  <c r="M307" i="17"/>
  <c r="W249" i="17"/>
  <c r="X242" i="17"/>
  <c r="T57" i="15"/>
  <c r="S63" i="15"/>
  <c r="U320" i="3"/>
  <c r="V320" i="3"/>
  <c r="W320" i="3"/>
  <c r="X320" i="3"/>
  <c r="Y320" i="3"/>
  <c r="Z320" i="3"/>
  <c r="AA320" i="3"/>
  <c r="T127" i="13"/>
  <c r="G53" i="13"/>
  <c r="V445" i="17"/>
  <c r="V462" i="17"/>
  <c r="V453" i="17"/>
  <c r="V470" i="17"/>
  <c r="X463" i="17"/>
  <c r="X471" i="17"/>
  <c r="X368" i="17"/>
  <c r="K467" i="17"/>
  <c r="L366" i="17"/>
  <c r="L368" i="17"/>
  <c r="Y362" i="3"/>
  <c r="Y370" i="17"/>
  <c r="L313" i="3"/>
  <c r="M265" i="15"/>
  <c r="L51" i="15"/>
  <c r="L319" i="17"/>
  <c r="X360" i="3"/>
  <c r="X455" i="3"/>
  <c r="X463" i="3"/>
  <c r="L48" i="15"/>
  <c r="L120" i="13"/>
  <c r="L320" i="17"/>
  <c r="M203" i="15"/>
  <c r="L47" i="15"/>
  <c r="H14" i="14"/>
  <c r="K123" i="13"/>
  <c r="Y357" i="3"/>
  <c r="Y365" i="17"/>
  <c r="M239" i="15"/>
  <c r="L50" i="15"/>
  <c r="R172" i="15"/>
  <c r="R174" i="15"/>
  <c r="R169" i="15"/>
  <c r="S164" i="15"/>
  <c r="Y15" i="15"/>
  <c r="Y19" i="15"/>
  <c r="Y283" i="15"/>
  <c r="Y293" i="15"/>
  <c r="Y296" i="15"/>
  <c r="Z173" i="15"/>
  <c r="Z167" i="15"/>
  <c r="Z127" i="15"/>
  <c r="Z269" i="15"/>
  <c r="Z278" i="15"/>
  <c r="Z188" i="15"/>
  <c r="Z268" i="15"/>
  <c r="Z133" i="15"/>
  <c r="Z229" i="15"/>
  <c r="Z223" i="15"/>
  <c r="Z128" i="15"/>
  <c r="Z224" i="15"/>
  <c r="Z134" i="15"/>
  <c r="Z132" i="15"/>
  <c r="Z11" i="15"/>
  <c r="Z289" i="15"/>
  <c r="Z211" i="15"/>
  <c r="Z205" i="15"/>
  <c r="Z129" i="15"/>
  <c r="AA2" i="15"/>
  <c r="Z193" i="15"/>
  <c r="Z187" i="15"/>
  <c r="Z168" i="15"/>
  <c r="Z242" i="15"/>
  <c r="Z206" i="15"/>
  <c r="Z247" i="15"/>
  <c r="Z241" i="15"/>
  <c r="Z131" i="15"/>
  <c r="Z9" i="15"/>
  <c r="Z287" i="15"/>
  <c r="Z7" i="15"/>
  <c r="Z285" i="15"/>
  <c r="Z126" i="15"/>
  <c r="Z274" i="15"/>
  <c r="Z267" i="15"/>
  <c r="Z153" i="15"/>
  <c r="Z147" i="15"/>
  <c r="Z13" i="15"/>
  <c r="Z291" i="15"/>
  <c r="Z6" i="15"/>
  <c r="Z284" i="15"/>
  <c r="Z12" i="15"/>
  <c r="Z290" i="15"/>
  <c r="Z5" i="15"/>
  <c r="Z8" i="15"/>
  <c r="Z286" i="15"/>
  <c r="Z10" i="15"/>
  <c r="Z288" i="15"/>
  <c r="M221" i="15"/>
  <c r="L49" i="15"/>
  <c r="L321" i="17"/>
  <c r="L121" i="13"/>
  <c r="Y355" i="3"/>
  <c r="Y363" i="17"/>
  <c r="Y356" i="3"/>
  <c r="Y438" i="3"/>
  <c r="Y446" i="3"/>
  <c r="Y364" i="17"/>
  <c r="Y446" i="17"/>
  <c r="Y454" i="17"/>
  <c r="K450" i="17"/>
  <c r="Y358" i="3"/>
  <c r="Y366" i="17"/>
  <c r="R38" i="13"/>
  <c r="Q40" i="13"/>
  <c r="S191" i="3"/>
  <c r="R175" i="3"/>
  <c r="N343" i="17"/>
  <c r="N347" i="17"/>
  <c r="L457" i="3"/>
  <c r="L49" i="13"/>
  <c r="L440" i="3"/>
  <c r="I12" i="14"/>
  <c r="N43" i="13"/>
  <c r="L151" i="13"/>
  <c r="K144" i="13"/>
  <c r="K148" i="13"/>
  <c r="K465" i="3"/>
  <c r="K467" i="3"/>
  <c r="K459" i="3"/>
  <c r="M301" i="3"/>
  <c r="M106" i="13"/>
  <c r="Q269" i="4"/>
  <c r="M46" i="13"/>
  <c r="R173" i="3"/>
  <c r="K448" i="3"/>
  <c r="K450" i="3"/>
  <c r="K442" i="3"/>
  <c r="N104" i="13"/>
  <c r="P296" i="3"/>
  <c r="O299" i="3"/>
  <c r="O101" i="13"/>
  <c r="Q297" i="3"/>
  <c r="P102" i="13"/>
  <c r="S44" i="13"/>
  <c r="S336" i="3"/>
  <c r="S145" i="13"/>
  <c r="U166" i="3"/>
  <c r="H284" i="17"/>
  <c r="H359" i="17"/>
  <c r="H361" i="17"/>
  <c r="H372" i="17"/>
  <c r="H309" i="17"/>
  <c r="X38" i="17"/>
  <c r="R349" i="17"/>
  <c r="Q302" i="17"/>
  <c r="Q349" i="17"/>
  <c r="U40" i="17"/>
  <c r="P303" i="17"/>
  <c r="O305" i="17"/>
  <c r="AA150" i="17"/>
  <c r="AA151" i="17"/>
  <c r="Z151" i="17"/>
  <c r="W39" i="17"/>
  <c r="X249" i="17"/>
  <c r="Y242" i="17"/>
  <c r="T63" i="15"/>
  <c r="U57" i="15"/>
  <c r="H272" i="4"/>
  <c r="G157" i="13"/>
  <c r="G16" i="15"/>
  <c r="G18" i="15"/>
  <c r="G68" i="15"/>
  <c r="G56" i="13"/>
  <c r="G331" i="3"/>
  <c r="G140" i="13"/>
  <c r="W445" i="17"/>
  <c r="W462" i="17"/>
  <c r="W453" i="17"/>
  <c r="W470" i="17"/>
  <c r="Y360" i="3"/>
  <c r="Y455" i="3"/>
  <c r="Y463" i="3"/>
  <c r="AA132" i="15"/>
  <c r="AA274" i="15"/>
  <c r="AA267" i="15"/>
  <c r="AA133" i="15"/>
  <c r="AA247" i="15"/>
  <c r="AA241" i="15"/>
  <c r="AA128" i="15"/>
  <c r="AA229" i="15"/>
  <c r="AA223" i="15"/>
  <c r="AA126" i="15"/>
  <c r="AA242" i="15"/>
  <c r="AA193" i="15"/>
  <c r="AA187" i="15"/>
  <c r="AA211" i="15"/>
  <c r="AA205" i="15"/>
  <c r="AA173" i="15"/>
  <c r="AA167" i="15"/>
  <c r="AA131" i="15"/>
  <c r="AA206" i="15"/>
  <c r="AA11" i="15"/>
  <c r="AA289" i="15"/>
  <c r="AA188" i="15"/>
  <c r="AA153" i="15"/>
  <c r="AA147" i="15"/>
  <c r="AA269" i="15"/>
  <c r="AA278" i="15"/>
  <c r="AA168" i="15"/>
  <c r="AA134" i="15"/>
  <c r="AA9" i="15"/>
  <c r="AA287" i="15"/>
  <c r="AA268" i="15"/>
  <c r="AA129" i="15"/>
  <c r="AA7" i="15"/>
  <c r="AA285" i="15"/>
  <c r="AA8" i="15"/>
  <c r="AA286" i="15"/>
  <c r="AA6" i="15"/>
  <c r="AA284" i="15"/>
  <c r="AA224" i="15"/>
  <c r="AA127" i="15"/>
  <c r="AA10" i="15"/>
  <c r="AA288" i="15"/>
  <c r="AA13" i="15"/>
  <c r="AA291" i="15"/>
  <c r="AA5" i="15"/>
  <c r="AA12" i="15"/>
  <c r="AA290" i="15"/>
  <c r="E77" i="15"/>
  <c r="M447" i="17"/>
  <c r="K355" i="17"/>
  <c r="K308" i="3"/>
  <c r="K114" i="13"/>
  <c r="K45" i="15"/>
  <c r="K314" i="17"/>
  <c r="M273" i="15"/>
  <c r="M275" i="15"/>
  <c r="M270" i="15"/>
  <c r="Y463" i="17"/>
  <c r="Y471" i="17"/>
  <c r="Y368" i="17"/>
  <c r="Z355" i="3"/>
  <c r="Z363" i="17"/>
  <c r="L118" i="13"/>
  <c r="M456" i="3"/>
  <c r="M464" i="3"/>
  <c r="M439" i="3"/>
  <c r="M447" i="3"/>
  <c r="L119" i="13"/>
  <c r="M192" i="15"/>
  <c r="M194" i="15"/>
  <c r="L323" i="17"/>
  <c r="M228" i="15"/>
  <c r="M230" i="15"/>
  <c r="M225" i="15"/>
  <c r="S169" i="15"/>
  <c r="T164" i="15"/>
  <c r="S172" i="15"/>
  <c r="S174" i="15"/>
  <c r="M210" i="15"/>
  <c r="M212" i="15"/>
  <c r="M207" i="15"/>
  <c r="L164" i="13"/>
  <c r="L166" i="13"/>
  <c r="Z358" i="3"/>
  <c r="Z366" i="17"/>
  <c r="Z357" i="3"/>
  <c r="Z365" i="17"/>
  <c r="Z283" i="15"/>
  <c r="Z293" i="15"/>
  <c r="Z296" i="15"/>
  <c r="Z15" i="15"/>
  <c r="Z19" i="15"/>
  <c r="M246" i="15"/>
  <c r="M248" i="15"/>
  <c r="M243" i="15"/>
  <c r="Z362" i="3"/>
  <c r="Z370" i="17"/>
  <c r="Z356" i="3"/>
  <c r="Z438" i="3"/>
  <c r="Z446" i="3"/>
  <c r="Z364" i="17"/>
  <c r="Z446" i="17"/>
  <c r="Z454" i="17"/>
  <c r="S38" i="13"/>
  <c r="R40" i="13"/>
  <c r="N307" i="17"/>
  <c r="T191" i="3"/>
  <c r="S175" i="3"/>
  <c r="N301" i="3"/>
  <c r="N106" i="13"/>
  <c r="J12" i="14"/>
  <c r="M49" i="13"/>
  <c r="M335" i="3"/>
  <c r="N46" i="13"/>
  <c r="L148" i="13"/>
  <c r="L144" i="13"/>
  <c r="O43" i="13"/>
  <c r="L448" i="3"/>
  <c r="L450" i="3"/>
  <c r="L442" i="3"/>
  <c r="L465" i="3"/>
  <c r="L467" i="3"/>
  <c r="L459" i="3"/>
  <c r="R269" i="4"/>
  <c r="M151" i="13"/>
  <c r="S173" i="3"/>
  <c r="V166" i="3"/>
  <c r="H287" i="17"/>
  <c r="H334" i="17"/>
  <c r="H333" i="17"/>
  <c r="H6" i="17"/>
  <c r="H311" i="17"/>
  <c r="H423" i="17"/>
  <c r="H384" i="17"/>
  <c r="H383" i="17"/>
  <c r="R297" i="3"/>
  <c r="Q102" i="13"/>
  <c r="T336" i="3"/>
  <c r="T145" i="13"/>
  <c r="T44" i="13"/>
  <c r="O104" i="13"/>
  <c r="Q296" i="3"/>
  <c r="P101" i="13"/>
  <c r="P299" i="3"/>
  <c r="Y38" i="17"/>
  <c r="Q344" i="17"/>
  <c r="R302" i="17"/>
  <c r="R344" i="17"/>
  <c r="X39" i="17"/>
  <c r="Q303" i="17"/>
  <c r="P305" i="17"/>
  <c r="V40" i="17"/>
  <c r="P343" i="17"/>
  <c r="P347" i="17"/>
  <c r="Z242" i="17"/>
  <c r="Y249" i="17"/>
  <c r="U63" i="15"/>
  <c r="V57" i="15"/>
  <c r="G365" i="3"/>
  <c r="G171" i="13"/>
  <c r="G159" i="13"/>
  <c r="G58" i="13"/>
  <c r="X445" i="17"/>
  <c r="X462" i="17"/>
  <c r="X453" i="17"/>
  <c r="X470" i="17"/>
  <c r="I14" i="14"/>
  <c r="L123" i="13"/>
  <c r="D79" i="15"/>
  <c r="E79" i="15"/>
  <c r="AA356" i="3"/>
  <c r="AA438" i="3"/>
  <c r="AA446" i="3"/>
  <c r="AA364" i="17"/>
  <c r="AA446" i="17"/>
  <c r="AA454" i="17"/>
  <c r="M319" i="17"/>
  <c r="M51" i="15"/>
  <c r="N265" i="15"/>
  <c r="M313" i="3"/>
  <c r="T172" i="15"/>
  <c r="T174" i="15"/>
  <c r="T169" i="15"/>
  <c r="U164" i="15"/>
  <c r="L467" i="17"/>
  <c r="M455" i="17"/>
  <c r="M47" i="15"/>
  <c r="M312" i="3"/>
  <c r="AA283" i="15"/>
  <c r="AA293" i="15"/>
  <c r="AA296" i="15"/>
  <c r="AA15" i="15"/>
  <c r="AA19" i="15"/>
  <c r="AA362" i="3"/>
  <c r="AA370" i="17"/>
  <c r="M48" i="15"/>
  <c r="N203" i="15"/>
  <c r="M314" i="3"/>
  <c r="M120" i="13"/>
  <c r="M320" i="17"/>
  <c r="L149" i="15"/>
  <c r="AA363" i="17"/>
  <c r="AA355" i="3"/>
  <c r="AA357" i="3"/>
  <c r="AA365" i="17"/>
  <c r="AA358" i="3"/>
  <c r="AA366" i="17"/>
  <c r="N221" i="15"/>
  <c r="M49" i="15"/>
  <c r="M321" i="17"/>
  <c r="M315" i="3"/>
  <c r="M121" i="13"/>
  <c r="Z463" i="17"/>
  <c r="Z471" i="17"/>
  <c r="Z368" i="17"/>
  <c r="N239" i="15"/>
  <c r="N242" i="15"/>
  <c r="M50" i="15"/>
  <c r="Z455" i="3"/>
  <c r="Z463" i="3"/>
  <c r="Z360" i="3"/>
  <c r="L450" i="17"/>
  <c r="T38" i="13"/>
  <c r="S40" i="13"/>
  <c r="U191" i="3"/>
  <c r="T175" i="3"/>
  <c r="O301" i="3"/>
  <c r="O106" i="13"/>
  <c r="M339" i="3"/>
  <c r="M148" i="13"/>
  <c r="M144" i="13"/>
  <c r="P43" i="13"/>
  <c r="N335" i="3"/>
  <c r="N49" i="13"/>
  <c r="S269" i="4"/>
  <c r="T173" i="3"/>
  <c r="O46" i="13"/>
  <c r="N151" i="13"/>
  <c r="W166" i="3"/>
  <c r="R102" i="13"/>
  <c r="S297" i="3"/>
  <c r="R296" i="3"/>
  <c r="Q101" i="13"/>
  <c r="Q299" i="3"/>
  <c r="U336" i="3"/>
  <c r="P104" i="13"/>
  <c r="H337" i="17"/>
  <c r="H289" i="17"/>
  <c r="H336" i="17"/>
  <c r="Z38" i="17"/>
  <c r="S349" i="17"/>
  <c r="S302" i="17"/>
  <c r="Y39" i="17"/>
  <c r="W40" i="17"/>
  <c r="R303" i="17"/>
  <c r="Q305" i="17"/>
  <c r="O343" i="17"/>
  <c r="O347" i="17"/>
  <c r="O307" i="17"/>
  <c r="AA242" i="17"/>
  <c r="AA249" i="17"/>
  <c r="Z249" i="17"/>
  <c r="Q343" i="17"/>
  <c r="Q347" i="17"/>
  <c r="W57" i="15"/>
  <c r="V63" i="15"/>
  <c r="G288" i="3"/>
  <c r="G59" i="13"/>
  <c r="G170" i="13"/>
  <c r="Y445" i="17"/>
  <c r="Y462" i="17"/>
  <c r="Y453" i="17"/>
  <c r="Y470" i="17"/>
  <c r="N268" i="15"/>
  <c r="N273" i="15"/>
  <c r="N275" i="15"/>
  <c r="AA455" i="3"/>
  <c r="AA463" i="3"/>
  <c r="AA360" i="3"/>
  <c r="M317" i="3"/>
  <c r="M118" i="13"/>
  <c r="M457" i="3"/>
  <c r="N207" i="15"/>
  <c r="N210" i="15"/>
  <c r="N212" i="15"/>
  <c r="AA463" i="17"/>
  <c r="AA471" i="17"/>
  <c r="AA368" i="17"/>
  <c r="N192" i="15"/>
  <c r="N194" i="15"/>
  <c r="L308" i="3"/>
  <c r="L114" i="13"/>
  <c r="L314" i="17"/>
  <c r="L45" i="15"/>
  <c r="M144" i="15"/>
  <c r="N243" i="15"/>
  <c r="N246" i="15"/>
  <c r="N248" i="15"/>
  <c r="L355" i="17"/>
  <c r="M323" i="17"/>
  <c r="N228" i="15"/>
  <c r="N230" i="15"/>
  <c r="N224" i="15"/>
  <c r="N225" i="15"/>
  <c r="U169" i="15"/>
  <c r="V164" i="15"/>
  <c r="U172" i="15"/>
  <c r="U174" i="15"/>
  <c r="M119" i="13"/>
  <c r="M440" i="3"/>
  <c r="T40" i="13"/>
  <c r="V191" i="3"/>
  <c r="U175" i="3"/>
  <c r="O49" i="13"/>
  <c r="O335" i="3"/>
  <c r="T269" i="4"/>
  <c r="U173" i="3"/>
  <c r="N144" i="13"/>
  <c r="N339" i="3"/>
  <c r="N148" i="13"/>
  <c r="P301" i="3"/>
  <c r="P106" i="13"/>
  <c r="O151" i="13"/>
  <c r="Q43" i="13"/>
  <c r="P46" i="13"/>
  <c r="V336" i="3"/>
  <c r="R101" i="13"/>
  <c r="S296" i="3"/>
  <c r="R299" i="3"/>
  <c r="H290" i="17"/>
  <c r="H387" i="17"/>
  <c r="H388" i="17"/>
  <c r="H313" i="17"/>
  <c r="I351" i="17"/>
  <c r="I353" i="17"/>
  <c r="Q104" i="13"/>
  <c r="X166" i="3"/>
  <c r="T297" i="3"/>
  <c r="S102" i="13"/>
  <c r="T344" i="17"/>
  <c r="S344" i="17"/>
  <c r="T349" i="17"/>
  <c r="R307" i="17"/>
  <c r="AA38" i="17"/>
  <c r="T302" i="17"/>
  <c r="U349" i="17"/>
  <c r="X40" i="17"/>
  <c r="Z39" i="17"/>
  <c r="S303" i="17"/>
  <c r="R305" i="17"/>
  <c r="Q307" i="17"/>
  <c r="P307" i="17"/>
  <c r="X57" i="15"/>
  <c r="W63" i="15"/>
  <c r="G113" i="13"/>
  <c r="G62" i="13"/>
  <c r="G292" i="3"/>
  <c r="G328" i="3"/>
  <c r="G327" i="3"/>
  <c r="G6" i="3"/>
  <c r="G3" i="15"/>
  <c r="G52" i="15"/>
  <c r="G54" i="15"/>
  <c r="G376" i="3"/>
  <c r="G375" i="3"/>
  <c r="G30" i="15"/>
  <c r="G32" i="15"/>
  <c r="G415" i="3"/>
  <c r="F415" i="3"/>
  <c r="G108" i="13"/>
  <c r="G305" i="3"/>
  <c r="H83" i="15"/>
  <c r="Z445" i="17"/>
  <c r="Z462" i="17"/>
  <c r="Z453" i="17"/>
  <c r="Z470" i="17"/>
  <c r="N358" i="3"/>
  <c r="N164" i="13"/>
  <c r="N366" i="17"/>
  <c r="N48" i="15"/>
  <c r="O203" i="15"/>
  <c r="N314" i="3"/>
  <c r="N120" i="13"/>
  <c r="N320" i="17"/>
  <c r="M152" i="15"/>
  <c r="M154" i="15"/>
  <c r="M149" i="15"/>
  <c r="M467" i="17"/>
  <c r="J14" i="14"/>
  <c r="M123" i="13"/>
  <c r="N49" i="15"/>
  <c r="N321" i="17"/>
  <c r="O221" i="15"/>
  <c r="N315" i="3"/>
  <c r="N121" i="13"/>
  <c r="O239" i="15"/>
  <c r="N50" i="15"/>
  <c r="N355" i="3"/>
  <c r="M459" i="3"/>
  <c r="M465" i="3"/>
  <c r="M467" i="3"/>
  <c r="M442" i="3"/>
  <c r="M448" i="3"/>
  <c r="M450" i="3"/>
  <c r="V172" i="15"/>
  <c r="V174" i="15"/>
  <c r="V169" i="15"/>
  <c r="W164" i="15"/>
  <c r="M450" i="17"/>
  <c r="N356" i="3"/>
  <c r="N364" i="17"/>
  <c r="N269" i="15"/>
  <c r="N278" i="15"/>
  <c r="N280" i="15"/>
  <c r="O277" i="15"/>
  <c r="O280" i="15"/>
  <c r="P277" i="15"/>
  <c r="P280" i="15"/>
  <c r="Q277" i="15"/>
  <c r="Q280" i="15"/>
  <c r="R277" i="15"/>
  <c r="R280" i="15"/>
  <c r="S277" i="15"/>
  <c r="S280" i="15"/>
  <c r="T277" i="15"/>
  <c r="T280" i="15"/>
  <c r="U277" i="15"/>
  <c r="U280" i="15"/>
  <c r="V277" i="15"/>
  <c r="V280" i="15"/>
  <c r="W277" i="15"/>
  <c r="W280" i="15"/>
  <c r="X277" i="15"/>
  <c r="X280" i="15"/>
  <c r="Y277" i="15"/>
  <c r="Y280" i="15"/>
  <c r="Z277" i="15"/>
  <c r="Z280" i="15"/>
  <c r="AA277" i="15"/>
  <c r="AA280" i="15"/>
  <c r="W191" i="3"/>
  <c r="V175" i="3"/>
  <c r="P49" i="13"/>
  <c r="P335" i="3"/>
  <c r="V173" i="3"/>
  <c r="Q46" i="13"/>
  <c r="R43" i="13"/>
  <c r="Q301" i="3"/>
  <c r="Q106" i="13"/>
  <c r="P151" i="13"/>
  <c r="O144" i="13"/>
  <c r="O339" i="3"/>
  <c r="O148" i="13"/>
  <c r="U269" i="4"/>
  <c r="T102" i="13"/>
  <c r="U297" i="3"/>
  <c r="V297" i="3"/>
  <c r="W297" i="3"/>
  <c r="I356" i="17"/>
  <c r="I358" i="17"/>
  <c r="H292" i="17"/>
  <c r="H296" i="17"/>
  <c r="H327" i="17"/>
  <c r="T296" i="3"/>
  <c r="S101" i="13"/>
  <c r="S299" i="3"/>
  <c r="Y166" i="3"/>
  <c r="W336" i="3"/>
  <c r="R104" i="13"/>
  <c r="R343" i="17"/>
  <c r="R347" i="17"/>
  <c r="U302" i="17"/>
  <c r="G405" i="17"/>
  <c r="G404" i="17"/>
  <c r="AA39" i="17"/>
  <c r="T303" i="17"/>
  <c r="S305" i="17"/>
  <c r="Y40" i="17"/>
  <c r="S307" i="17"/>
  <c r="S343" i="17"/>
  <c r="S347" i="17"/>
  <c r="X63" i="15"/>
  <c r="Y57" i="15"/>
  <c r="G55" i="15"/>
  <c r="H152" i="13"/>
  <c r="E433" i="3"/>
  <c r="G445" i="3"/>
  <c r="G450" i="3"/>
  <c r="N440" i="3"/>
  <c r="N448" i="3"/>
  <c r="N450" i="3"/>
  <c r="O440" i="3"/>
  <c r="O448" i="3"/>
  <c r="O450" i="3"/>
  <c r="P440" i="3"/>
  <c r="P448" i="3"/>
  <c r="P450" i="3"/>
  <c r="Q440" i="3"/>
  <c r="Q448" i="3"/>
  <c r="Q450" i="3"/>
  <c r="R440" i="3"/>
  <c r="R448" i="3"/>
  <c r="R450" i="3"/>
  <c r="S440" i="3"/>
  <c r="S448" i="3"/>
  <c r="S450" i="3"/>
  <c r="T440" i="3"/>
  <c r="T448" i="3"/>
  <c r="T450" i="3"/>
  <c r="U440" i="3"/>
  <c r="U448" i="3"/>
  <c r="U450" i="3"/>
  <c r="E450" i="3"/>
  <c r="G462" i="3"/>
  <c r="G467" i="3"/>
  <c r="N312" i="3"/>
  <c r="N457" i="3"/>
  <c r="N465" i="3"/>
  <c r="N455" i="3"/>
  <c r="N463" i="3"/>
  <c r="N456" i="3"/>
  <c r="N464" i="3"/>
  <c r="N467" i="3"/>
  <c r="O312" i="3"/>
  <c r="O457" i="3"/>
  <c r="O465" i="3"/>
  <c r="O456" i="3"/>
  <c r="O464" i="3"/>
  <c r="O467" i="3"/>
  <c r="P312" i="3"/>
  <c r="P457" i="3"/>
  <c r="P465" i="3"/>
  <c r="P456" i="3"/>
  <c r="P464" i="3"/>
  <c r="P467" i="3"/>
  <c r="Q312" i="3"/>
  <c r="Q457" i="3"/>
  <c r="Q465" i="3"/>
  <c r="Q456" i="3"/>
  <c r="Q464" i="3"/>
  <c r="Q467" i="3"/>
  <c r="R312" i="3"/>
  <c r="R457" i="3"/>
  <c r="R465" i="3"/>
  <c r="R456" i="3"/>
  <c r="R464" i="3"/>
  <c r="R467" i="3"/>
  <c r="S312" i="3"/>
  <c r="S457" i="3"/>
  <c r="S465" i="3"/>
  <c r="S456" i="3"/>
  <c r="S464" i="3"/>
  <c r="S467" i="3"/>
  <c r="T312" i="3"/>
  <c r="T457" i="3"/>
  <c r="T465" i="3"/>
  <c r="T456" i="3"/>
  <c r="T464" i="3"/>
  <c r="T467" i="3"/>
  <c r="U312" i="3"/>
  <c r="U457" i="3"/>
  <c r="U465" i="3"/>
  <c r="U456" i="3"/>
  <c r="U464" i="3"/>
  <c r="U467" i="3"/>
  <c r="E467" i="3"/>
  <c r="G137" i="13"/>
  <c r="G66" i="15"/>
  <c r="G321" i="3"/>
  <c r="G66" i="13"/>
  <c r="G136" i="13"/>
  <c r="G330" i="3"/>
  <c r="G139" i="13"/>
  <c r="D13" i="14"/>
  <c r="G110" i="13"/>
  <c r="AA445" i="17"/>
  <c r="AA462" i="17"/>
  <c r="AA453" i="17"/>
  <c r="AA470" i="17"/>
  <c r="M308" i="3"/>
  <c r="M114" i="13"/>
  <c r="M314" i="17"/>
  <c r="N144" i="15"/>
  <c r="M45" i="15"/>
  <c r="N446" i="17"/>
  <c r="N447" i="17"/>
  <c r="N455" i="17"/>
  <c r="N161" i="13"/>
  <c r="N360" i="3"/>
  <c r="N166" i="13"/>
  <c r="M347" i="3"/>
  <c r="M355" i="17"/>
  <c r="N162" i="13"/>
  <c r="N438" i="3"/>
  <c r="N439" i="3"/>
  <c r="N447" i="3"/>
  <c r="O243" i="15"/>
  <c r="O246" i="15"/>
  <c r="O248" i="15"/>
  <c r="O210" i="15"/>
  <c r="O212" i="15"/>
  <c r="O207" i="15"/>
  <c r="W172" i="15"/>
  <c r="W174" i="15"/>
  <c r="W169" i="15"/>
  <c r="X164" i="15"/>
  <c r="O228" i="15"/>
  <c r="O230" i="15"/>
  <c r="O225" i="15"/>
  <c r="N368" i="17"/>
  <c r="N47" i="15"/>
  <c r="N270" i="15"/>
  <c r="X191" i="3"/>
  <c r="W175" i="3"/>
  <c r="S43" i="13"/>
  <c r="R301" i="3"/>
  <c r="R106" i="13"/>
  <c r="V269" i="4"/>
  <c r="W173" i="3"/>
  <c r="P339" i="3"/>
  <c r="P148" i="13"/>
  <c r="P144" i="13"/>
  <c r="R46" i="13"/>
  <c r="G396" i="3"/>
  <c r="Q151" i="13"/>
  <c r="Q335" i="3"/>
  <c r="Q49" i="13"/>
  <c r="X297" i="3"/>
  <c r="I283" i="17"/>
  <c r="S104" i="13"/>
  <c r="H329" i="17"/>
  <c r="Z166" i="3"/>
  <c r="T299" i="3"/>
  <c r="U296" i="3"/>
  <c r="T101" i="13"/>
  <c r="X336" i="3"/>
  <c r="U344" i="17"/>
  <c r="V344" i="17"/>
  <c r="U303" i="17"/>
  <c r="T305" i="17"/>
  <c r="T343" i="17"/>
  <c r="T347" i="17"/>
  <c r="V302" i="17"/>
  <c r="V349" i="17"/>
  <c r="Z40" i="17"/>
  <c r="Z57" i="15"/>
  <c r="Y63" i="15"/>
  <c r="H154" i="13"/>
  <c r="G128" i="13"/>
  <c r="G323" i="3"/>
  <c r="X172" i="15"/>
  <c r="X174" i="15"/>
  <c r="X169" i="15"/>
  <c r="Y164" i="15"/>
  <c r="O320" i="17"/>
  <c r="P203" i="15"/>
  <c r="O48" i="15"/>
  <c r="O314" i="3"/>
  <c r="O120" i="13"/>
  <c r="N317" i="3"/>
  <c r="N123" i="13"/>
  <c r="N118" i="13"/>
  <c r="N454" i="17"/>
  <c r="P239" i="15"/>
  <c r="O50" i="15"/>
  <c r="N319" i="17"/>
  <c r="N323" i="17"/>
  <c r="O265" i="15"/>
  <c r="N313" i="3"/>
  <c r="N51" i="15"/>
  <c r="O192" i="15"/>
  <c r="O194" i="15"/>
  <c r="N152" i="15"/>
  <c r="N154" i="15"/>
  <c r="N149" i="15"/>
  <c r="O49" i="15"/>
  <c r="P221" i="15"/>
  <c r="O315" i="3"/>
  <c r="O121" i="13"/>
  <c r="O321" i="17"/>
  <c r="N446" i="3"/>
  <c r="Y191" i="3"/>
  <c r="X175" i="3"/>
  <c r="Q144" i="13"/>
  <c r="Q339" i="3"/>
  <c r="Q148" i="13"/>
  <c r="R151" i="13"/>
  <c r="R49" i="13"/>
  <c r="R335" i="3"/>
  <c r="S46" i="13"/>
  <c r="Y297" i="3"/>
  <c r="T307" i="17"/>
  <c r="T43" i="13"/>
  <c r="S301" i="3"/>
  <c r="S106" i="13"/>
  <c r="W269" i="4"/>
  <c r="G397" i="3"/>
  <c r="X173" i="3"/>
  <c r="V296" i="3"/>
  <c r="U299" i="3"/>
  <c r="I284" i="17"/>
  <c r="I359" i="17"/>
  <c r="I361" i="17"/>
  <c r="I372" i="17"/>
  <c r="I309" i="17"/>
  <c r="H331" i="17"/>
  <c r="H338" i="17"/>
  <c r="H335" i="17"/>
  <c r="T104" i="13"/>
  <c r="Y336" i="3"/>
  <c r="AA166" i="3"/>
  <c r="X349" i="17"/>
  <c r="W349" i="17"/>
  <c r="W302" i="17"/>
  <c r="AA40" i="17"/>
  <c r="V303" i="17"/>
  <c r="W303" i="17"/>
  <c r="U305" i="17"/>
  <c r="Z63" i="15"/>
  <c r="AA57" i="15"/>
  <c r="AA63" i="15"/>
  <c r="H156" i="13"/>
  <c r="G130" i="13"/>
  <c r="D15" i="14"/>
  <c r="G325" i="3"/>
  <c r="G67" i="15"/>
  <c r="G329" i="3"/>
  <c r="G138" i="13"/>
  <c r="P246" i="15"/>
  <c r="P248" i="15"/>
  <c r="P243" i="15"/>
  <c r="N467" i="17"/>
  <c r="N314" i="17"/>
  <c r="O144" i="15"/>
  <c r="N308" i="3"/>
  <c r="N114" i="13"/>
  <c r="N45" i="15"/>
  <c r="N355" i="17"/>
  <c r="N347" i="3"/>
  <c r="P207" i="15"/>
  <c r="P210" i="15"/>
  <c r="P212" i="15"/>
  <c r="P228" i="15"/>
  <c r="P230" i="15"/>
  <c r="P225" i="15"/>
  <c r="O47" i="15"/>
  <c r="O447" i="17"/>
  <c r="N459" i="3"/>
  <c r="Y169" i="15"/>
  <c r="Z164" i="15"/>
  <c r="Y172" i="15"/>
  <c r="Y174" i="15"/>
  <c r="N119" i="13"/>
  <c r="O439" i="3"/>
  <c r="O270" i="15"/>
  <c r="O273" i="15"/>
  <c r="O275" i="15"/>
  <c r="Z297" i="3"/>
  <c r="AA297" i="3"/>
  <c r="Z191" i="3"/>
  <c r="Y175" i="3"/>
  <c r="T301" i="3"/>
  <c r="T106" i="13"/>
  <c r="U343" i="17"/>
  <c r="U347" i="17"/>
  <c r="R339" i="3"/>
  <c r="R148" i="13"/>
  <c r="R144" i="13"/>
  <c r="S151" i="13"/>
  <c r="X269" i="4"/>
  <c r="T46" i="13"/>
  <c r="S335" i="3"/>
  <c r="S49" i="13"/>
  <c r="Y173" i="3"/>
  <c r="V299" i="3"/>
  <c r="W296" i="3"/>
  <c r="Z336" i="3"/>
  <c r="I334" i="17"/>
  <c r="I333" i="17"/>
  <c r="I6" i="17"/>
  <c r="I423" i="17"/>
  <c r="I311" i="17"/>
  <c r="I384" i="17"/>
  <c r="I383" i="17"/>
  <c r="AA336" i="3"/>
  <c r="I287" i="17"/>
  <c r="X302" i="17"/>
  <c r="W344" i="17"/>
  <c r="W305" i="17"/>
  <c r="X303" i="17"/>
  <c r="Y349" i="17"/>
  <c r="V305" i="17"/>
  <c r="V307" i="17"/>
  <c r="U307" i="17"/>
  <c r="H52" i="13"/>
  <c r="G133" i="13"/>
  <c r="G332" i="3"/>
  <c r="G141" i="13"/>
  <c r="O455" i="17"/>
  <c r="O319" i="17"/>
  <c r="O313" i="3"/>
  <c r="P265" i="15"/>
  <c r="O51" i="15"/>
  <c r="O323" i="17"/>
  <c r="O317" i="3"/>
  <c r="O123" i="13"/>
  <c r="O118" i="13"/>
  <c r="O149" i="15"/>
  <c r="O152" i="15"/>
  <c r="O154" i="15"/>
  <c r="N442" i="3"/>
  <c r="P192" i="15"/>
  <c r="P194" i="15"/>
  <c r="O447" i="3"/>
  <c r="P321" i="17"/>
  <c r="P49" i="15"/>
  <c r="P315" i="3"/>
  <c r="P121" i="13"/>
  <c r="Q221" i="15"/>
  <c r="Q239" i="15"/>
  <c r="P50" i="15"/>
  <c r="N450" i="17"/>
  <c r="Z172" i="15"/>
  <c r="Z174" i="15"/>
  <c r="Z169" i="15"/>
  <c r="AA164" i="15"/>
  <c r="Q203" i="15"/>
  <c r="P48" i="15"/>
  <c r="P314" i="3"/>
  <c r="P120" i="13"/>
  <c r="P320" i="17"/>
  <c r="AA191" i="3"/>
  <c r="Z175" i="3"/>
  <c r="T335" i="3"/>
  <c r="T49" i="13"/>
  <c r="Z173" i="3"/>
  <c r="S144" i="13"/>
  <c r="S339" i="3"/>
  <c r="S148" i="13"/>
  <c r="U301" i="3"/>
  <c r="U335" i="3"/>
  <c r="U339" i="3"/>
  <c r="T151" i="13"/>
  <c r="Y269" i="4"/>
  <c r="W299" i="3"/>
  <c r="X296" i="3"/>
  <c r="I337" i="17"/>
  <c r="I289" i="17"/>
  <c r="I336" i="17"/>
  <c r="X305" i="17"/>
  <c r="X344" i="17"/>
  <c r="Y302" i="17"/>
  <c r="W307" i="17"/>
  <c r="Z349" i="17"/>
  <c r="V343" i="17"/>
  <c r="V347" i="17"/>
  <c r="H53" i="13"/>
  <c r="P47" i="15"/>
  <c r="O467" i="17"/>
  <c r="O347" i="3"/>
  <c r="O355" i="17"/>
  <c r="P273" i="15"/>
  <c r="P275" i="15"/>
  <c r="P270" i="15"/>
  <c r="Q207" i="15"/>
  <c r="Q210" i="15"/>
  <c r="Q212" i="15"/>
  <c r="Q246" i="15"/>
  <c r="Q248" i="15"/>
  <c r="Q243" i="15"/>
  <c r="P144" i="15"/>
  <c r="O45" i="15"/>
  <c r="O308" i="3"/>
  <c r="O114" i="13"/>
  <c r="O314" i="17"/>
  <c r="P439" i="3"/>
  <c r="O119" i="13"/>
  <c r="AA172" i="15"/>
  <c r="AA174" i="15"/>
  <c r="AA169" i="15"/>
  <c r="Q225" i="15"/>
  <c r="Q228" i="15"/>
  <c r="Q230" i="15"/>
  <c r="O459" i="3"/>
  <c r="P447" i="17"/>
  <c r="AA175" i="3"/>
  <c r="V301" i="3"/>
  <c r="AA173" i="3"/>
  <c r="V335" i="3"/>
  <c r="V339" i="3"/>
  <c r="Z269" i="4"/>
  <c r="T339" i="3"/>
  <c r="T148" i="13"/>
  <c r="T144" i="13"/>
  <c r="I290" i="17"/>
  <c r="I387" i="17"/>
  <c r="I388" i="17"/>
  <c r="I313" i="17"/>
  <c r="J351" i="17"/>
  <c r="J353" i="17"/>
  <c r="Y296" i="3"/>
  <c r="X299" i="3"/>
  <c r="Z302" i="17"/>
  <c r="AA302" i="17"/>
  <c r="AA349" i="17"/>
  <c r="Y303" i="17"/>
  <c r="Y344" i="17"/>
  <c r="W343" i="17"/>
  <c r="W347" i="17"/>
  <c r="X307" i="17"/>
  <c r="H68" i="15"/>
  <c r="H331" i="3"/>
  <c r="H140" i="13"/>
  <c r="H56" i="13"/>
  <c r="H157" i="13"/>
  <c r="H16" i="15"/>
  <c r="H18" i="15"/>
  <c r="O442" i="3"/>
  <c r="P455" i="17"/>
  <c r="P149" i="15"/>
  <c r="P152" i="15"/>
  <c r="P154" i="15"/>
  <c r="R239" i="15"/>
  <c r="Q50" i="15"/>
  <c r="O450" i="17"/>
  <c r="Q315" i="3"/>
  <c r="Q121" i="13"/>
  <c r="R221" i="15"/>
  <c r="Q49" i="15"/>
  <c r="Q321" i="17"/>
  <c r="Q192" i="15"/>
  <c r="Q194" i="15"/>
  <c r="P118" i="13"/>
  <c r="P313" i="3"/>
  <c r="P317" i="3"/>
  <c r="P123" i="13"/>
  <c r="P51" i="15"/>
  <c r="Q265" i="15"/>
  <c r="P319" i="17"/>
  <c r="P447" i="3"/>
  <c r="Q48" i="15"/>
  <c r="Q320" i="17"/>
  <c r="R203" i="15"/>
  <c r="Q314" i="3"/>
  <c r="Q120" i="13"/>
  <c r="P323" i="17"/>
  <c r="AB269" i="4"/>
  <c r="AA269" i="4"/>
  <c r="W335" i="3"/>
  <c r="W339" i="3"/>
  <c r="W301" i="3"/>
  <c r="Z296" i="3"/>
  <c r="Y299" i="3"/>
  <c r="I292" i="17"/>
  <c r="I296" i="17"/>
  <c r="I327" i="17"/>
  <c r="J356" i="17"/>
  <c r="J358" i="17"/>
  <c r="Z344" i="17"/>
  <c r="Y343" i="17"/>
  <c r="Y347" i="17"/>
  <c r="Y307" i="17"/>
  <c r="X343" i="17"/>
  <c r="X347" i="17"/>
  <c r="Z303" i="17"/>
  <c r="Y305" i="17"/>
  <c r="AA344" i="17"/>
  <c r="H159" i="13"/>
  <c r="H58" i="13"/>
  <c r="Q273" i="15"/>
  <c r="Q275" i="15"/>
  <c r="Q270" i="15"/>
  <c r="R246" i="15"/>
  <c r="R248" i="15"/>
  <c r="R243" i="15"/>
  <c r="P467" i="17"/>
  <c r="P347" i="3"/>
  <c r="P355" i="17"/>
  <c r="P459" i="3"/>
  <c r="Q144" i="15"/>
  <c r="P308" i="3"/>
  <c r="P114" i="13"/>
  <c r="P45" i="15"/>
  <c r="P314" i="17"/>
  <c r="R228" i="15"/>
  <c r="R230" i="15"/>
  <c r="R225" i="15"/>
  <c r="P119" i="13"/>
  <c r="Q439" i="3"/>
  <c r="Q47" i="15"/>
  <c r="R210" i="15"/>
  <c r="R212" i="15"/>
  <c r="R207" i="15"/>
  <c r="Q447" i="17"/>
  <c r="X301" i="3"/>
  <c r="X335" i="3"/>
  <c r="X339" i="3"/>
  <c r="AA296" i="3"/>
  <c r="AA299" i="3"/>
  <c r="Z299" i="3"/>
  <c r="J283" i="17"/>
  <c r="I329" i="17"/>
  <c r="AA303" i="17"/>
  <c r="AA305" i="17"/>
  <c r="Z305" i="17"/>
  <c r="H288" i="3"/>
  <c r="H59" i="13"/>
  <c r="H170" i="13"/>
  <c r="Q447" i="3"/>
  <c r="R50" i="15"/>
  <c r="S239" i="15"/>
  <c r="P442" i="3"/>
  <c r="P450" i="17"/>
  <c r="R320" i="17"/>
  <c r="R48" i="15"/>
  <c r="S203" i="15"/>
  <c r="R314" i="3"/>
  <c r="R120" i="13"/>
  <c r="R321" i="17"/>
  <c r="S221" i="15"/>
  <c r="R315" i="3"/>
  <c r="R121" i="13"/>
  <c r="R49" i="15"/>
  <c r="R265" i="15"/>
  <c r="Q51" i="15"/>
  <c r="Q313" i="3"/>
  <c r="Q317" i="3"/>
  <c r="Q123" i="13"/>
  <c r="Q319" i="17"/>
  <c r="R192" i="15"/>
  <c r="R194" i="15"/>
  <c r="Q149" i="15"/>
  <c r="Q152" i="15"/>
  <c r="Q154" i="15"/>
  <c r="Q455" i="17"/>
  <c r="Q118" i="13"/>
  <c r="Y301" i="3"/>
  <c r="Y335" i="3"/>
  <c r="Y339" i="3"/>
  <c r="I331" i="17"/>
  <c r="I338" i="17"/>
  <c r="I335" i="17"/>
  <c r="J284" i="17"/>
  <c r="J359" i="17"/>
  <c r="J361" i="17"/>
  <c r="J372" i="17"/>
  <c r="J309" i="17"/>
  <c r="Z307" i="17"/>
  <c r="AA410" i="17"/>
  <c r="Z343" i="17"/>
  <c r="Z347" i="17"/>
  <c r="H113" i="13"/>
  <c r="H108" i="13"/>
  <c r="H327" i="3"/>
  <c r="H30" i="15"/>
  <c r="H32" i="15"/>
  <c r="H305" i="3"/>
  <c r="H6" i="3"/>
  <c r="H3" i="15"/>
  <c r="H328" i="3"/>
  <c r="H415" i="3"/>
  <c r="H52" i="15"/>
  <c r="H54" i="15"/>
  <c r="I83" i="15"/>
  <c r="H376" i="3"/>
  <c r="H375" i="3"/>
  <c r="H292" i="3"/>
  <c r="H62" i="13"/>
  <c r="H414" i="3"/>
  <c r="Q459" i="3"/>
  <c r="Q347" i="3"/>
  <c r="Q355" i="17"/>
  <c r="R47" i="15"/>
  <c r="R447" i="17"/>
  <c r="Q314" i="17"/>
  <c r="Q45" i="15"/>
  <c r="R144" i="15"/>
  <c r="Q308" i="3"/>
  <c r="Q114" i="13"/>
  <c r="S243" i="15"/>
  <c r="S246" i="15"/>
  <c r="S248" i="15"/>
  <c r="S207" i="15"/>
  <c r="S210" i="15"/>
  <c r="S212" i="15"/>
  <c r="Q119" i="13"/>
  <c r="R439" i="3"/>
  <c r="S228" i="15"/>
  <c r="S230" i="15"/>
  <c r="S225" i="15"/>
  <c r="Q467" i="17"/>
  <c r="Q323" i="17"/>
  <c r="R270" i="15"/>
  <c r="R273" i="15"/>
  <c r="R275" i="15"/>
  <c r="Z335" i="3"/>
  <c r="Z339" i="3"/>
  <c r="Z301" i="3"/>
  <c r="H422" i="17"/>
  <c r="I422" i="17"/>
  <c r="AA335" i="3"/>
  <c r="AA339" i="3"/>
  <c r="AA402" i="3"/>
  <c r="AA301" i="3"/>
  <c r="J287" i="17"/>
  <c r="J337" i="17"/>
  <c r="J333" i="17"/>
  <c r="J422" i="17"/>
  <c r="J6" i="17"/>
  <c r="J334" i="17"/>
  <c r="J423" i="17"/>
  <c r="J311" i="17"/>
  <c r="J384" i="17"/>
  <c r="J383" i="17"/>
  <c r="AA343" i="17"/>
  <c r="AA347" i="17"/>
  <c r="AA307" i="17"/>
  <c r="H55" i="15"/>
  <c r="H136" i="13"/>
  <c r="H330" i="3"/>
  <c r="H139" i="13"/>
  <c r="I152" i="13"/>
  <c r="H137" i="13"/>
  <c r="H66" i="15"/>
  <c r="E13" i="14"/>
  <c r="H110" i="13"/>
  <c r="H66" i="13"/>
  <c r="H321" i="3"/>
  <c r="E78" i="15"/>
  <c r="R455" i="17"/>
  <c r="T203" i="15"/>
  <c r="S48" i="15"/>
  <c r="S314" i="3"/>
  <c r="S120" i="13"/>
  <c r="S320" i="17"/>
  <c r="S192" i="15"/>
  <c r="S194" i="15"/>
  <c r="T239" i="15"/>
  <c r="S50" i="15"/>
  <c r="R323" i="17"/>
  <c r="Q450" i="17"/>
  <c r="T221" i="15"/>
  <c r="S321" i="17"/>
  <c r="S315" i="3"/>
  <c r="S121" i="13"/>
  <c r="S49" i="15"/>
  <c r="R317" i="3"/>
  <c r="R123" i="13"/>
  <c r="R118" i="13"/>
  <c r="Q442" i="3"/>
  <c r="R313" i="3"/>
  <c r="R319" i="17"/>
  <c r="R51" i="15"/>
  <c r="S265" i="15"/>
  <c r="R152" i="15"/>
  <c r="R154" i="15"/>
  <c r="R149" i="15"/>
  <c r="R447" i="3"/>
  <c r="AA411" i="17"/>
  <c r="J289" i="17"/>
  <c r="J290" i="17"/>
  <c r="J387" i="17"/>
  <c r="J388" i="17"/>
  <c r="J313" i="17"/>
  <c r="K351" i="17"/>
  <c r="K353" i="17"/>
  <c r="J336" i="17"/>
  <c r="AA412" i="17"/>
  <c r="G406" i="17"/>
  <c r="I154" i="13"/>
  <c r="H128" i="13"/>
  <c r="H323" i="3"/>
  <c r="AA403" i="3"/>
  <c r="AA404" i="3"/>
  <c r="S47" i="15"/>
  <c r="T246" i="15"/>
  <c r="T248" i="15"/>
  <c r="T243" i="15"/>
  <c r="R308" i="3"/>
  <c r="R114" i="13"/>
  <c r="R314" i="17"/>
  <c r="S144" i="15"/>
  <c r="R45" i="15"/>
  <c r="S270" i="15"/>
  <c r="S273" i="15"/>
  <c r="S275" i="15"/>
  <c r="S447" i="17"/>
  <c r="T225" i="15"/>
  <c r="T228" i="15"/>
  <c r="T230" i="15"/>
  <c r="R347" i="3"/>
  <c r="R355" i="17"/>
  <c r="R119" i="13"/>
  <c r="S439" i="3"/>
  <c r="T210" i="15"/>
  <c r="T212" i="15"/>
  <c r="T207" i="15"/>
  <c r="R467" i="17"/>
  <c r="R459" i="3"/>
  <c r="G82" i="15"/>
  <c r="G92" i="15"/>
  <c r="G93" i="15"/>
  <c r="G399" i="3"/>
  <c r="G398" i="3"/>
  <c r="J292" i="17"/>
  <c r="J296" i="17"/>
  <c r="J327" i="17"/>
  <c r="J329" i="17"/>
  <c r="K356" i="17"/>
  <c r="K358" i="17"/>
  <c r="G407" i="17"/>
  <c r="H325" i="3"/>
  <c r="H130" i="13"/>
  <c r="E15" i="14"/>
  <c r="H329" i="3"/>
  <c r="H138" i="13"/>
  <c r="H67" i="15"/>
  <c r="I156" i="13"/>
  <c r="S447" i="3"/>
  <c r="T50" i="15"/>
  <c r="U239" i="15"/>
  <c r="T321" i="17"/>
  <c r="T49" i="15"/>
  <c r="T315" i="3"/>
  <c r="T121" i="13"/>
  <c r="U221" i="15"/>
  <c r="T320" i="17"/>
  <c r="U203" i="15"/>
  <c r="T48" i="15"/>
  <c r="T314" i="3"/>
  <c r="T120" i="13"/>
  <c r="R450" i="17"/>
  <c r="T192" i="15"/>
  <c r="T194" i="15"/>
  <c r="S455" i="17"/>
  <c r="S317" i="3"/>
  <c r="S123" i="13"/>
  <c r="S118" i="13"/>
  <c r="S149" i="15"/>
  <c r="S152" i="15"/>
  <c r="S154" i="15"/>
  <c r="R442" i="3"/>
  <c r="T265" i="15"/>
  <c r="S313" i="3"/>
  <c r="S319" i="17"/>
  <c r="S51" i="15"/>
  <c r="E432" i="3"/>
  <c r="G437" i="3"/>
  <c r="G442" i="3"/>
  <c r="S442" i="3"/>
  <c r="T442" i="3"/>
  <c r="U442" i="3"/>
  <c r="E442" i="3"/>
  <c r="E1" i="3"/>
  <c r="F1" i="4"/>
  <c r="D1" i="5"/>
  <c r="F1" i="10"/>
  <c r="G454" i="3"/>
  <c r="G459" i="3"/>
  <c r="S459" i="3"/>
  <c r="T459" i="3"/>
  <c r="U459" i="3"/>
  <c r="E459" i="3"/>
  <c r="H102" i="15"/>
  <c r="H108" i="15"/>
  <c r="H100" i="15"/>
  <c r="I100" i="15"/>
  <c r="H99" i="15"/>
  <c r="I99" i="15"/>
  <c r="J331" i="17"/>
  <c r="J338" i="17"/>
  <c r="J335" i="17"/>
  <c r="K283" i="17"/>
  <c r="G445" i="17"/>
  <c r="G450" i="17"/>
  <c r="S450" i="17"/>
  <c r="T450" i="17"/>
  <c r="U450" i="17"/>
  <c r="E450" i="17"/>
  <c r="E1" i="17"/>
  <c r="G462" i="17"/>
  <c r="G467" i="17"/>
  <c r="S467" i="17"/>
  <c r="T467" i="17"/>
  <c r="U467" i="17"/>
  <c r="E467" i="17"/>
  <c r="E440" i="17"/>
  <c r="I52" i="13"/>
  <c r="H133" i="13"/>
  <c r="H332" i="3"/>
  <c r="H141" i="13"/>
  <c r="U207" i="15"/>
  <c r="U210" i="15"/>
  <c r="U212" i="15"/>
  <c r="U228" i="15"/>
  <c r="U230" i="15"/>
  <c r="U225" i="15"/>
  <c r="S119" i="13"/>
  <c r="T439" i="3"/>
  <c r="T270" i="15"/>
  <c r="T273" i="15"/>
  <c r="T275" i="15"/>
  <c r="T447" i="17"/>
  <c r="T144" i="15"/>
  <c r="S45" i="15"/>
  <c r="S308" i="3"/>
  <c r="S114" i="13"/>
  <c r="S314" i="17"/>
  <c r="U243" i="15"/>
  <c r="U246" i="15"/>
  <c r="U248" i="15"/>
  <c r="S347" i="3"/>
  <c r="S355" i="17"/>
  <c r="T47" i="15"/>
  <c r="S323" i="17"/>
  <c r="H107" i="15"/>
  <c r="I102" i="15"/>
  <c r="I103" i="15"/>
  <c r="I107" i="15"/>
  <c r="F1" i="12"/>
  <c r="F1" i="8"/>
  <c r="E1" i="7"/>
  <c r="E1" i="11"/>
  <c r="H109" i="15"/>
  <c r="I108" i="15"/>
  <c r="J104" i="15"/>
  <c r="K105" i="15"/>
  <c r="J103" i="15"/>
  <c r="K104" i="15"/>
  <c r="L105" i="15"/>
  <c r="K284" i="17"/>
  <c r="K359" i="17"/>
  <c r="K361" i="17"/>
  <c r="K372" i="17"/>
  <c r="K309" i="17"/>
  <c r="I53" i="13"/>
  <c r="T455" i="17"/>
  <c r="T447" i="3"/>
  <c r="T319" i="17"/>
  <c r="T313" i="3"/>
  <c r="U265" i="15"/>
  <c r="T51" i="15"/>
  <c r="T118" i="13"/>
  <c r="T152" i="15"/>
  <c r="T154" i="15"/>
  <c r="T149" i="15"/>
  <c r="U49" i="15"/>
  <c r="V221" i="15"/>
  <c r="U321" i="17"/>
  <c r="U315" i="3"/>
  <c r="T323" i="17"/>
  <c r="U50" i="15"/>
  <c r="V239" i="15"/>
  <c r="U192" i="15"/>
  <c r="U194" i="15"/>
  <c r="U320" i="17"/>
  <c r="V203" i="15"/>
  <c r="U48" i="15"/>
  <c r="U314" i="3"/>
  <c r="I109" i="15"/>
  <c r="K334" i="17"/>
  <c r="K333" i="17"/>
  <c r="K422" i="17"/>
  <c r="K6" i="17"/>
  <c r="K423" i="17"/>
  <c r="K311" i="17"/>
  <c r="K384" i="17"/>
  <c r="K383" i="17"/>
  <c r="K287" i="17"/>
  <c r="J272" i="4"/>
  <c r="I272" i="4"/>
  <c r="I157" i="13"/>
  <c r="I16" i="15"/>
  <c r="I18" i="15"/>
  <c r="I331" i="3"/>
  <c r="I140" i="13"/>
  <c r="I68" i="15"/>
  <c r="I56" i="13"/>
  <c r="U439" i="3"/>
  <c r="T119" i="13"/>
  <c r="U273" i="15"/>
  <c r="U275" i="15"/>
  <c r="U270" i="15"/>
  <c r="U447" i="17"/>
  <c r="T355" i="17"/>
  <c r="T347" i="3"/>
  <c r="V228" i="15"/>
  <c r="V230" i="15"/>
  <c r="V225" i="15"/>
  <c r="T45" i="15"/>
  <c r="T308" i="3"/>
  <c r="T114" i="13"/>
  <c r="T314" i="17"/>
  <c r="U144" i="15"/>
  <c r="U47" i="15"/>
  <c r="V185" i="15"/>
  <c r="V207" i="15"/>
  <c r="V210" i="15"/>
  <c r="V212" i="15"/>
  <c r="V246" i="15"/>
  <c r="V248" i="15"/>
  <c r="V243" i="15"/>
  <c r="T317" i="3"/>
  <c r="T123" i="13"/>
  <c r="K337" i="17"/>
  <c r="K289" i="17"/>
  <c r="K336" i="17"/>
  <c r="I159" i="13"/>
  <c r="I58" i="13"/>
  <c r="I288" i="3"/>
  <c r="U455" i="17"/>
  <c r="U51" i="15"/>
  <c r="U319" i="17"/>
  <c r="V265" i="15"/>
  <c r="U313" i="3"/>
  <c r="W239" i="15"/>
  <c r="V50" i="15"/>
  <c r="U149" i="15"/>
  <c r="U152" i="15"/>
  <c r="U154" i="15"/>
  <c r="V315" i="3"/>
  <c r="V49" i="15"/>
  <c r="V321" i="17"/>
  <c r="W221" i="15"/>
  <c r="V192" i="15"/>
  <c r="V194" i="15"/>
  <c r="V189" i="15"/>
  <c r="V48" i="15"/>
  <c r="W203" i="15"/>
  <c r="V314" i="3"/>
  <c r="V320" i="17"/>
  <c r="V464" i="17"/>
  <c r="U323" i="17"/>
  <c r="V456" i="3"/>
  <c r="U447" i="3"/>
  <c r="K290" i="17"/>
  <c r="K387" i="17"/>
  <c r="K388" i="17"/>
  <c r="K313" i="17"/>
  <c r="L351" i="17"/>
  <c r="L353" i="17"/>
  <c r="I62" i="13"/>
  <c r="I292" i="3"/>
  <c r="I59" i="13"/>
  <c r="I170" i="13"/>
  <c r="U314" i="17"/>
  <c r="V144" i="15"/>
  <c r="U45" i="15"/>
  <c r="U308" i="3"/>
  <c r="W246" i="15"/>
  <c r="W248" i="15"/>
  <c r="W243" i="15"/>
  <c r="V447" i="17"/>
  <c r="U355" i="17"/>
  <c r="U347" i="3"/>
  <c r="W210" i="15"/>
  <c r="W212" i="15"/>
  <c r="W207" i="15"/>
  <c r="W185" i="15"/>
  <c r="V47" i="15"/>
  <c r="V312" i="3"/>
  <c r="V318" i="17"/>
  <c r="V472" i="17"/>
  <c r="W225" i="15"/>
  <c r="W228" i="15"/>
  <c r="W230" i="15"/>
  <c r="V439" i="3"/>
  <c r="V273" i="15"/>
  <c r="V275" i="15"/>
  <c r="V270" i="15"/>
  <c r="U317" i="3"/>
  <c r="V464" i="3"/>
  <c r="L356" i="17"/>
  <c r="L358" i="17"/>
  <c r="K292" i="17"/>
  <c r="K296" i="17"/>
  <c r="K327" i="17"/>
  <c r="I321" i="3"/>
  <c r="I66" i="13"/>
  <c r="I6" i="3"/>
  <c r="I3" i="15"/>
  <c r="I108" i="13"/>
  <c r="I328" i="3"/>
  <c r="I327" i="3"/>
  <c r="I415" i="3"/>
  <c r="I305" i="3"/>
  <c r="I376" i="3"/>
  <c r="I375" i="3"/>
  <c r="I414" i="3"/>
  <c r="I52" i="15"/>
  <c r="I54" i="15"/>
  <c r="I30" i="15"/>
  <c r="I32" i="15"/>
  <c r="J83" i="15"/>
  <c r="I113" i="13"/>
  <c r="V447" i="3"/>
  <c r="W49" i="15"/>
  <c r="X221" i="15"/>
  <c r="W321" i="17"/>
  <c r="W315" i="3"/>
  <c r="V455" i="17"/>
  <c r="W50" i="15"/>
  <c r="X239" i="15"/>
  <c r="W464" i="17"/>
  <c r="V465" i="17"/>
  <c r="V317" i="3"/>
  <c r="W456" i="3"/>
  <c r="V457" i="3"/>
  <c r="W189" i="15"/>
  <c r="W192" i="15"/>
  <c r="W194" i="15"/>
  <c r="V149" i="15"/>
  <c r="V152" i="15"/>
  <c r="V154" i="15"/>
  <c r="V313" i="3"/>
  <c r="V319" i="17"/>
  <c r="W265" i="15"/>
  <c r="V51" i="15"/>
  <c r="W48" i="15"/>
  <c r="X203" i="15"/>
  <c r="W314" i="3"/>
  <c r="W320" i="17"/>
  <c r="K329" i="17"/>
  <c r="L283" i="17"/>
  <c r="I55" i="15"/>
  <c r="I136" i="13"/>
  <c r="I330" i="3"/>
  <c r="I139" i="13"/>
  <c r="J152" i="13"/>
  <c r="F13" i="14"/>
  <c r="I110" i="13"/>
  <c r="J100" i="15"/>
  <c r="J108" i="15"/>
  <c r="J102" i="15"/>
  <c r="K103" i="15"/>
  <c r="L104" i="15"/>
  <c r="M105" i="15"/>
  <c r="J99" i="15"/>
  <c r="I137" i="13"/>
  <c r="I66" i="15"/>
  <c r="I128" i="13"/>
  <c r="I323" i="3"/>
  <c r="X185" i="15"/>
  <c r="W312" i="3"/>
  <c r="W47" i="15"/>
  <c r="W318" i="17"/>
  <c r="X243" i="15"/>
  <c r="X246" i="15"/>
  <c r="X248" i="15"/>
  <c r="X210" i="15"/>
  <c r="X212" i="15"/>
  <c r="X207" i="15"/>
  <c r="X228" i="15"/>
  <c r="X230" i="15"/>
  <c r="X225" i="15"/>
  <c r="W270" i="15"/>
  <c r="W273" i="15"/>
  <c r="W275" i="15"/>
  <c r="V473" i="17"/>
  <c r="V475" i="17"/>
  <c r="V467" i="17"/>
  <c r="W472" i="17"/>
  <c r="V465" i="3"/>
  <c r="V467" i="3"/>
  <c r="V459" i="3"/>
  <c r="W464" i="3"/>
  <c r="W447" i="17"/>
  <c r="V448" i="17"/>
  <c r="W439" i="3"/>
  <c r="V440" i="3"/>
  <c r="V347" i="3"/>
  <c r="V355" i="17"/>
  <c r="V308" i="3"/>
  <c r="W144" i="15"/>
  <c r="V45" i="15"/>
  <c r="V314" i="17"/>
  <c r="V323" i="17"/>
  <c r="K331" i="17"/>
  <c r="K338" i="17"/>
  <c r="K335" i="17"/>
  <c r="L284" i="17"/>
  <c r="L359" i="17"/>
  <c r="L361" i="17"/>
  <c r="L372" i="17"/>
  <c r="L309" i="17"/>
  <c r="J107" i="15"/>
  <c r="I67" i="15"/>
  <c r="I325" i="3"/>
  <c r="F15" i="14"/>
  <c r="I130" i="13"/>
  <c r="J154" i="13"/>
  <c r="I329" i="3"/>
  <c r="I138" i="13"/>
  <c r="J109" i="15"/>
  <c r="X49" i="15"/>
  <c r="X321" i="17"/>
  <c r="X315" i="3"/>
  <c r="Y221" i="15"/>
  <c r="V456" i="17"/>
  <c r="V458" i="17"/>
  <c r="V450" i="17"/>
  <c r="X48" i="15"/>
  <c r="X314" i="3"/>
  <c r="X320" i="17"/>
  <c r="Y203" i="15"/>
  <c r="X464" i="17"/>
  <c r="W323" i="17"/>
  <c r="W465" i="17"/>
  <c r="W447" i="3"/>
  <c r="W455" i="17"/>
  <c r="W149" i="15"/>
  <c r="W152" i="15"/>
  <c r="W154" i="15"/>
  <c r="Y239" i="15"/>
  <c r="X50" i="15"/>
  <c r="W317" i="3"/>
  <c r="X456" i="3"/>
  <c r="W457" i="3"/>
  <c r="W313" i="3"/>
  <c r="W319" i="17"/>
  <c r="X265" i="15"/>
  <c r="W51" i="15"/>
  <c r="V448" i="3"/>
  <c r="V450" i="3"/>
  <c r="V442" i="3"/>
  <c r="X189" i="15"/>
  <c r="X192" i="15"/>
  <c r="X194" i="15"/>
  <c r="L6" i="17"/>
  <c r="L422" i="17"/>
  <c r="L333" i="17"/>
  <c r="L334" i="17"/>
  <c r="L423" i="17"/>
  <c r="L311" i="17"/>
  <c r="L384" i="17"/>
  <c r="L383" i="17"/>
  <c r="L287" i="17"/>
  <c r="J156" i="13"/>
  <c r="I133" i="13"/>
  <c r="I332" i="3"/>
  <c r="I141" i="13"/>
  <c r="W347" i="3"/>
  <c r="W355" i="17"/>
  <c r="X472" i="17"/>
  <c r="Y207" i="15"/>
  <c r="Y210" i="15"/>
  <c r="Y212" i="15"/>
  <c r="W314" i="17"/>
  <c r="X144" i="15"/>
  <c r="W45" i="15"/>
  <c r="W308" i="3"/>
  <c r="X464" i="3"/>
  <c r="X447" i="17"/>
  <c r="W448" i="17"/>
  <c r="Y228" i="15"/>
  <c r="Y230" i="15"/>
  <c r="Y225" i="15"/>
  <c r="Y243" i="15"/>
  <c r="Y246" i="15"/>
  <c r="Y248" i="15"/>
  <c r="X439" i="3"/>
  <c r="W440" i="3"/>
  <c r="X318" i="17"/>
  <c r="Y185" i="15"/>
  <c r="X312" i="3"/>
  <c r="X47" i="15"/>
  <c r="X273" i="15"/>
  <c r="X275" i="15"/>
  <c r="X270" i="15"/>
  <c r="W473" i="17"/>
  <c r="W475" i="17"/>
  <c r="W467" i="17"/>
  <c r="W465" i="3"/>
  <c r="W467" i="3"/>
  <c r="W459" i="3"/>
  <c r="L336" i="17"/>
  <c r="L337" i="17"/>
  <c r="L289" i="17"/>
  <c r="J52" i="13"/>
  <c r="W448" i="3"/>
  <c r="W450" i="3"/>
  <c r="W442" i="3"/>
  <c r="X447" i="3"/>
  <c r="X51" i="15"/>
  <c r="X313" i="3"/>
  <c r="X319" i="17"/>
  <c r="Y265" i="15"/>
  <c r="Y192" i="15"/>
  <c r="Y194" i="15"/>
  <c r="Y189" i="15"/>
  <c r="X152" i="15"/>
  <c r="X154" i="15"/>
  <c r="X149" i="15"/>
  <c r="W456" i="17"/>
  <c r="W458" i="17"/>
  <c r="W450" i="17"/>
  <c r="Z239" i="15"/>
  <c r="Y50" i="15"/>
  <c r="Y314" i="3"/>
  <c r="Y320" i="17"/>
  <c r="Y48" i="15"/>
  <c r="Z203" i="15"/>
  <c r="Y464" i="17"/>
  <c r="X323" i="17"/>
  <c r="X465" i="17"/>
  <c r="Y49" i="15"/>
  <c r="Z221" i="15"/>
  <c r="Y321" i="17"/>
  <c r="Y315" i="3"/>
  <c r="Y456" i="3"/>
  <c r="X457" i="3"/>
  <c r="X455" i="17"/>
  <c r="L290" i="17"/>
  <c r="L387" i="17"/>
  <c r="L388" i="17"/>
  <c r="L313" i="17"/>
  <c r="M351" i="17"/>
  <c r="M353" i="17"/>
  <c r="J56" i="13"/>
  <c r="J331" i="3"/>
  <c r="J140" i="13"/>
  <c r="J68" i="15"/>
  <c r="J53" i="13"/>
  <c r="X347" i="3"/>
  <c r="X355" i="17"/>
  <c r="X465" i="3"/>
  <c r="X467" i="3"/>
  <c r="X459" i="3"/>
  <c r="X473" i="17"/>
  <c r="X475" i="17"/>
  <c r="X467" i="17"/>
  <c r="Y447" i="17"/>
  <c r="X448" i="17"/>
  <c r="Y472" i="17"/>
  <c r="Y273" i="15"/>
  <c r="Y275" i="15"/>
  <c r="Y270" i="15"/>
  <c r="Y439" i="3"/>
  <c r="X440" i="3"/>
  <c r="X314" i="17"/>
  <c r="X308" i="3"/>
  <c r="Y144" i="15"/>
  <c r="X45" i="15"/>
  <c r="Z207" i="15"/>
  <c r="Z210" i="15"/>
  <c r="Z212" i="15"/>
  <c r="X317" i="3"/>
  <c r="Y464" i="3"/>
  <c r="Z228" i="15"/>
  <c r="Z230" i="15"/>
  <c r="Z225" i="15"/>
  <c r="Z185" i="15"/>
  <c r="Y312" i="3"/>
  <c r="Y318" i="17"/>
  <c r="Y47" i="15"/>
  <c r="Z246" i="15"/>
  <c r="Z248" i="15"/>
  <c r="Z243" i="15"/>
  <c r="L292" i="17"/>
  <c r="L296" i="17"/>
  <c r="L327" i="17"/>
  <c r="L329" i="17"/>
  <c r="M356" i="17"/>
  <c r="M358" i="17"/>
  <c r="J58" i="13"/>
  <c r="J157" i="13"/>
  <c r="K272" i="4"/>
  <c r="J16" i="15"/>
  <c r="J18" i="15"/>
  <c r="AA239" i="15"/>
  <c r="Z50" i="15"/>
  <c r="Z314" i="3"/>
  <c r="Z320" i="17"/>
  <c r="AA203" i="15"/>
  <c r="Z48" i="15"/>
  <c r="X456" i="17"/>
  <c r="X458" i="17"/>
  <c r="X450" i="17"/>
  <c r="Y149" i="15"/>
  <c r="Y152" i="15"/>
  <c r="Y154" i="15"/>
  <c r="Z464" i="17"/>
  <c r="Y323" i="17"/>
  <c r="Y465" i="17"/>
  <c r="Z456" i="3"/>
  <c r="Y457" i="3"/>
  <c r="X448" i="3"/>
  <c r="X450" i="3"/>
  <c r="X442" i="3"/>
  <c r="Y447" i="3"/>
  <c r="Y455" i="17"/>
  <c r="Z192" i="15"/>
  <c r="Z194" i="15"/>
  <c r="Z189" i="15"/>
  <c r="Z49" i="15"/>
  <c r="Z315" i="3"/>
  <c r="Z321" i="17"/>
  <c r="AA221" i="15"/>
  <c r="Y313" i="3"/>
  <c r="Z265" i="15"/>
  <c r="Y319" i="17"/>
  <c r="Y51" i="15"/>
  <c r="M283" i="17"/>
  <c r="L331" i="17"/>
  <c r="L338" i="17"/>
  <c r="L335" i="17"/>
  <c r="J159" i="13"/>
  <c r="J288" i="3"/>
  <c r="J59" i="13"/>
  <c r="Z472" i="17"/>
  <c r="Z144" i="15"/>
  <c r="Y308" i="3"/>
  <c r="Y314" i="17"/>
  <c r="Y45" i="15"/>
  <c r="Y465" i="3"/>
  <c r="Y467" i="3"/>
  <c r="Y459" i="3"/>
  <c r="Y355" i="17"/>
  <c r="Y347" i="3"/>
  <c r="Z273" i="15"/>
  <c r="Z275" i="15"/>
  <c r="Z270" i="15"/>
  <c r="Z439" i="3"/>
  <c r="Y440" i="3"/>
  <c r="Z464" i="3"/>
  <c r="Z447" i="17"/>
  <c r="Y448" i="17"/>
  <c r="Z312" i="3"/>
  <c r="Z318" i="17"/>
  <c r="AA185" i="15"/>
  <c r="Z47" i="15"/>
  <c r="Y473" i="17"/>
  <c r="Y475" i="17"/>
  <c r="Y467" i="17"/>
  <c r="AA228" i="15"/>
  <c r="AA230" i="15"/>
  <c r="AA225" i="15"/>
  <c r="AA207" i="15"/>
  <c r="AA210" i="15"/>
  <c r="AA212" i="15"/>
  <c r="Y317" i="3"/>
  <c r="AA243" i="15"/>
  <c r="AA50" i="15"/>
  <c r="AA246" i="15"/>
  <c r="AA248" i="15"/>
  <c r="M284" i="17"/>
  <c r="M359" i="17"/>
  <c r="M361" i="17"/>
  <c r="M372" i="17"/>
  <c r="M309" i="17"/>
  <c r="J62" i="13"/>
  <c r="J292" i="3"/>
  <c r="J113" i="13"/>
  <c r="J170" i="13"/>
  <c r="AA192" i="15"/>
  <c r="AA194" i="15"/>
  <c r="AA189" i="15"/>
  <c r="AA464" i="17"/>
  <c r="Z465" i="17"/>
  <c r="AA456" i="3"/>
  <c r="Z457" i="3"/>
  <c r="Z313" i="3"/>
  <c r="Z319" i="17"/>
  <c r="AA265" i="15"/>
  <c r="Z51" i="15"/>
  <c r="Z152" i="15"/>
  <c r="Z154" i="15"/>
  <c r="Z149" i="15"/>
  <c r="Y456" i="17"/>
  <c r="Y458" i="17"/>
  <c r="Y450" i="17"/>
  <c r="Z455" i="17"/>
  <c r="AA320" i="17"/>
  <c r="AA48" i="15"/>
  <c r="AA314" i="3"/>
  <c r="AA49" i="15"/>
  <c r="AA321" i="17"/>
  <c r="AA315" i="3"/>
  <c r="Y448" i="3"/>
  <c r="Y450" i="3"/>
  <c r="Y442" i="3"/>
  <c r="Z447" i="3"/>
  <c r="M334" i="17"/>
  <c r="M422" i="17"/>
  <c r="M333" i="17"/>
  <c r="M6" i="17"/>
  <c r="M423" i="17"/>
  <c r="M311" i="17"/>
  <c r="M384" i="17"/>
  <c r="M383" i="17"/>
  <c r="M287" i="17"/>
  <c r="M289" i="17"/>
  <c r="K83" i="15"/>
  <c r="J415" i="3"/>
  <c r="J305" i="3"/>
  <c r="J376" i="3"/>
  <c r="J375" i="3"/>
  <c r="J327" i="3"/>
  <c r="J6" i="3"/>
  <c r="J3" i="15"/>
  <c r="J108" i="13"/>
  <c r="J414" i="3"/>
  <c r="J328" i="3"/>
  <c r="J52" i="15"/>
  <c r="J54" i="15"/>
  <c r="J30" i="15"/>
  <c r="J32" i="15"/>
  <c r="J66" i="13"/>
  <c r="J321" i="3"/>
  <c r="K152" i="13"/>
  <c r="AA439" i="3"/>
  <c r="Z440" i="3"/>
  <c r="Z465" i="3"/>
  <c r="Z467" i="3"/>
  <c r="Z459" i="3"/>
  <c r="AA464" i="3"/>
  <c r="AA447" i="17"/>
  <c r="Z448" i="17"/>
  <c r="Z323" i="17"/>
  <c r="AA472" i="17"/>
  <c r="Z317" i="3"/>
  <c r="AA144" i="15"/>
  <c r="Z45" i="15"/>
  <c r="Z308" i="3"/>
  <c r="Z314" i="17"/>
  <c r="AA47" i="15"/>
  <c r="AA318" i="17"/>
  <c r="AA312" i="3"/>
  <c r="Z473" i="17"/>
  <c r="Z475" i="17"/>
  <c r="Z467" i="17"/>
  <c r="Z347" i="3"/>
  <c r="Z355" i="17"/>
  <c r="AA273" i="15"/>
  <c r="AA275" i="15"/>
  <c r="AA270" i="15"/>
  <c r="M336" i="17"/>
  <c r="M290" i="17"/>
  <c r="M387" i="17"/>
  <c r="M388" i="17"/>
  <c r="M313" i="17"/>
  <c r="N351" i="17"/>
  <c r="N353" i="17"/>
  <c r="J55" i="15"/>
  <c r="J66" i="15"/>
  <c r="J137" i="13"/>
  <c r="K100" i="15"/>
  <c r="K99" i="15"/>
  <c r="K102" i="15"/>
  <c r="L103" i="15"/>
  <c r="M104" i="15"/>
  <c r="N105" i="15"/>
  <c r="K108" i="15"/>
  <c r="J136" i="13"/>
  <c r="J330" i="3"/>
  <c r="J139" i="13"/>
  <c r="J110" i="13"/>
  <c r="G13" i="14"/>
  <c r="K154" i="13"/>
  <c r="J323" i="3"/>
  <c r="J67" i="15"/>
  <c r="J128" i="13"/>
  <c r="Z448" i="3"/>
  <c r="Z450" i="3"/>
  <c r="Z442" i="3"/>
  <c r="Z456" i="17"/>
  <c r="Z458" i="17"/>
  <c r="Z450" i="17"/>
  <c r="AA465" i="17"/>
  <c r="AA457" i="3"/>
  <c r="AA455" i="17"/>
  <c r="AA313" i="3"/>
  <c r="AA440" i="3"/>
  <c r="AA448" i="3"/>
  <c r="AA450" i="3"/>
  <c r="AA319" i="17"/>
  <c r="AA448" i="17"/>
  <c r="AA456" i="17"/>
  <c r="AA458" i="17"/>
  <c r="AA51" i="15"/>
  <c r="AA149" i="15"/>
  <c r="AA152" i="15"/>
  <c r="AA154" i="15"/>
  <c r="AA447" i="3"/>
  <c r="M292" i="17"/>
  <c r="M296" i="17"/>
  <c r="M327" i="17"/>
  <c r="M329" i="17"/>
  <c r="N356" i="17"/>
  <c r="N358" i="17"/>
  <c r="K109" i="15"/>
  <c r="K107" i="15"/>
  <c r="K156" i="13"/>
  <c r="J329" i="3"/>
  <c r="J138" i="13"/>
  <c r="J325" i="3"/>
  <c r="G15" i="14"/>
  <c r="J130" i="13"/>
  <c r="AA450" i="17"/>
  <c r="AA473" i="17"/>
  <c r="AA475" i="17"/>
  <c r="AA467" i="17"/>
  <c r="AA465" i="3"/>
  <c r="AA467" i="3"/>
  <c r="AA459" i="3"/>
  <c r="AA317" i="3"/>
  <c r="AA442" i="3"/>
  <c r="AA323" i="17"/>
  <c r="AA347" i="3"/>
  <c r="AA355" i="17"/>
  <c r="AA314" i="17"/>
  <c r="AA45" i="15"/>
  <c r="AA308" i="3"/>
  <c r="N283" i="17"/>
  <c r="M331" i="17"/>
  <c r="M338" i="17"/>
  <c r="M335" i="17"/>
  <c r="J133" i="13"/>
  <c r="J332" i="3"/>
  <c r="J141" i="13"/>
  <c r="K52" i="13"/>
  <c r="N284" i="17"/>
  <c r="N359" i="17"/>
  <c r="N361" i="17"/>
  <c r="N372" i="17"/>
  <c r="N309" i="17"/>
  <c r="K56" i="13"/>
  <c r="K68" i="15"/>
  <c r="K331" i="3"/>
  <c r="K140" i="13"/>
  <c r="K53" i="13"/>
  <c r="N287" i="17"/>
  <c r="N289" i="17"/>
  <c r="N422" i="17"/>
  <c r="N334" i="17"/>
  <c r="N6" i="17"/>
  <c r="N333" i="17"/>
  <c r="N423" i="17"/>
  <c r="N311" i="17"/>
  <c r="N384" i="17"/>
  <c r="N383" i="17"/>
  <c r="K58" i="13"/>
  <c r="L272" i="4"/>
  <c r="K157" i="13"/>
  <c r="K16" i="15"/>
  <c r="K18" i="15"/>
  <c r="N336" i="17"/>
  <c r="N290" i="17"/>
  <c r="N387" i="17"/>
  <c r="N388" i="17"/>
  <c r="N313" i="17"/>
  <c r="O351" i="17"/>
  <c r="O353" i="17"/>
  <c r="K288" i="3"/>
  <c r="K59" i="13"/>
  <c r="K159" i="13"/>
  <c r="N292" i="17"/>
  <c r="N296" i="17"/>
  <c r="N327" i="17"/>
  <c r="N329" i="17"/>
  <c r="O356" i="17"/>
  <c r="O358" i="17"/>
  <c r="K170" i="13"/>
  <c r="K113" i="13"/>
  <c r="K292" i="3"/>
  <c r="K62" i="13"/>
  <c r="O283" i="17"/>
  <c r="N331" i="17"/>
  <c r="N338" i="17"/>
  <c r="N335" i="17"/>
  <c r="L152" i="13"/>
  <c r="L154" i="13"/>
  <c r="L83" i="15"/>
  <c r="F83" i="15"/>
  <c r="F113" i="15"/>
  <c r="K376" i="3"/>
  <c r="K375" i="3"/>
  <c r="K6" i="3"/>
  <c r="K3" i="15"/>
  <c r="K328" i="3"/>
  <c r="K327" i="3"/>
  <c r="K415" i="3"/>
  <c r="K414" i="3"/>
  <c r="K30" i="15"/>
  <c r="K32" i="15"/>
  <c r="K52" i="15"/>
  <c r="K54" i="15"/>
  <c r="K55" i="15"/>
  <c r="K108" i="13"/>
  <c r="K305" i="3"/>
  <c r="K321" i="3"/>
  <c r="K66" i="13"/>
  <c r="O284" i="17"/>
  <c r="O359" i="17"/>
  <c r="O361" i="17"/>
  <c r="O372" i="17"/>
  <c r="O309" i="17"/>
  <c r="L156" i="13"/>
  <c r="K330" i="3"/>
  <c r="K139" i="13"/>
  <c r="K136" i="13"/>
  <c r="K66" i="15"/>
  <c r="K137" i="13"/>
  <c r="K323" i="3"/>
  <c r="K128" i="13"/>
  <c r="K110" i="13"/>
  <c r="H13" i="14"/>
  <c r="O334" i="17"/>
  <c r="O6" i="17"/>
  <c r="O422" i="17"/>
  <c r="O333" i="17"/>
  <c r="O423" i="17"/>
  <c r="O311" i="17"/>
  <c r="O384" i="17"/>
  <c r="O383" i="17"/>
  <c r="O287" i="17"/>
  <c r="O289" i="17"/>
  <c r="K67" i="15"/>
  <c r="H15" i="14"/>
  <c r="K325" i="3"/>
  <c r="K130" i="13"/>
  <c r="K329" i="3"/>
  <c r="K138" i="13"/>
  <c r="L99" i="15"/>
  <c r="D118" i="15"/>
  <c r="L100" i="15"/>
  <c r="D119" i="15"/>
  <c r="L128" i="15"/>
  <c r="F128" i="15"/>
  <c r="L102" i="15"/>
  <c r="M82" i="15"/>
  <c r="M92" i="15"/>
  <c r="M93" i="15"/>
  <c r="M103" i="15"/>
  <c r="N104" i="15"/>
  <c r="O105" i="15"/>
  <c r="L108" i="15"/>
  <c r="O290" i="17"/>
  <c r="O387" i="17"/>
  <c r="O388" i="17"/>
  <c r="O313" i="17"/>
  <c r="P351" i="17"/>
  <c r="P353" i="17"/>
  <c r="O336" i="17"/>
  <c r="L52" i="13"/>
  <c r="D120" i="15"/>
  <c r="L109" i="15"/>
  <c r="D122" i="15"/>
  <c r="L107" i="15"/>
  <c r="K133" i="13"/>
  <c r="K332" i="3"/>
  <c r="K141" i="13"/>
  <c r="L283" i="3"/>
  <c r="L53" i="13"/>
  <c r="O292" i="17"/>
  <c r="O296" i="17"/>
  <c r="O327" i="17"/>
  <c r="P356" i="17"/>
  <c r="P358" i="17"/>
  <c r="L331" i="3"/>
  <c r="L140" i="13"/>
  <c r="L68" i="15"/>
  <c r="L56" i="13"/>
  <c r="L285" i="3"/>
  <c r="L157" i="13"/>
  <c r="L16" i="15"/>
  <c r="L18" i="15"/>
  <c r="M272" i="4"/>
  <c r="P283" i="17"/>
  <c r="O329" i="17"/>
  <c r="L286" i="3"/>
  <c r="L288" i="3"/>
  <c r="L58" i="13"/>
  <c r="L159" i="13"/>
  <c r="O331" i="17"/>
  <c r="O338" i="17"/>
  <c r="O335" i="17"/>
  <c r="P284" i="17"/>
  <c r="P359" i="17"/>
  <c r="P361" i="17"/>
  <c r="P372" i="17"/>
  <c r="P309" i="17"/>
  <c r="L170" i="13"/>
  <c r="L62" i="13"/>
  <c r="L292" i="3"/>
  <c r="L379" i="3"/>
  <c r="L380" i="3"/>
  <c r="L307" i="3"/>
  <c r="L59" i="13"/>
  <c r="P334" i="17"/>
  <c r="P422" i="17"/>
  <c r="P333" i="17"/>
  <c r="P6" i="17"/>
  <c r="P423" i="17"/>
  <c r="P311" i="17"/>
  <c r="P384" i="17"/>
  <c r="P383" i="17"/>
  <c r="P287" i="17"/>
  <c r="P289" i="17"/>
  <c r="M343" i="3"/>
  <c r="L113" i="13"/>
  <c r="L108" i="13"/>
  <c r="L376" i="3"/>
  <c r="L375" i="3"/>
  <c r="L30" i="15"/>
  <c r="L32" i="15"/>
  <c r="F115" i="15"/>
  <c r="L414" i="3"/>
  <c r="L327" i="3"/>
  <c r="L415" i="3"/>
  <c r="L52" i="15"/>
  <c r="L54" i="15"/>
  <c r="L6" i="3"/>
  <c r="L3" i="15"/>
  <c r="L328" i="3"/>
  <c r="L305" i="3"/>
  <c r="M83" i="15"/>
  <c r="L321" i="3"/>
  <c r="L66" i="13"/>
  <c r="P290" i="17"/>
  <c r="P387" i="17"/>
  <c r="P388" i="17"/>
  <c r="P313" i="17"/>
  <c r="Q351" i="17"/>
  <c r="Q353" i="17"/>
  <c r="P336" i="17"/>
  <c r="L55" i="15"/>
  <c r="L136" i="13"/>
  <c r="L330" i="3"/>
  <c r="L139" i="13"/>
  <c r="F120" i="15"/>
  <c r="F118" i="15"/>
  <c r="F119" i="15"/>
  <c r="F117" i="15"/>
  <c r="L128" i="13"/>
  <c r="L323" i="3"/>
  <c r="M98" i="15"/>
  <c r="M99" i="15"/>
  <c r="M108" i="15"/>
  <c r="M102" i="15"/>
  <c r="M345" i="3"/>
  <c r="M348" i="3"/>
  <c r="M350" i="3"/>
  <c r="M279" i="3"/>
  <c r="M280" i="3"/>
  <c r="M351" i="3"/>
  <c r="M353" i="3"/>
  <c r="M364" i="3"/>
  <c r="M303" i="3"/>
  <c r="N82" i="15"/>
  <c r="N92" i="15"/>
  <c r="N93" i="15"/>
  <c r="N103" i="15"/>
  <c r="O104" i="15"/>
  <c r="P105" i="15"/>
  <c r="M100" i="15"/>
  <c r="L66" i="15"/>
  <c r="L137" i="13"/>
  <c r="L133" i="15"/>
  <c r="F133" i="15"/>
  <c r="L127" i="15"/>
  <c r="F127" i="15"/>
  <c r="L134" i="15"/>
  <c r="F134" i="15"/>
  <c r="L132" i="15"/>
  <c r="F132" i="15"/>
  <c r="E118" i="15"/>
  <c r="F126" i="15"/>
  <c r="E120" i="15"/>
  <c r="L129" i="15"/>
  <c r="F129" i="15"/>
  <c r="E119" i="15"/>
  <c r="L131" i="15"/>
  <c r="F131" i="15"/>
  <c r="I13" i="14"/>
  <c r="L110" i="13"/>
  <c r="M152" i="13"/>
  <c r="P292" i="17"/>
  <c r="P296" i="17"/>
  <c r="P327" i="17"/>
  <c r="Q356" i="17"/>
  <c r="Q358" i="17"/>
  <c r="M109" i="15"/>
  <c r="F122" i="15"/>
  <c r="F123" i="15"/>
  <c r="M154" i="13"/>
  <c r="L67" i="15"/>
  <c r="L130" i="13"/>
  <c r="I15" i="14"/>
  <c r="L325" i="3"/>
  <c r="M107" i="15"/>
  <c r="L329" i="3"/>
  <c r="L138" i="13"/>
  <c r="E122" i="15"/>
  <c r="E123" i="15"/>
  <c r="Q283" i="17"/>
  <c r="P329" i="17"/>
  <c r="L133" i="13"/>
  <c r="L332" i="3"/>
  <c r="L141" i="13"/>
  <c r="M156" i="13"/>
  <c r="P331" i="17"/>
  <c r="P338" i="17"/>
  <c r="P335" i="17"/>
  <c r="Q284" i="17"/>
  <c r="Q359" i="17"/>
  <c r="Q361" i="17"/>
  <c r="Q372" i="17"/>
  <c r="Q309" i="17"/>
  <c r="M52" i="13"/>
  <c r="Q287" i="17"/>
  <c r="Q289" i="17"/>
  <c r="Q290" i="17"/>
  <c r="Q387" i="17"/>
  <c r="Q388" i="17"/>
  <c r="Q313" i="17"/>
  <c r="R351" i="17"/>
  <c r="R353" i="17"/>
  <c r="R356" i="17"/>
  <c r="R358" i="17"/>
  <c r="Q333" i="17"/>
  <c r="Q334" i="17"/>
  <c r="Q6" i="17"/>
  <c r="Q422" i="17"/>
  <c r="Q423" i="17"/>
  <c r="Q311" i="17"/>
  <c r="Q384" i="17"/>
  <c r="Q383" i="17"/>
  <c r="M283" i="3"/>
  <c r="M53" i="13"/>
  <c r="Q292" i="17"/>
  <c r="Q296" i="17"/>
  <c r="Q327" i="17"/>
  <c r="Q336" i="17"/>
  <c r="R283" i="17"/>
  <c r="M157" i="13"/>
  <c r="N272" i="4"/>
  <c r="M16" i="15"/>
  <c r="M18" i="15"/>
  <c r="M285" i="3"/>
  <c r="M68" i="15"/>
  <c r="M56" i="13"/>
  <c r="Q329" i="17"/>
  <c r="R284" i="17"/>
  <c r="R359" i="17"/>
  <c r="R361" i="17"/>
  <c r="R372" i="17"/>
  <c r="R309" i="17"/>
  <c r="M286" i="3"/>
  <c r="M58" i="13"/>
  <c r="M159" i="13"/>
  <c r="R6" i="17"/>
  <c r="R422" i="17"/>
  <c r="R334" i="17"/>
  <c r="R333" i="17"/>
  <c r="R423" i="17"/>
  <c r="R311" i="17"/>
  <c r="R384" i="17"/>
  <c r="R383" i="17"/>
  <c r="Q331" i="17"/>
  <c r="Q338" i="17"/>
  <c r="Q335" i="17"/>
  <c r="R287" i="17"/>
  <c r="R289" i="17"/>
  <c r="M170" i="13"/>
  <c r="M288" i="3"/>
  <c r="M59" i="13"/>
  <c r="M379" i="3"/>
  <c r="M380" i="3"/>
  <c r="M307" i="3"/>
  <c r="R336" i="17"/>
  <c r="R290" i="17"/>
  <c r="R387" i="17"/>
  <c r="R388" i="17"/>
  <c r="R313" i="17"/>
  <c r="S351" i="17"/>
  <c r="S353" i="17"/>
  <c r="M292" i="3"/>
  <c r="M62" i="13"/>
  <c r="N343" i="3"/>
  <c r="M113" i="13"/>
  <c r="M328" i="3"/>
  <c r="M108" i="13"/>
  <c r="M52" i="15"/>
  <c r="M54" i="15"/>
  <c r="M305" i="3"/>
  <c r="M376" i="3"/>
  <c r="M375" i="3"/>
  <c r="N83" i="15"/>
  <c r="M30" i="15"/>
  <c r="M32" i="15"/>
  <c r="M415" i="3"/>
  <c r="M414" i="3"/>
  <c r="M327" i="3"/>
  <c r="M6" i="3"/>
  <c r="R292" i="17"/>
  <c r="R296" i="17"/>
  <c r="R327" i="17"/>
  <c r="R329" i="17"/>
  <c r="S356" i="17"/>
  <c r="S358" i="17"/>
  <c r="M55" i="15"/>
  <c r="M110" i="13"/>
  <c r="J13" i="14"/>
  <c r="N152" i="13"/>
  <c r="N345" i="3"/>
  <c r="M66" i="15"/>
  <c r="M137" i="13"/>
  <c r="M330" i="3"/>
  <c r="M139" i="13"/>
  <c r="M136" i="13"/>
  <c r="N98" i="15"/>
  <c r="N108" i="15"/>
  <c r="N99" i="15"/>
  <c r="N100" i="15"/>
  <c r="N102" i="15"/>
  <c r="N348" i="3"/>
  <c r="N350" i="3"/>
  <c r="N279" i="3"/>
  <c r="N280" i="3"/>
  <c r="N351" i="3"/>
  <c r="N353" i="3"/>
  <c r="N364" i="3"/>
  <c r="N303" i="3"/>
  <c r="O82" i="15"/>
  <c r="O92" i="15"/>
  <c r="O93" i="15"/>
  <c r="O103" i="15"/>
  <c r="P104" i="15"/>
  <c r="Q105" i="15"/>
  <c r="M321" i="3"/>
  <c r="M66" i="13"/>
  <c r="R331" i="17"/>
  <c r="R338" i="17"/>
  <c r="R335" i="17"/>
  <c r="S283" i="17"/>
  <c r="M323" i="3"/>
  <c r="M128" i="13"/>
  <c r="N154" i="13"/>
  <c r="N109" i="15"/>
  <c r="N107" i="15"/>
  <c r="S284" i="17"/>
  <c r="S359" i="17"/>
  <c r="S361" i="17"/>
  <c r="S372" i="17"/>
  <c r="S309" i="17"/>
  <c r="N156" i="13"/>
  <c r="M325" i="3"/>
  <c r="J15" i="14"/>
  <c r="M130" i="13"/>
  <c r="M67" i="15"/>
  <c r="M329" i="3"/>
  <c r="M138" i="13"/>
  <c r="S334" i="17"/>
  <c r="S422" i="17"/>
  <c r="S333" i="17"/>
  <c r="S6" i="17"/>
  <c r="S423" i="17"/>
  <c r="S311" i="17"/>
  <c r="S384" i="17"/>
  <c r="S383" i="17"/>
  <c r="S287" i="17"/>
  <c r="S289" i="17"/>
  <c r="M133" i="13"/>
  <c r="M332" i="3"/>
  <c r="M141" i="13"/>
  <c r="N52" i="13"/>
  <c r="S336" i="17"/>
  <c r="S290" i="17"/>
  <c r="S387" i="17"/>
  <c r="S388" i="17"/>
  <c r="S313" i="17"/>
  <c r="T351" i="17"/>
  <c r="T353" i="17"/>
  <c r="N283" i="3"/>
  <c r="N53" i="13"/>
  <c r="S292" i="17"/>
  <c r="S296" i="17"/>
  <c r="S327" i="17"/>
  <c r="S329" i="17"/>
  <c r="T356" i="17"/>
  <c r="T358" i="17"/>
  <c r="O272" i="4"/>
  <c r="N157" i="13"/>
  <c r="N16" i="15"/>
  <c r="N18" i="15"/>
  <c r="N68" i="15"/>
  <c r="N56" i="13"/>
  <c r="N285" i="3"/>
  <c r="T283" i="17"/>
  <c r="S331" i="17"/>
  <c r="S338" i="17"/>
  <c r="S335" i="17"/>
  <c r="N286" i="3"/>
  <c r="N288" i="3"/>
  <c r="N58" i="13"/>
  <c r="N159" i="13"/>
  <c r="T284" i="17"/>
  <c r="T359" i="17"/>
  <c r="T361" i="17"/>
  <c r="T372" i="17"/>
  <c r="T309" i="17"/>
  <c r="N170" i="13"/>
  <c r="N292" i="3"/>
  <c r="N62" i="13"/>
  <c r="N379" i="3"/>
  <c r="N380" i="3"/>
  <c r="N307" i="3"/>
  <c r="N59" i="13"/>
  <c r="T333" i="17"/>
  <c r="T334" i="17"/>
  <c r="T422" i="17"/>
  <c r="T423" i="17"/>
  <c r="T311" i="17"/>
  <c r="T384" i="17"/>
  <c r="T383" i="17"/>
  <c r="T287" i="17"/>
  <c r="T289" i="17"/>
  <c r="N321" i="3"/>
  <c r="N66" i="13"/>
  <c r="N30" i="15"/>
  <c r="N32" i="15"/>
  <c r="N328" i="3"/>
  <c r="N327" i="3"/>
  <c r="N108" i="13"/>
  <c r="N305" i="3"/>
  <c r="N414" i="3"/>
  <c r="N6" i="3"/>
  <c r="N415" i="3"/>
  <c r="O83" i="15"/>
  <c r="N376" i="3"/>
  <c r="N375" i="3"/>
  <c r="N52" i="15"/>
  <c r="N54" i="15"/>
  <c r="O343" i="3"/>
  <c r="N113" i="13"/>
  <c r="T290" i="17"/>
  <c r="T387" i="17"/>
  <c r="T388" i="17"/>
  <c r="T313" i="17"/>
  <c r="U351" i="17"/>
  <c r="U353" i="17"/>
  <c r="T336" i="17"/>
  <c r="O152" i="13"/>
  <c r="O345" i="3"/>
  <c r="N66" i="15"/>
  <c r="N137" i="13"/>
  <c r="N110" i="13"/>
  <c r="N330" i="3"/>
  <c r="N139" i="13"/>
  <c r="N136" i="13"/>
  <c r="N55" i="15"/>
  <c r="O100" i="15"/>
  <c r="O98" i="15"/>
  <c r="O99" i="15"/>
  <c r="O102" i="15"/>
  <c r="O108" i="15"/>
  <c r="N128" i="13"/>
  <c r="N323" i="3"/>
  <c r="T292" i="17"/>
  <c r="T296" i="17"/>
  <c r="T327" i="17"/>
  <c r="T329" i="17"/>
  <c r="U356" i="17"/>
  <c r="U358" i="17"/>
  <c r="N329" i="3"/>
  <c r="N138" i="13"/>
  <c r="N325" i="3"/>
  <c r="N130" i="13"/>
  <c r="O348" i="3"/>
  <c r="O350" i="3"/>
  <c r="O154" i="13"/>
  <c r="N67" i="15"/>
  <c r="O109" i="15"/>
  <c r="O279" i="3"/>
  <c r="O280" i="3"/>
  <c r="O351" i="3"/>
  <c r="O353" i="3"/>
  <c r="O364" i="3"/>
  <c r="O303" i="3"/>
  <c r="P82" i="15"/>
  <c r="P92" i="15"/>
  <c r="P93" i="15"/>
  <c r="P103" i="15"/>
  <c r="Q104" i="15"/>
  <c r="R105" i="15"/>
  <c r="O107" i="15"/>
  <c r="U283" i="17"/>
  <c r="T331" i="17"/>
  <c r="T338" i="17"/>
  <c r="T335" i="17"/>
  <c r="N133" i="13"/>
  <c r="N332" i="3"/>
  <c r="N141" i="13"/>
  <c r="O156" i="13"/>
  <c r="U284" i="17"/>
  <c r="U359" i="17"/>
  <c r="U361" i="17"/>
  <c r="U372" i="17"/>
  <c r="U309" i="17"/>
  <c r="O52" i="13"/>
  <c r="U287" i="17"/>
  <c r="U289" i="17"/>
  <c r="U334" i="17"/>
  <c r="U333" i="17"/>
  <c r="U422" i="17"/>
  <c r="U423" i="17"/>
  <c r="U311" i="17"/>
  <c r="U384" i="17"/>
  <c r="U383" i="17"/>
  <c r="O53" i="13"/>
  <c r="O283" i="3"/>
  <c r="U290" i="17"/>
  <c r="U387" i="17"/>
  <c r="U388" i="17"/>
  <c r="U313" i="17"/>
  <c r="V351" i="17"/>
  <c r="V353" i="17"/>
  <c r="U336" i="17"/>
  <c r="O68" i="15"/>
  <c r="O285" i="3"/>
  <c r="O56" i="13"/>
  <c r="O157" i="13"/>
  <c r="P272" i="4"/>
  <c r="O16" i="15"/>
  <c r="O18" i="15"/>
  <c r="V356" i="17"/>
  <c r="V358" i="17"/>
  <c r="U292" i="17"/>
  <c r="U296" i="17"/>
  <c r="U327" i="17"/>
  <c r="O58" i="13"/>
  <c r="O286" i="3"/>
  <c r="O159" i="13"/>
  <c r="U329" i="17"/>
  <c r="V283" i="17"/>
  <c r="O170" i="13"/>
  <c r="O288" i="3"/>
  <c r="O379" i="3"/>
  <c r="O380" i="3"/>
  <c r="O307" i="3"/>
  <c r="O59" i="13"/>
  <c r="U331" i="17"/>
  <c r="U338" i="17"/>
  <c r="U335" i="17"/>
  <c r="V284" i="17"/>
  <c r="V359" i="17"/>
  <c r="V361" i="17"/>
  <c r="V372" i="17"/>
  <c r="V309" i="17"/>
  <c r="O328" i="3"/>
  <c r="O6" i="3"/>
  <c r="O30" i="15"/>
  <c r="O32" i="15"/>
  <c r="O376" i="3"/>
  <c r="O375" i="3"/>
  <c r="O52" i="15"/>
  <c r="O54" i="15"/>
  <c r="O108" i="13"/>
  <c r="O327" i="3"/>
  <c r="O415" i="3"/>
  <c r="O414" i="3"/>
  <c r="P83" i="15"/>
  <c r="O305" i="3"/>
  <c r="P343" i="3"/>
  <c r="O113" i="13"/>
  <c r="O62" i="13"/>
  <c r="O292" i="3"/>
  <c r="V287" i="17"/>
  <c r="V289" i="17"/>
  <c r="V334" i="17"/>
  <c r="V333" i="17"/>
  <c r="V422" i="17"/>
  <c r="V423" i="17"/>
  <c r="V311" i="17"/>
  <c r="V384" i="17"/>
  <c r="V383" i="17"/>
  <c r="O110" i="13"/>
  <c r="O136" i="13"/>
  <c r="O330" i="3"/>
  <c r="O139" i="13"/>
  <c r="P102" i="15"/>
  <c r="P99" i="15"/>
  <c r="P98" i="15"/>
  <c r="P100" i="15"/>
  <c r="P108" i="15"/>
  <c r="O55" i="15"/>
  <c r="O66" i="13"/>
  <c r="O321" i="3"/>
  <c r="P345" i="3"/>
  <c r="P152" i="13"/>
  <c r="O137" i="13"/>
  <c r="O66" i="15"/>
  <c r="V336" i="17"/>
  <c r="V290" i="17"/>
  <c r="V387" i="17"/>
  <c r="V388" i="17"/>
  <c r="V313" i="17"/>
  <c r="W351" i="17"/>
  <c r="W353" i="17"/>
  <c r="P109" i="15"/>
  <c r="P107" i="15"/>
  <c r="P348" i="3"/>
  <c r="P350" i="3"/>
  <c r="P279" i="3"/>
  <c r="P280" i="3"/>
  <c r="P351" i="3"/>
  <c r="P353" i="3"/>
  <c r="P364" i="3"/>
  <c r="P303" i="3"/>
  <c r="Q82" i="15"/>
  <c r="Q92" i="15"/>
  <c r="Q93" i="15"/>
  <c r="Q103" i="15"/>
  <c r="R104" i="15"/>
  <c r="S105" i="15"/>
  <c r="P154" i="13"/>
  <c r="O323" i="3"/>
  <c r="O128" i="13"/>
  <c r="W356" i="17"/>
  <c r="W358" i="17"/>
  <c r="V292" i="17"/>
  <c r="V296" i="17"/>
  <c r="V327" i="17"/>
  <c r="P156" i="13"/>
  <c r="O130" i="13"/>
  <c r="O325" i="3"/>
  <c r="O329" i="3"/>
  <c r="O138" i="13"/>
  <c r="O67" i="15"/>
  <c r="W283" i="17"/>
  <c r="V329" i="17"/>
  <c r="O133" i="13"/>
  <c r="O332" i="3"/>
  <c r="O141" i="13"/>
  <c r="P52" i="13"/>
  <c r="V331" i="17"/>
  <c r="V338" i="17"/>
  <c r="V335" i="17"/>
  <c r="W284" i="17"/>
  <c r="W359" i="17"/>
  <c r="W361" i="17"/>
  <c r="W372" i="17"/>
  <c r="W309" i="17"/>
  <c r="P283" i="3"/>
  <c r="P53" i="13"/>
  <c r="W287" i="17"/>
  <c r="W289" i="17"/>
  <c r="W334" i="17"/>
  <c r="W422" i="17"/>
  <c r="W333" i="17"/>
  <c r="W423" i="17"/>
  <c r="W311" i="17"/>
  <c r="W384" i="17"/>
  <c r="W383" i="17"/>
  <c r="P157" i="13"/>
  <c r="Q272" i="4"/>
  <c r="P16" i="15"/>
  <c r="P18" i="15"/>
  <c r="P56" i="13"/>
  <c r="P68" i="15"/>
  <c r="P285" i="3"/>
  <c r="W336" i="17"/>
  <c r="W290" i="17"/>
  <c r="W387" i="17"/>
  <c r="W388" i="17"/>
  <c r="W313" i="17"/>
  <c r="X351" i="17"/>
  <c r="X353" i="17"/>
  <c r="P159" i="13"/>
  <c r="P58" i="13"/>
  <c r="P286" i="3"/>
  <c r="P288" i="3"/>
  <c r="X356" i="17"/>
  <c r="X358" i="17"/>
  <c r="W292" i="17"/>
  <c r="W296" i="17"/>
  <c r="W327" i="17"/>
  <c r="P379" i="3"/>
  <c r="P380" i="3"/>
  <c r="P307" i="3"/>
  <c r="P59" i="13"/>
  <c r="P62" i="13"/>
  <c r="P292" i="3"/>
  <c r="P170" i="13"/>
  <c r="X283" i="17"/>
  <c r="W329" i="17"/>
  <c r="P66" i="13"/>
  <c r="P321" i="3"/>
  <c r="P30" i="15"/>
  <c r="P32" i="15"/>
  <c r="P327" i="3"/>
  <c r="P108" i="13"/>
  <c r="P376" i="3"/>
  <c r="P375" i="3"/>
  <c r="P415" i="3"/>
  <c r="P305" i="3"/>
  <c r="P52" i="15"/>
  <c r="P54" i="15"/>
  <c r="P414" i="3"/>
  <c r="Q83" i="15"/>
  <c r="P6" i="3"/>
  <c r="P328" i="3"/>
  <c r="P113" i="13"/>
  <c r="Q343" i="3"/>
  <c r="W331" i="17"/>
  <c r="W338" i="17"/>
  <c r="W335" i="17"/>
  <c r="X284" i="17"/>
  <c r="X359" i="17"/>
  <c r="X361" i="17"/>
  <c r="X372" i="17"/>
  <c r="X309" i="17"/>
  <c r="P55" i="15"/>
  <c r="P110" i="13"/>
  <c r="Q345" i="3"/>
  <c r="Q152" i="13"/>
  <c r="P136" i="13"/>
  <c r="P330" i="3"/>
  <c r="P139" i="13"/>
  <c r="P66" i="15"/>
  <c r="P137" i="13"/>
  <c r="P323" i="3"/>
  <c r="P67" i="15"/>
  <c r="P128" i="13"/>
  <c r="Q99" i="15"/>
  <c r="Q108" i="15"/>
  <c r="Q98" i="15"/>
  <c r="Q102" i="15"/>
  <c r="Q100" i="15"/>
  <c r="X334" i="17"/>
  <c r="X422" i="17"/>
  <c r="X333" i="17"/>
  <c r="X423" i="17"/>
  <c r="X311" i="17"/>
  <c r="X384" i="17"/>
  <c r="X383" i="17"/>
  <c r="X287" i="17"/>
  <c r="X289" i="17"/>
  <c r="Q107" i="15"/>
  <c r="Q348" i="3"/>
  <c r="Q350" i="3"/>
  <c r="Q154" i="13"/>
  <c r="P329" i="3"/>
  <c r="P138" i="13"/>
  <c r="P325" i="3"/>
  <c r="P130" i="13"/>
  <c r="Q279" i="3"/>
  <c r="Q280" i="3"/>
  <c r="Q351" i="3"/>
  <c r="Q353" i="3"/>
  <c r="Q364" i="3"/>
  <c r="Q303" i="3"/>
  <c r="R82" i="15"/>
  <c r="R92" i="15"/>
  <c r="R93" i="15"/>
  <c r="R103" i="15"/>
  <c r="S104" i="15"/>
  <c r="T105" i="15"/>
  <c r="Q109" i="15"/>
  <c r="X290" i="17"/>
  <c r="X387" i="17"/>
  <c r="X388" i="17"/>
  <c r="X313" i="17"/>
  <c r="Y351" i="17"/>
  <c r="Y353" i="17"/>
  <c r="X336" i="17"/>
  <c r="Q156" i="13"/>
  <c r="P133" i="13"/>
  <c r="P332" i="3"/>
  <c r="P141" i="13"/>
  <c r="Y356" i="17"/>
  <c r="Y358" i="17"/>
  <c r="X292" i="17"/>
  <c r="X296" i="17"/>
  <c r="X327" i="17"/>
  <c r="Q52" i="13"/>
  <c r="Q283" i="3"/>
  <c r="X329" i="17"/>
  <c r="Y283" i="17"/>
  <c r="Q68" i="15"/>
  <c r="Q56" i="13"/>
  <c r="Q285" i="3"/>
  <c r="Q53" i="13"/>
  <c r="Y284" i="17"/>
  <c r="Y359" i="17"/>
  <c r="Y361" i="17"/>
  <c r="Y372" i="17"/>
  <c r="Y309" i="17"/>
  <c r="X331" i="17"/>
  <c r="X338" i="17"/>
  <c r="X335" i="17"/>
  <c r="Q157" i="13"/>
  <c r="R272" i="4"/>
  <c r="Q16" i="15"/>
  <c r="Q18" i="15"/>
  <c r="Q286" i="3"/>
  <c r="Q58" i="13"/>
  <c r="Y333" i="17"/>
  <c r="Y422" i="17"/>
  <c r="Y334" i="17"/>
  <c r="Y423" i="17"/>
  <c r="Y311" i="17"/>
  <c r="Y384" i="17"/>
  <c r="Y383" i="17"/>
  <c r="Y287" i="17"/>
  <c r="Y289" i="17"/>
  <c r="Q288" i="3"/>
  <c r="Q59" i="13"/>
  <c r="Q379" i="3"/>
  <c r="Q380" i="3"/>
  <c r="Q307" i="3"/>
  <c r="Q159" i="13"/>
  <c r="Y336" i="17"/>
  <c r="Y290" i="17"/>
  <c r="Y387" i="17"/>
  <c r="Y388" i="17"/>
  <c r="Y313" i="17"/>
  <c r="Z351" i="17"/>
  <c r="Z353" i="17"/>
  <c r="Q170" i="13"/>
  <c r="Q113" i="13"/>
  <c r="R343" i="3"/>
  <c r="Q62" i="13"/>
  <c r="Q292" i="3"/>
  <c r="Y292" i="17"/>
  <c r="Y296" i="17"/>
  <c r="Y327" i="17"/>
  <c r="Y329" i="17"/>
  <c r="Z356" i="17"/>
  <c r="Z358" i="17"/>
  <c r="Q66" i="13"/>
  <c r="Q321" i="3"/>
  <c r="Q30" i="15"/>
  <c r="Q32" i="15"/>
  <c r="Q6" i="3"/>
  <c r="Q305" i="3"/>
  <c r="Q327" i="3"/>
  <c r="Q108" i="13"/>
  <c r="Q328" i="3"/>
  <c r="R83" i="15"/>
  <c r="Q414" i="3"/>
  <c r="Q415" i="3"/>
  <c r="Q52" i="15"/>
  <c r="Q54" i="15"/>
  <c r="Q376" i="3"/>
  <c r="Q375" i="3"/>
  <c r="R152" i="13"/>
  <c r="R345" i="3"/>
  <c r="Y331" i="17"/>
  <c r="Y338" i="17"/>
  <c r="Y335" i="17"/>
  <c r="Z283" i="17"/>
  <c r="Q66" i="15"/>
  <c r="Q137" i="13"/>
  <c r="R154" i="13"/>
  <c r="R100" i="15"/>
  <c r="R108" i="15"/>
  <c r="R102" i="15"/>
  <c r="R98" i="15"/>
  <c r="R99" i="15"/>
  <c r="Q330" i="3"/>
  <c r="Q139" i="13"/>
  <c r="Q136" i="13"/>
  <c r="R348" i="3"/>
  <c r="R350" i="3"/>
  <c r="Q323" i="3"/>
  <c r="Q67" i="15"/>
  <c r="Q128" i="13"/>
  <c r="Q110" i="13"/>
  <c r="Q55" i="15"/>
  <c r="Z284" i="17"/>
  <c r="Z359" i="17"/>
  <c r="Z361" i="17"/>
  <c r="Z372" i="17"/>
  <c r="Z309" i="17"/>
  <c r="R109" i="15"/>
  <c r="R107" i="15"/>
  <c r="R279" i="3"/>
  <c r="R280" i="3"/>
  <c r="R351" i="3"/>
  <c r="R353" i="3"/>
  <c r="R364" i="3"/>
  <c r="R303" i="3"/>
  <c r="S82" i="15"/>
  <c r="S92" i="15"/>
  <c r="S93" i="15"/>
  <c r="S103" i="15"/>
  <c r="T104" i="15"/>
  <c r="U105" i="15"/>
  <c r="Q329" i="3"/>
  <c r="Q138" i="13"/>
  <c r="Q325" i="3"/>
  <c r="Q130" i="13"/>
  <c r="R156" i="13"/>
  <c r="Z333" i="17"/>
  <c r="Z422" i="17"/>
  <c r="Z334" i="17"/>
  <c r="Z423" i="17"/>
  <c r="Z311" i="17"/>
  <c r="Z384" i="17"/>
  <c r="Z383" i="17"/>
  <c r="Z287" i="17"/>
  <c r="Z289" i="17"/>
  <c r="R52" i="13"/>
  <c r="Q133" i="13"/>
  <c r="Q332" i="3"/>
  <c r="Q141" i="13"/>
  <c r="Z290" i="17"/>
  <c r="Z387" i="17"/>
  <c r="Z388" i="17"/>
  <c r="Z313" i="17"/>
  <c r="AA351" i="17"/>
  <c r="AA353" i="17"/>
  <c r="Z336" i="17"/>
  <c r="R283" i="3"/>
  <c r="R53" i="13"/>
  <c r="Z292" i="17"/>
  <c r="Z296" i="17"/>
  <c r="Z327" i="17"/>
  <c r="Z329" i="17"/>
  <c r="AA356" i="17"/>
  <c r="AA358" i="17"/>
  <c r="S272" i="4"/>
  <c r="R157" i="13"/>
  <c r="R16" i="15"/>
  <c r="R18" i="15"/>
  <c r="R285" i="3"/>
  <c r="R56" i="13"/>
  <c r="R68" i="15"/>
  <c r="Z331" i="17"/>
  <c r="Z338" i="17"/>
  <c r="Z335" i="17"/>
  <c r="AA283" i="17"/>
  <c r="R159" i="13"/>
  <c r="R286" i="3"/>
  <c r="R288" i="3"/>
  <c r="R58" i="13"/>
  <c r="AA284" i="17"/>
  <c r="AA359" i="17"/>
  <c r="AA361" i="17"/>
  <c r="AA372" i="17"/>
  <c r="AA309" i="17"/>
  <c r="R62" i="13"/>
  <c r="R292" i="3"/>
  <c r="R379" i="3"/>
  <c r="R380" i="3"/>
  <c r="R307" i="3"/>
  <c r="R59" i="13"/>
  <c r="R170" i="13"/>
  <c r="AA333" i="17"/>
  <c r="AA422" i="17"/>
  <c r="AA334" i="17"/>
  <c r="AA423" i="17"/>
  <c r="AA311" i="17"/>
  <c r="F1" i="17"/>
  <c r="AA384" i="17"/>
  <c r="AA383" i="17"/>
  <c r="AA287" i="17"/>
  <c r="AA289" i="17"/>
  <c r="R113" i="13"/>
  <c r="S343" i="3"/>
  <c r="R66" i="13"/>
  <c r="R321" i="3"/>
  <c r="R30" i="15"/>
  <c r="R32" i="15"/>
  <c r="R414" i="3"/>
  <c r="R305" i="3"/>
  <c r="S83" i="15"/>
  <c r="R415" i="3"/>
  <c r="R327" i="3"/>
  <c r="R6" i="3"/>
  <c r="R52" i="15"/>
  <c r="R54" i="15"/>
  <c r="R108" i="13"/>
  <c r="R328" i="3"/>
  <c r="R376" i="3"/>
  <c r="R375" i="3"/>
  <c r="AA336" i="17"/>
  <c r="AA290" i="17"/>
  <c r="AA387" i="17"/>
  <c r="AA388" i="17"/>
  <c r="AA313" i="17"/>
  <c r="R136" i="13"/>
  <c r="R330" i="3"/>
  <c r="R139" i="13"/>
  <c r="R110" i="13"/>
  <c r="S98" i="15"/>
  <c r="S102" i="15"/>
  <c r="S108" i="15"/>
  <c r="S99" i="15"/>
  <c r="S100" i="15"/>
  <c r="R66" i="15"/>
  <c r="R137" i="13"/>
  <c r="S152" i="13"/>
  <c r="S345" i="3"/>
  <c r="R128" i="13"/>
  <c r="R323" i="3"/>
  <c r="R55" i="15"/>
  <c r="AA292" i="17"/>
  <c r="AA296" i="17"/>
  <c r="AA327" i="17"/>
  <c r="AA329" i="17"/>
  <c r="S109" i="15"/>
  <c r="S154" i="13"/>
  <c r="S348" i="3"/>
  <c r="S350" i="3"/>
  <c r="S279" i="3"/>
  <c r="S280" i="3"/>
  <c r="S351" i="3"/>
  <c r="S353" i="3"/>
  <c r="S364" i="3"/>
  <c r="S303" i="3"/>
  <c r="T82" i="15"/>
  <c r="T92" i="15"/>
  <c r="T93" i="15"/>
  <c r="T103" i="15"/>
  <c r="U104" i="15"/>
  <c r="V105" i="15"/>
  <c r="R130" i="13"/>
  <c r="R325" i="3"/>
  <c r="S107" i="15"/>
  <c r="R329" i="3"/>
  <c r="R138" i="13"/>
  <c r="R67" i="15"/>
  <c r="AA331" i="17"/>
  <c r="AA338" i="17"/>
  <c r="AA335" i="17"/>
  <c r="R133" i="13"/>
  <c r="R332" i="3"/>
  <c r="R141" i="13"/>
  <c r="S156" i="13"/>
  <c r="S52" i="13"/>
  <c r="S283" i="3"/>
  <c r="S56" i="13"/>
  <c r="S285" i="3"/>
  <c r="S68" i="15"/>
  <c r="S53" i="13"/>
  <c r="S157" i="13"/>
  <c r="T272" i="4"/>
  <c r="S16" i="15"/>
  <c r="S18" i="15"/>
  <c r="S286" i="3"/>
  <c r="S58" i="13"/>
  <c r="S288" i="3"/>
  <c r="S379" i="3"/>
  <c r="S380" i="3"/>
  <c r="S307" i="3"/>
  <c r="S59" i="13"/>
  <c r="S159" i="13"/>
  <c r="S170" i="13"/>
  <c r="S113" i="13"/>
  <c r="T343" i="3"/>
  <c r="S292" i="3"/>
  <c r="S62" i="13"/>
  <c r="S66" i="13"/>
  <c r="S321" i="3"/>
  <c r="S6" i="3"/>
  <c r="S52" i="15"/>
  <c r="S54" i="15"/>
  <c r="S30" i="15"/>
  <c r="S32" i="15"/>
  <c r="S328" i="3"/>
  <c r="S327" i="3"/>
  <c r="S415" i="3"/>
  <c r="S108" i="13"/>
  <c r="S414" i="3"/>
  <c r="S305" i="3"/>
  <c r="T83" i="15"/>
  <c r="S376" i="3"/>
  <c r="S375" i="3"/>
  <c r="T152" i="13"/>
  <c r="T345" i="3"/>
  <c r="S137" i="13"/>
  <c r="S66" i="15"/>
  <c r="S110" i="13"/>
  <c r="S136" i="13"/>
  <c r="S330" i="3"/>
  <c r="S139" i="13"/>
  <c r="S55" i="15"/>
  <c r="T154" i="13"/>
  <c r="S128" i="13"/>
  <c r="S323" i="3"/>
  <c r="T98" i="15"/>
  <c r="T102" i="15"/>
  <c r="T99" i="15"/>
  <c r="T108" i="15"/>
  <c r="T100" i="15"/>
  <c r="T348" i="3"/>
  <c r="T350" i="3"/>
  <c r="T156" i="13"/>
  <c r="T279" i="3"/>
  <c r="S67" i="15"/>
  <c r="S130" i="13"/>
  <c r="S325" i="3"/>
  <c r="T109" i="15"/>
  <c r="S329" i="3"/>
  <c r="S138" i="13"/>
  <c r="T280" i="3"/>
  <c r="T351" i="3"/>
  <c r="T353" i="3"/>
  <c r="T364" i="3"/>
  <c r="T303" i="3"/>
  <c r="U82" i="15"/>
  <c r="U92" i="15"/>
  <c r="U93" i="15"/>
  <c r="U103" i="15"/>
  <c r="V104" i="15"/>
  <c r="W105" i="15"/>
  <c r="T107" i="15"/>
  <c r="S133" i="13"/>
  <c r="S332" i="3"/>
  <c r="S141" i="13"/>
  <c r="T52" i="13"/>
  <c r="T283" i="3"/>
  <c r="T68" i="15"/>
  <c r="T56" i="13"/>
  <c r="T285" i="3"/>
  <c r="T53" i="13"/>
  <c r="T157" i="13"/>
  <c r="U272" i="4"/>
  <c r="T16" i="15"/>
  <c r="T18" i="15"/>
  <c r="T58" i="13"/>
  <c r="T286" i="3"/>
  <c r="T159" i="13"/>
  <c r="T288" i="3"/>
  <c r="T379" i="3"/>
  <c r="T380" i="3"/>
  <c r="T307" i="3"/>
  <c r="T59" i="13"/>
  <c r="T292" i="3"/>
  <c r="T62" i="13"/>
  <c r="U343" i="3"/>
  <c r="T113" i="13"/>
  <c r="T170" i="13"/>
  <c r="T327" i="3"/>
  <c r="U83" i="15"/>
  <c r="T52" i="15"/>
  <c r="T54" i="15"/>
  <c r="T415" i="3"/>
  <c r="T108" i="13"/>
  <c r="T414" i="3"/>
  <c r="T305" i="3"/>
  <c r="T328" i="3"/>
  <c r="T30" i="15"/>
  <c r="T32" i="15"/>
  <c r="T376" i="3"/>
  <c r="T375" i="3"/>
  <c r="U345" i="3"/>
  <c r="U348" i="3"/>
  <c r="U350" i="3"/>
  <c r="U279" i="3"/>
  <c r="T66" i="13"/>
  <c r="T321" i="3"/>
  <c r="T55" i="15"/>
  <c r="U102" i="15"/>
  <c r="U100" i="15"/>
  <c r="U98" i="15"/>
  <c r="U108" i="15"/>
  <c r="U99" i="15"/>
  <c r="U280" i="3"/>
  <c r="U351" i="3"/>
  <c r="V272" i="4"/>
  <c r="T137" i="13"/>
  <c r="T66" i="15"/>
  <c r="T110" i="13"/>
  <c r="T128" i="13"/>
  <c r="T323" i="3"/>
  <c r="T67" i="15"/>
  <c r="T136" i="13"/>
  <c r="T330" i="3"/>
  <c r="T139" i="13"/>
  <c r="U107" i="15"/>
  <c r="U283" i="3"/>
  <c r="U353" i="3"/>
  <c r="U364" i="3"/>
  <c r="U303" i="3"/>
  <c r="U109" i="15"/>
  <c r="U16" i="15"/>
  <c r="U18" i="15"/>
  <c r="T329" i="3"/>
  <c r="T138" i="13"/>
  <c r="T325" i="3"/>
  <c r="T130" i="13"/>
  <c r="V82" i="15"/>
  <c r="V92" i="15"/>
  <c r="V93" i="15"/>
  <c r="V103" i="15"/>
  <c r="W104" i="15"/>
  <c r="X105" i="15"/>
  <c r="T133" i="13"/>
  <c r="T332" i="3"/>
  <c r="T141" i="13"/>
  <c r="U285" i="3"/>
  <c r="U68" i="15"/>
  <c r="U30" i="15"/>
  <c r="U32" i="15"/>
  <c r="U415" i="3"/>
  <c r="V83" i="15"/>
  <c r="U414" i="3"/>
  <c r="U328" i="3"/>
  <c r="U52" i="15"/>
  <c r="U54" i="15"/>
  <c r="U305" i="3"/>
  <c r="U327" i="3"/>
  <c r="U376" i="3"/>
  <c r="U375" i="3"/>
  <c r="U55" i="15"/>
  <c r="U66" i="15"/>
  <c r="U286" i="3"/>
  <c r="U379" i="3"/>
  <c r="U380" i="3"/>
  <c r="U307" i="3"/>
  <c r="V343" i="3"/>
  <c r="V100" i="15"/>
  <c r="V98" i="15"/>
  <c r="V102" i="15"/>
  <c r="V99" i="15"/>
  <c r="V108" i="15"/>
  <c r="U330" i="3"/>
  <c r="U288" i="3"/>
  <c r="U292" i="3"/>
  <c r="U321" i="3"/>
  <c r="U323" i="3"/>
  <c r="U67" i="15"/>
  <c r="V107" i="15"/>
  <c r="V345" i="3"/>
  <c r="V348" i="3"/>
  <c r="V350" i="3"/>
  <c r="V279" i="3"/>
  <c r="V280" i="3"/>
  <c r="V351" i="3"/>
  <c r="V353" i="3"/>
  <c r="V364" i="3"/>
  <c r="V303" i="3"/>
  <c r="W82" i="15"/>
  <c r="W92" i="15"/>
  <c r="W93" i="15"/>
  <c r="W103" i="15"/>
  <c r="X104" i="15"/>
  <c r="Y105" i="15"/>
  <c r="V109" i="15"/>
  <c r="U325" i="3"/>
  <c r="U332" i="3"/>
  <c r="U329" i="3"/>
  <c r="V283" i="3"/>
  <c r="V68" i="15"/>
  <c r="W272" i="4"/>
  <c r="V16" i="15"/>
  <c r="V18" i="15"/>
  <c r="V285" i="3"/>
  <c r="V286" i="3"/>
  <c r="V379" i="3"/>
  <c r="V380" i="3"/>
  <c r="V307" i="3"/>
  <c r="W343" i="3"/>
  <c r="V305" i="3"/>
  <c r="V415" i="3"/>
  <c r="W83" i="15"/>
  <c r="V30" i="15"/>
  <c r="V32" i="15"/>
  <c r="V328" i="3"/>
  <c r="V52" i="15"/>
  <c r="V54" i="15"/>
  <c r="V414" i="3"/>
  <c r="V327" i="3"/>
  <c r="V376" i="3"/>
  <c r="V375" i="3"/>
  <c r="V288" i="3"/>
  <c r="V292" i="3"/>
  <c r="V321" i="3"/>
  <c r="V323" i="3"/>
  <c r="V325" i="3"/>
  <c r="V332" i="3"/>
  <c r="V66" i="15"/>
  <c r="V330" i="3"/>
  <c r="W99" i="15"/>
  <c r="W108" i="15"/>
  <c r="W98" i="15"/>
  <c r="W102" i="15"/>
  <c r="W100" i="15"/>
  <c r="V55" i="15"/>
  <c r="W345" i="3"/>
  <c r="V67" i="15"/>
  <c r="V329" i="3"/>
  <c r="W348" i="3"/>
  <c r="W350" i="3"/>
  <c r="W279" i="3"/>
  <c r="W280" i="3"/>
  <c r="W351" i="3"/>
  <c r="W353" i="3"/>
  <c r="W364" i="3"/>
  <c r="W303" i="3"/>
  <c r="X82" i="15"/>
  <c r="X92" i="15"/>
  <c r="X93" i="15"/>
  <c r="X103" i="15"/>
  <c r="Y104" i="15"/>
  <c r="Z105" i="15"/>
  <c r="W107" i="15"/>
  <c r="W109" i="15"/>
  <c r="W283" i="3"/>
  <c r="W285" i="3"/>
  <c r="X272" i="4"/>
  <c r="W16" i="15"/>
  <c r="W18" i="15"/>
  <c r="W68" i="15"/>
  <c r="W52" i="15"/>
  <c r="W54" i="15"/>
  <c r="X83" i="15"/>
  <c r="W414" i="3"/>
  <c r="W415" i="3"/>
  <c r="W327" i="3"/>
  <c r="W30" i="15"/>
  <c r="W32" i="15"/>
  <c r="W305" i="3"/>
  <c r="W328" i="3"/>
  <c r="W376" i="3"/>
  <c r="W375" i="3"/>
  <c r="W286" i="3"/>
  <c r="W379" i="3"/>
  <c r="W380" i="3"/>
  <c r="W307" i="3"/>
  <c r="X343" i="3"/>
  <c r="X345" i="3"/>
  <c r="W66" i="15"/>
  <c r="X108" i="15"/>
  <c r="X102" i="15"/>
  <c r="X348" i="3"/>
  <c r="X350" i="3"/>
  <c r="X279" i="3"/>
  <c r="X280" i="3"/>
  <c r="X351" i="3"/>
  <c r="X353" i="3"/>
  <c r="X364" i="3"/>
  <c r="X303" i="3"/>
  <c r="Y82" i="15"/>
  <c r="Y92" i="15"/>
  <c r="Y93" i="15"/>
  <c r="Y103" i="15"/>
  <c r="Z104" i="15"/>
  <c r="AA105" i="15"/>
  <c r="X98" i="15"/>
  <c r="X99" i="15"/>
  <c r="X100" i="15"/>
  <c r="W330" i="3"/>
  <c r="W288" i="3"/>
  <c r="W292" i="3"/>
  <c r="W321" i="3"/>
  <c r="W323" i="3"/>
  <c r="W325" i="3"/>
  <c r="W332" i="3"/>
  <c r="W55" i="15"/>
  <c r="W329" i="3"/>
  <c r="X107" i="15"/>
  <c r="W67" i="15"/>
  <c r="X109" i="15"/>
  <c r="X283" i="3"/>
  <c r="X285" i="3"/>
  <c r="Y272" i="4"/>
  <c r="X16" i="15"/>
  <c r="X18" i="15"/>
  <c r="X68" i="15"/>
  <c r="X376" i="3"/>
  <c r="X375" i="3"/>
  <c r="X327" i="3"/>
  <c r="X414" i="3"/>
  <c r="X52" i="15"/>
  <c r="X54" i="15"/>
  <c r="X328" i="3"/>
  <c r="X415" i="3"/>
  <c r="X305" i="3"/>
  <c r="X30" i="15"/>
  <c r="X32" i="15"/>
  <c r="Y83" i="15"/>
  <c r="X286" i="3"/>
  <c r="X379" i="3"/>
  <c r="X380" i="3"/>
  <c r="X307" i="3"/>
  <c r="Y343" i="3"/>
  <c r="Y345" i="3"/>
  <c r="X55" i="15"/>
  <c r="Y348" i="3"/>
  <c r="Y350" i="3"/>
  <c r="Y279" i="3"/>
  <c r="X66" i="15"/>
  <c r="Y108" i="15"/>
  <c r="Y100" i="15"/>
  <c r="Y102" i="15"/>
  <c r="Y280" i="3"/>
  <c r="Y351" i="3"/>
  <c r="Y353" i="3"/>
  <c r="Y364" i="3"/>
  <c r="Y303" i="3"/>
  <c r="Z82" i="15"/>
  <c r="Z92" i="15"/>
  <c r="Z93" i="15"/>
  <c r="Z103" i="15"/>
  <c r="AA104" i="15"/>
  <c r="Y98" i="15"/>
  <c r="Y99" i="15"/>
  <c r="X330" i="3"/>
  <c r="X288" i="3"/>
  <c r="X292" i="3"/>
  <c r="X321" i="3"/>
  <c r="X323" i="3"/>
  <c r="X325" i="3"/>
  <c r="X332" i="3"/>
  <c r="X67" i="15"/>
  <c r="X329" i="3"/>
  <c r="Y107" i="15"/>
  <c r="Y109" i="15"/>
  <c r="Y283" i="3"/>
  <c r="Y285" i="3"/>
  <c r="Y286" i="3"/>
  <c r="Y379" i="3"/>
  <c r="Y380" i="3"/>
  <c r="Y307" i="3"/>
  <c r="Z343" i="3"/>
  <c r="Z345" i="3"/>
  <c r="Y376" i="3"/>
  <c r="Y375" i="3"/>
  <c r="Y30" i="15"/>
  <c r="Y32" i="15"/>
  <c r="Y327" i="3"/>
  <c r="Y330" i="3"/>
  <c r="Y52" i="15"/>
  <c r="Y54" i="15"/>
  <c r="Y328" i="3"/>
  <c r="Z83" i="15"/>
  <c r="Y415" i="3"/>
  <c r="Y305" i="3"/>
  <c r="Y414" i="3"/>
  <c r="Z272" i="4"/>
  <c r="Y16" i="15"/>
  <c r="Y18" i="15"/>
  <c r="Y68" i="15"/>
  <c r="Y288" i="3"/>
  <c r="Y292" i="3"/>
  <c r="Y321" i="3"/>
  <c r="Y323" i="3"/>
  <c r="Y325" i="3"/>
  <c r="Y332" i="3"/>
  <c r="Y55" i="15"/>
  <c r="Z108" i="15"/>
  <c r="Z100" i="15"/>
  <c r="Z99" i="15"/>
  <c r="Z98" i="15"/>
  <c r="Z102" i="15"/>
  <c r="Z348" i="3"/>
  <c r="Z350" i="3"/>
  <c r="Z279" i="3"/>
  <c r="Z280" i="3"/>
  <c r="Z351" i="3"/>
  <c r="Z353" i="3"/>
  <c r="Z364" i="3"/>
  <c r="Z303" i="3"/>
  <c r="AA82" i="15"/>
  <c r="AA92" i="15"/>
  <c r="AA93" i="15"/>
  <c r="AA103" i="15"/>
  <c r="Y66" i="15"/>
  <c r="Y329" i="3"/>
  <c r="Y67" i="15"/>
  <c r="Z107" i="15"/>
  <c r="Z109" i="15"/>
  <c r="AA272" i="4"/>
  <c r="Z16" i="15"/>
  <c r="Z18" i="15"/>
  <c r="Z283" i="3"/>
  <c r="Z68" i="15"/>
  <c r="Z285" i="3"/>
  <c r="Z327" i="3"/>
  <c r="Z52" i="15"/>
  <c r="Z54" i="15"/>
  <c r="Z30" i="15"/>
  <c r="Z32" i="15"/>
  <c r="Z328" i="3"/>
  <c r="Z414" i="3"/>
  <c r="AA83" i="15"/>
  <c r="Z415" i="3"/>
  <c r="Z305" i="3"/>
  <c r="Z376" i="3"/>
  <c r="Z375" i="3"/>
  <c r="Z55" i="15"/>
  <c r="Z66" i="15"/>
  <c r="Z330" i="3"/>
  <c r="Z286" i="3"/>
  <c r="Z379" i="3"/>
  <c r="Z380" i="3"/>
  <c r="Z307" i="3"/>
  <c r="AA343" i="3"/>
  <c r="AA99" i="15"/>
  <c r="AA100" i="15"/>
  <c r="AA108" i="15"/>
  <c r="AA102" i="15"/>
  <c r="AA98" i="15"/>
  <c r="AA107" i="15"/>
  <c r="AA109" i="15"/>
  <c r="AA345" i="3"/>
  <c r="Z288" i="3"/>
  <c r="Z292" i="3"/>
  <c r="Z321" i="3"/>
  <c r="Z323" i="3"/>
  <c r="AA348" i="3"/>
  <c r="AA350" i="3"/>
  <c r="AA279" i="3"/>
  <c r="Z325" i="3"/>
  <c r="Z332" i="3"/>
  <c r="Z67" i="15"/>
  <c r="Z329" i="3"/>
  <c r="AA280" i="3"/>
  <c r="AA351" i="3"/>
  <c r="AB272" i="4"/>
  <c r="AA16" i="15"/>
  <c r="AA18" i="15"/>
  <c r="AA353" i="3"/>
  <c r="AA364" i="3"/>
  <c r="AA303" i="3"/>
  <c r="AA283" i="3"/>
  <c r="AA68" i="15"/>
  <c r="AA285" i="3"/>
  <c r="AA52" i="15"/>
  <c r="AA54" i="15"/>
  <c r="AA30" i="15"/>
  <c r="AA32" i="15"/>
  <c r="AA328" i="3"/>
  <c r="AA414" i="3"/>
  <c r="AA327" i="3"/>
  <c r="AA415" i="3"/>
  <c r="AA305" i="3"/>
  <c r="F1" i="3"/>
  <c r="G1" i="4"/>
  <c r="E1" i="5"/>
  <c r="G1" i="10"/>
  <c r="AA376" i="3"/>
  <c r="AA375" i="3"/>
  <c r="G1" i="12"/>
  <c r="G1" i="8"/>
  <c r="F1" i="7"/>
  <c r="F1" i="11"/>
  <c r="AA66" i="15"/>
  <c r="AA330" i="3"/>
  <c r="AA286" i="3"/>
  <c r="AA379" i="3"/>
  <c r="AA380" i="3"/>
  <c r="AA307" i="3"/>
  <c r="AA55" i="15"/>
  <c r="AA288" i="3"/>
  <c r="AA292" i="3"/>
  <c r="AA321" i="3"/>
  <c r="AA323" i="3"/>
  <c r="AA325" i="3"/>
  <c r="AA332" i="3"/>
  <c r="AA67" i="15"/>
  <c r="AA32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tc={8840EF02-0955-49F6-8F98-E33DA04EB53F}</author>
    <author>tc={0941D671-47FA-4C59-979B-9647293CE473}</author>
  </authors>
  <commentList>
    <comment ref="H12" authorId="0" shapeId="0" xr:uid="{8840EF02-0955-49F6-8F98-E33DA04EB53F}">
      <text>
        <t>[Threaded comment]
Your version of Excel allows you to read this threaded comment; however, any edits to it will get removed if the file is opened in a newer version of Excel. Learn more: https://go.microsoft.com/fwlink/?linkid=870924
Comment:
    was 300</t>
      </text>
    </comment>
    <comment ref="H13" authorId="1" shapeId="0" xr:uid="{0941D671-47FA-4C59-979B-9647293CE473}">
      <text>
        <t>[Threaded comment]
Your version of Excel allows you to read this threaded comment; however, any edits to it will get removed if the file is opened in a newer version of Excel. Learn more: https://go.microsoft.com/fwlink/?linkid=870924
Comment:
    Was 300</t>
      </text>
    </comment>
  </commentList>
</comments>
</file>

<file path=xl/sharedStrings.xml><?xml version="1.0" encoding="utf-8"?>
<sst xmlns="http://schemas.openxmlformats.org/spreadsheetml/2006/main" count="5349" uniqueCount="911">
  <si>
    <t>Unit</t>
  </si>
  <si>
    <t>Depreciation</t>
  </si>
  <si>
    <t>Opex</t>
  </si>
  <si>
    <t>Total costs</t>
  </si>
  <si>
    <t>P&amp;L</t>
  </si>
  <si>
    <t>PBIT</t>
  </si>
  <si>
    <t>Conditional Formatting</t>
  </si>
  <si>
    <t>Missing Data - Requires Input</t>
  </si>
  <si>
    <t>Not Necessary</t>
  </si>
  <si>
    <t>Formula</t>
  </si>
  <si>
    <t>Hardcoded</t>
  </si>
  <si>
    <t>File:</t>
  </si>
  <si>
    <t>Description:</t>
  </si>
  <si>
    <t>Date:</t>
  </si>
  <si>
    <t>Version:</t>
  </si>
  <si>
    <t>Contact:</t>
  </si>
  <si>
    <t xml:space="preserve">Alastair Woods  </t>
  </si>
  <si>
    <t>alastair.woods@impactagri.com</t>
  </si>
  <si>
    <t>Jon White</t>
  </si>
  <si>
    <t>jon.white@impactagri.com</t>
  </si>
  <si>
    <t>Finance</t>
  </si>
  <si>
    <t>%</t>
  </si>
  <si>
    <t>----------------</t>
  </si>
  <si>
    <t>Total capex</t>
  </si>
  <si>
    <t>Total depreciation</t>
  </si>
  <si>
    <t>Total revenue</t>
  </si>
  <si>
    <t>Interest on debt</t>
  </si>
  <si>
    <t>Interest on grant payable on exit (non-cash)</t>
  </si>
  <si>
    <t>Interest</t>
  </si>
  <si>
    <t>PBT</t>
  </si>
  <si>
    <t>Tax</t>
  </si>
  <si>
    <t>Profit after tax</t>
  </si>
  <si>
    <t>Balance sheet</t>
  </si>
  <si>
    <t>Fixed assets</t>
  </si>
  <si>
    <t xml:space="preserve">  -  Gross</t>
  </si>
  <si>
    <t xml:space="preserve">  -  Depreciation</t>
  </si>
  <si>
    <t>Net working capital</t>
  </si>
  <si>
    <t>Net cash/(debt)</t>
  </si>
  <si>
    <t>---------</t>
  </si>
  <si>
    <t>Total assets</t>
  </si>
  <si>
    <t>Tax payable</t>
  </si>
  <si>
    <t>Grant financing</t>
  </si>
  <si>
    <t>Interest due on grant (payable on exit)</t>
  </si>
  <si>
    <t xml:space="preserve">  -  Capital</t>
  </si>
  <si>
    <t xml:space="preserve">  -  Retained earnings</t>
  </si>
  <si>
    <t xml:space="preserve">Total liabilities </t>
  </si>
  <si>
    <t>Total debt</t>
  </si>
  <si>
    <t>Net debt</t>
  </si>
  <si>
    <t>Debt : equity</t>
  </si>
  <si>
    <t>ratio</t>
  </si>
  <si>
    <t>Debt: asset</t>
  </si>
  <si>
    <t>Income:interest coverage</t>
  </si>
  <si>
    <t>Check</t>
  </si>
  <si>
    <t>Funds flow</t>
  </si>
  <si>
    <t>Operating profit</t>
  </si>
  <si>
    <t>Grant income</t>
  </si>
  <si>
    <t>Operating cashflow</t>
  </si>
  <si>
    <t>Capex</t>
  </si>
  <si>
    <t>Change in working capital</t>
  </si>
  <si>
    <t>Tax paid</t>
  </si>
  <si>
    <t>Cash flow available for fund providers</t>
  </si>
  <si>
    <t>Interest paid</t>
  </si>
  <si>
    <t>Cashflow before financing transactions</t>
  </si>
  <si>
    <t>Scheduled debt financing/(repayments)</t>
  </si>
  <si>
    <t>Third party equity</t>
  </si>
  <si>
    <t>Grants</t>
  </si>
  <si>
    <t>Net cashflow</t>
  </si>
  <si>
    <t>Working Capital</t>
  </si>
  <si>
    <t>Days</t>
  </si>
  <si>
    <t>Inventory - Finished product</t>
  </si>
  <si>
    <t>Inventory - Raw materials</t>
  </si>
  <si>
    <t>Debtors</t>
  </si>
  <si>
    <t>Creditors</t>
  </si>
  <si>
    <t>Interest rate on average debt balance</t>
  </si>
  <si>
    <t>Average debt(cash) balance</t>
  </si>
  <si>
    <t>Tax losses</t>
  </si>
  <si>
    <t>Charge for year</t>
  </si>
  <si>
    <t>Losses carried forward</t>
  </si>
  <si>
    <t>Cashflow</t>
  </si>
  <si>
    <t xml:space="preserve">Change in working capital </t>
  </si>
  <si>
    <t>Tax paid  (pre interest deduction)</t>
  </si>
  <si>
    <t>Cash flow from business (post tax)</t>
  </si>
  <si>
    <t>Project NPV (Post-tax)</t>
  </si>
  <si>
    <t>Investment NPV (10 year)</t>
  </si>
  <si>
    <t>Investment IRR (10 year)</t>
  </si>
  <si>
    <t>Investment NPV</t>
  </si>
  <si>
    <t>Investment IRR</t>
  </si>
  <si>
    <t>Tax losses (excluding interest)</t>
  </si>
  <si>
    <t>Exit valuation</t>
  </si>
  <si>
    <t>NPV basis</t>
  </si>
  <si>
    <t>Exit Year</t>
  </si>
  <si>
    <t>year</t>
  </si>
  <si>
    <t>Duration of expected future cashflows</t>
  </si>
  <si>
    <t>years</t>
  </si>
  <si>
    <t>Value at each year of investment ===&gt;</t>
  </si>
  <si>
    <t>Implied valuation</t>
  </si>
  <si>
    <t>Based on NPV of cashflows</t>
  </si>
  <si>
    <t>Based on exit multiple of NOI (EBITDA)</t>
  </si>
  <si>
    <t>Distribution of value</t>
  </si>
  <si>
    <t>Based on NPV</t>
  </si>
  <si>
    <t>Based on NOI</t>
  </si>
  <si>
    <t>Debt providers</t>
  </si>
  <si>
    <t>Grant providers</t>
  </si>
  <si>
    <t>Repayment</t>
  </si>
  <si>
    <t>y</t>
  </si>
  <si>
    <t>Equity</t>
  </si>
  <si>
    <t>------------</t>
  </si>
  <si>
    <t>Total return to grant provider</t>
  </si>
  <si>
    <t>END OF SHEET</t>
  </si>
  <si>
    <t>MT</t>
  </si>
  <si>
    <t>Total general capex</t>
  </si>
  <si>
    <t>Total opex costs</t>
  </si>
  <si>
    <t>Tab colours:</t>
  </si>
  <si>
    <t xml:space="preserve">  Assumptions</t>
  </si>
  <si>
    <t>All</t>
  </si>
  <si>
    <t>%/year</t>
  </si>
  <si>
    <t>Line Item</t>
  </si>
  <si>
    <t>General capex inflation</t>
  </si>
  <si>
    <t>Year 1</t>
  </si>
  <si>
    <t>Year 2</t>
  </si>
  <si>
    <t>Year 3</t>
  </si>
  <si>
    <t>Year 4</t>
  </si>
  <si>
    <t>Year 5</t>
  </si>
  <si>
    <t>Year 6</t>
  </si>
  <si>
    <t>Year 7</t>
  </si>
  <si>
    <t>Year 8</t>
  </si>
  <si>
    <t>Year 9</t>
  </si>
  <si>
    <t>Year 10</t>
  </si>
  <si>
    <t>Year 11</t>
  </si>
  <si>
    <t>Year 12</t>
  </si>
  <si>
    <t>Year 13</t>
  </si>
  <si>
    <t>Year 14</t>
  </si>
  <si>
    <t>Year 15</t>
  </si>
  <si>
    <t xml:space="preserve">  Financial Overview</t>
  </si>
  <si>
    <t>Commentary</t>
  </si>
  <si>
    <t>Years</t>
  </si>
  <si>
    <t>Years before full processing capex applied</t>
  </si>
  <si>
    <t>No</t>
  </si>
  <si>
    <t>Yes/No</t>
  </si>
  <si>
    <t>NA</t>
  </si>
  <si>
    <t># of centres</t>
  </si>
  <si>
    <t>MT/CAC</t>
  </si>
  <si>
    <t>EUR</t>
  </si>
  <si>
    <t>Total shea butter produced by centres</t>
  </si>
  <si>
    <t xml:space="preserve">  -  Total shareholder funds</t>
  </si>
  <si>
    <t>Shareholder funds</t>
  </si>
  <si>
    <t>Equipment maintenance total</t>
  </si>
  <si>
    <t>Opex inflation</t>
  </si>
  <si>
    <t>Tax rate</t>
  </si>
  <si>
    <t>Compost</t>
  </si>
  <si>
    <t>Carbon Assets</t>
  </si>
  <si>
    <t>TBD</t>
  </si>
  <si>
    <t>Include carbon credits?</t>
  </si>
  <si>
    <t>Yes</t>
  </si>
  <si>
    <t>Price inflation</t>
  </si>
  <si>
    <t>Revenue</t>
  </si>
  <si>
    <t>Forestry Fund</t>
  </si>
  <si>
    <t>Karikis</t>
  </si>
  <si>
    <t xml:space="preserve">ImpactAgri Holdings </t>
  </si>
  <si>
    <t>Organisation</t>
  </si>
  <si>
    <t>Grand Total</t>
  </si>
  <si>
    <t>Implementation &amp; maintenance capex inflation</t>
  </si>
  <si>
    <t xml:space="preserve">  Implementation Costs</t>
  </si>
  <si>
    <t>Transport costs</t>
  </si>
  <si>
    <t>See breakdown in Implementation Costs sheet</t>
  </si>
  <si>
    <t>Other low cost debt</t>
  </si>
  <si>
    <t>Commercial debt</t>
  </si>
  <si>
    <t>Finance interest rates</t>
  </si>
  <si>
    <t>Long term debt</t>
  </si>
  <si>
    <t xml:space="preserve">  -  Other low cost debt</t>
  </si>
  <si>
    <t xml:space="preserve">  -  Commercial debt</t>
  </si>
  <si>
    <t>----------</t>
  </si>
  <si>
    <t>WB equity</t>
  </si>
  <si>
    <t>Althelia equity</t>
  </si>
  <si>
    <t>Consortium equity</t>
  </si>
  <si>
    <t>Cash from loan</t>
  </si>
  <si>
    <t>Cash from interest on loan</t>
  </si>
  <si>
    <t>Cash from profit share</t>
  </si>
  <si>
    <t>WB finance</t>
  </si>
  <si>
    <t>Althelia finance</t>
  </si>
  <si>
    <t>Retained earning</t>
  </si>
  <si>
    <t>Total cashflows</t>
  </si>
  <si>
    <t>Cash from exit (NPV of cashflows)</t>
  </si>
  <si>
    <t>Cash from exit (multiples of EBITDA)</t>
  </si>
  <si>
    <t>Using NPV of cashflows</t>
  </si>
  <si>
    <t>Using multiples of EBITDA</t>
  </si>
  <si>
    <t>Share of EBITDA</t>
  </si>
  <si>
    <t>Dividends</t>
  </si>
  <si>
    <t xml:space="preserve">  -  WB finance</t>
  </si>
  <si>
    <t xml:space="preserve">  -  Althelia finance</t>
  </si>
  <si>
    <t>Cash from loan `(assumed paid/repaid in quarterly installments)</t>
  </si>
  <si>
    <t>Cash from interest on loan (assumed paid/repaid in quarterly installments)</t>
  </si>
  <si>
    <t>Cash from EBITDA Gain Share paid</t>
  </si>
  <si>
    <t>Exit value for consortia</t>
  </si>
  <si>
    <t>Approximate IRR for Althelia</t>
  </si>
  <si>
    <t>Approximate IRR for WB</t>
  </si>
  <si>
    <t>Year 16</t>
  </si>
  <si>
    <t>Year 17</t>
  </si>
  <si>
    <t>Year 18</t>
  </si>
  <si>
    <t>Year 19</t>
  </si>
  <si>
    <t>Year 20</t>
  </si>
  <si>
    <t>Year 21</t>
  </si>
  <si>
    <t>Regional Management costs</t>
  </si>
  <si>
    <t>Total regional management costs</t>
  </si>
  <si>
    <t>Company Management costs</t>
  </si>
  <si>
    <t>Category</t>
  </si>
  <si>
    <t>Exchange rate</t>
  </si>
  <si>
    <t>Driving currency</t>
  </si>
  <si>
    <t>-</t>
  </si>
  <si>
    <t>XAF</t>
  </si>
  <si>
    <t>XAF/CAC</t>
  </si>
  <si>
    <t>XAF/MT</t>
  </si>
  <si>
    <t xml:space="preserve">Assumptions </t>
  </si>
  <si>
    <t>TBD - possibility of a 5 to 10 window period</t>
  </si>
  <si>
    <t>Readiness Funds</t>
  </si>
  <si>
    <t>Indicative costs per CAC:</t>
  </si>
  <si>
    <t>Quantity</t>
  </si>
  <si>
    <t>Comments</t>
  </si>
  <si>
    <t>Development of teaching tools and inventory sheets/ census</t>
  </si>
  <si>
    <t>Handouts, participant workbooks, toolkits, etc.</t>
  </si>
  <si>
    <t>Training Materials</t>
  </si>
  <si>
    <t>GPS, felt table, video projector, stationary, etc.</t>
  </si>
  <si>
    <t>Support for Producers</t>
  </si>
  <si>
    <t>40 members per group</t>
  </si>
  <si>
    <t>Compensation for Trainers</t>
  </si>
  <si>
    <t>2 days of training, and 2 days of traveling time</t>
  </si>
  <si>
    <t>Transport for Trainers</t>
  </si>
  <si>
    <t>Vehicles, fuel, driver, etc.</t>
  </si>
  <si>
    <t>Training of Trainers</t>
  </si>
  <si>
    <t>2 days of training</t>
  </si>
  <si>
    <t>Training of provincial officials</t>
  </si>
  <si>
    <t>Sub-total</t>
  </si>
  <si>
    <t>Conservative assumption of 300MT of compost per CAC</t>
  </si>
  <si>
    <t>Carbon assets</t>
  </si>
  <si>
    <t>Unit cost (XAF)</t>
  </si>
  <si>
    <t>Total cost (XAF)</t>
  </si>
  <si>
    <t>Total Cost (XAF)</t>
  </si>
  <si>
    <t>Processor training and informing local communities (100 CACs)</t>
  </si>
  <si>
    <t>XAF/day</t>
  </si>
  <si>
    <t>XAF/ Province</t>
  </si>
  <si>
    <t>Driving Currency</t>
  </si>
  <si>
    <t>XAF/Unit</t>
  </si>
  <si>
    <t>See breakdown in Opex Data</t>
  </si>
  <si>
    <t>Unit Revenue (XAF)</t>
  </si>
  <si>
    <t>Total Revenue per year (XAF)</t>
  </si>
  <si>
    <t>See breakdown in Revenue Data</t>
  </si>
  <si>
    <t>Capex Data</t>
  </si>
  <si>
    <t>Carbon reduction per CAC per year</t>
  </si>
  <si>
    <t>75% improvement through fuel substitution and improved cookstoves</t>
  </si>
  <si>
    <t>Carbon Credits from Shea Tree Afforestation / Reforestation</t>
  </si>
  <si>
    <t>Biogas from Biodigester</t>
  </si>
  <si>
    <t>Electricity from 25 kW solar PV installation</t>
  </si>
  <si>
    <t>In traditional methods, non-renewable biomass is consumed in boiling nuts denatures &amp; de-husking, roasting, heating water for kneading, and boiling fat to dry and clean, and accounts for ~20kgCO2e / kg butter at farm.
Therefore, total GHG baseline based on consuming non-renewable biomass, assuming 75% avoided through fuel substitution and efficient cookstoves by CACs:
= ~3,750tCO2e per year</t>
  </si>
  <si>
    <t>10,000 trees planted over 5 years in 10 hectares, assuming 215tCO2e saved per hectare</t>
  </si>
  <si>
    <t>100t residual solids (Shea cake) yields 50tCO2e saved, therefore 750t/CAC yields 375tCO2e saved</t>
  </si>
  <si>
    <t>See breakdown in Carbon Data sheet</t>
  </si>
  <si>
    <t>Just Real UK</t>
  </si>
  <si>
    <t xml:space="preserve">Training, Certification, Auditing </t>
  </si>
  <si>
    <t>In-Country Logistics</t>
  </si>
  <si>
    <t>Clean Technology Support and Training</t>
  </si>
  <si>
    <t>Solar Technology Support</t>
  </si>
  <si>
    <t>Overall Operation Management</t>
  </si>
  <si>
    <t>In-Country Process for Export of Shea Butter</t>
  </si>
  <si>
    <t>Marketing and Brand Management</t>
  </si>
  <si>
    <t>Management of Social Responsibility</t>
  </si>
  <si>
    <t>Ongoing Monitoring of Equipment Performance</t>
  </si>
  <si>
    <t>Financial Analysis and Monthly Follow-Up</t>
  </si>
  <si>
    <t>Project Documentation</t>
  </si>
  <si>
    <t>Investor Relations Management</t>
  </si>
  <si>
    <t>General Project Accounting (Contract with Third-party Financial Controller)</t>
  </si>
  <si>
    <t>Customer Account Management</t>
  </si>
  <si>
    <t xml:space="preserve">Implementation Plan Creation, Execution and On-Going Monitoring </t>
  </si>
  <si>
    <t>Management of Key Partner Relationships</t>
  </si>
  <si>
    <t>Travel and Support Costs</t>
  </si>
  <si>
    <t>Traceability Certification Management</t>
  </si>
  <si>
    <t>Business Planning and Financial Modelling</t>
  </si>
  <si>
    <t>Site Mapping</t>
  </si>
  <si>
    <t>Site Technology Development and Planning</t>
  </si>
  <si>
    <t>Carbon Framework Preparation</t>
  </si>
  <si>
    <t>Logistics and Storage Analysis</t>
  </si>
  <si>
    <t xml:space="preserve">Assumes 35MWh produced per year, offsetting baseline diesel use and grid electricity of ~2 litre / kWh (equals 5.3524kgCO2e / kWh). </t>
  </si>
  <si>
    <t>See Training Cost Data sheet</t>
  </si>
  <si>
    <t>Approx. 20 per province</t>
  </si>
  <si>
    <t>tCO2e/CAC</t>
  </si>
  <si>
    <t>Total long term debt</t>
  </si>
  <si>
    <t>Net fixed assets</t>
  </si>
  <si>
    <t>CONFIDENTIAL</t>
  </si>
  <si>
    <t>DRAFT</t>
  </si>
  <si>
    <t>Summary financials</t>
  </si>
  <si>
    <t>SHEA BUTTER PROJECT</t>
  </si>
  <si>
    <t>Compost sales</t>
  </si>
  <si>
    <t>Carbon asset sales</t>
  </si>
  <si>
    <t>TOTAL</t>
  </si>
  <si>
    <t>GRAND TOTAL</t>
  </si>
  <si>
    <t>Capex validation</t>
  </si>
  <si>
    <t>Line item</t>
  </si>
  <si>
    <t>Opex review</t>
  </si>
  <si>
    <t>Develop financial model</t>
  </si>
  <si>
    <t>Develop business plan</t>
  </si>
  <si>
    <t>Engaging stakeholders</t>
  </si>
  <si>
    <t>Travel</t>
  </si>
  <si>
    <t>Preparing engagement material</t>
  </si>
  <si>
    <t>Logistics optimisation</t>
  </si>
  <si>
    <t>Remote sensing</t>
  </si>
  <si>
    <t>Tree Mapping and Forestry Assessment</t>
  </si>
  <si>
    <t>Measurement, reporting and verification system</t>
  </si>
  <si>
    <t>Environmental and social safeguards</t>
  </si>
  <si>
    <t>In-country forestry study (i.e. baseline setting)</t>
  </si>
  <si>
    <t>Centre technical design</t>
  </si>
  <si>
    <t>Prototype stress-testing</t>
  </si>
  <si>
    <t>Product Certifications</t>
  </si>
  <si>
    <t>Storage facility and container design</t>
  </si>
  <si>
    <t>Packaging design</t>
  </si>
  <si>
    <t>Distribution infrastructure development</t>
  </si>
  <si>
    <t>Project design document development</t>
  </si>
  <si>
    <t>Project design validation under CDM Gold Standard</t>
  </si>
  <si>
    <t>System setup for carbon neutral and organic certification</t>
  </si>
  <si>
    <t>Social assessment (select KPIs, assess livelihoods, needs, etc.)</t>
  </si>
  <si>
    <t>Develop training guides, manuals and protocols</t>
  </si>
  <si>
    <t>Market Development</t>
  </si>
  <si>
    <t>Social "Sensibilisation" / Data Collection / Baseline</t>
  </si>
  <si>
    <t>Secure offtake agreements</t>
  </si>
  <si>
    <t>Engage potential offtakers</t>
  </si>
  <si>
    <t>ImpactAgri Holdings/ERM CVS</t>
  </si>
  <si>
    <t>ImpactAgri Holdings/Carbon Trust</t>
  </si>
  <si>
    <t>Site geo-location assessment</t>
  </si>
  <si>
    <t>ImpactAgri Holdings/Agritech Faso</t>
  </si>
  <si>
    <t>ImpactAgri Holdings /Agritech Faso</t>
  </si>
  <si>
    <t>ImpactAgri Holdings/Third-party</t>
  </si>
  <si>
    <t>Agritech Faso/Third-party</t>
  </si>
  <si>
    <t>REDD+ government policy development</t>
  </si>
  <si>
    <t>Isomet/Third-party</t>
  </si>
  <si>
    <t>Karikis/ImpactAgri Holdings/Third-party</t>
  </si>
  <si>
    <t>Development of detailed business plan, including implementation plan and carbon finance</t>
  </si>
  <si>
    <t>Preparing presentation material and financial models to meet the needs of various stakeholders</t>
  </si>
  <si>
    <t>Travel and accomodation expenses to visit key sites and planning hubs</t>
  </si>
  <si>
    <t>Assess logistical implications of proposed site locations (e.g., road access, etc.)</t>
  </si>
  <si>
    <t>ImpactAgri Holdings/Agritech Faso/Third-party</t>
  </si>
  <si>
    <t>Utilise findings from mapping and assessment to optimise government policy and systems</t>
  </si>
  <si>
    <t>Travel and accomodation expenses to complete in-country forestry assessments and visits</t>
  </si>
  <si>
    <t>Travel and accomodation expenses to test various technologies and centre layout options</t>
  </si>
  <si>
    <t>Testing the performance of various technologies under real-world use</t>
  </si>
  <si>
    <t>Detailed architectural plans for storage hubs (e.g., cold storage centre which receive the butter output from multiple production centres), including transport containers</t>
  </si>
  <si>
    <t>Just Real UK/Third-party</t>
  </si>
  <si>
    <t>Design safe, cost-effective, hygenic, environmentally friendly, and appealing packaging for the shea butter</t>
  </si>
  <si>
    <t>Engage potential distributors and optimise distribution strategy for all the centres (trucks, train, airfreight, etc.)</t>
  </si>
  <si>
    <t>Develop complete PDD for project, aligning with the CDM methodologies and requirements</t>
  </si>
  <si>
    <t>Define MRV approach in line with the CDM methodologies and requirements</t>
  </si>
  <si>
    <t>Validate PDD under the CDM Gold Standard, enabling the verification of credits each year</t>
  </si>
  <si>
    <t>Travel and accomodation expenses to visit sites and complete PDD and MRV approach</t>
  </si>
  <si>
    <t>Meet criteria to ensure product can be certified carbon neutral and organic</t>
  </si>
  <si>
    <t>Define MRV approach in line with Carbon Trust Carbon Labels and Organic Standards</t>
  </si>
  <si>
    <t>Develop effective material for use during training that is optimised according to the specific social and cultural situation</t>
  </si>
  <si>
    <t>Travel and accomodation expenses to visit communities and collect social data</t>
  </si>
  <si>
    <t>Secure letters of intent and full offtake agreements, and even potential funding, from food and cosmetic offtakers</t>
  </si>
  <si>
    <t>Travel and accomodation expenses to visit sites with offtakers and secure interest</t>
  </si>
  <si>
    <t>Develop a comprehensive and transparent protocol for REDD+ MRV, enforced by a responsible government entity</t>
  </si>
  <si>
    <t>Detailed architectural plans for each centre, including 3D representations. The design needs to optimise the integration of the various processing technologies and utlitise reliable renewable energy sources.</t>
  </si>
  <si>
    <t>Line-by-line assessment and validation of capital requirements (including obtaining additional quotes for equipment, assessing transport and installation costs, confirming likely depreciation and financing options), and refining optimal capex timing</t>
  </si>
  <si>
    <t>Line-by-line assessment and validation of operational costs (including specific quotes and engagement with providers,  governments, benchmarking salaries, etc.), refining opex timing, and financing options (e.g., hire purchase)</t>
  </si>
  <si>
    <t>Development of comprehensive financial model, including investment requirements and potential returns (including engagement with potential investors to identify criteria to be met by project such as concessional finance, impact investors etc.)</t>
  </si>
  <si>
    <t>Conduct study on market for shea (revenue and pricing model)</t>
  </si>
  <si>
    <t>Remote-sensing / agent-based approach to optimise site location, logistics based on settlements, shea production, infrastructure - $50,000 (approx 1 Euro/km2 and 50,000km2 out of national area of 274,000km2;  Ground-truthing and assessment of preferred option ($40,000 - or $200 per location)</t>
  </si>
  <si>
    <t>Centre location social assessment</t>
  </si>
  <si>
    <t xml:space="preserve"> Identify potential organisational structures for CACs. Test structure with 3 separate CAC locations with varying contexts. Cost - increase to $20,000 ($5k development; $5k per location)</t>
  </si>
  <si>
    <t>Comprehensive in-country forestry assessment to set a credible baseline for the project. This will include ground-truthing involving 2 person days per CAC. (Cost to include) and a further $200  per CAC to integrate with remote-sensing information</t>
  </si>
  <si>
    <t>Integrate essential REDD+ environmental and social safeguards in both the project strategy and the government approach. Establish governance for management of SES process; identify key indicators based on social assessment; prepare consultations on indicators; prepare SES monitoring and assessment processes.</t>
  </si>
  <si>
    <t>Travel and accomodation expenses to visit sites and prepare process to meet carbon neutral and organic certifications - includes travel, etc. from someone such as SGS to review process and sites.</t>
  </si>
  <si>
    <t>Comprehensive assessment of the project's social implications, including data collection (interview, surveys, stakeholder meetings, etc.), baseline establishment, livelihood analyses, KPIs, etc. Will consist of a) Social baseline from existing information (demographics, income, institutions). B) Conducting Participatory Rural Appraisal (PRA) C) household survey data collection.  The approaches will be used at each CAC and cover existing livelihoods, community perceptions etc.</t>
  </si>
  <si>
    <t xml:space="preserve">Contacting potential stakeholders (government, technical suppliers, producers, offtakers, financiers, etc.), forming a consortium, and involving them in the development process. </t>
  </si>
  <si>
    <t>Contacting potential offtakers, and involving them in the project development process. Involves conducting telephone interviews with potential offtakers to understand buying criteria (e.g. price points, quality requirements, timing etc.)</t>
  </si>
  <si>
    <t>Comprehensive assessment of shea butter market to accurately predict market demand and pricing. Segment potential market and understand current volumes, growth, risks and opportunities for each segment.</t>
  </si>
  <si>
    <t>Unlikely to be covered by Readiness Funds</t>
  </si>
  <si>
    <t>May be too high?</t>
  </si>
  <si>
    <r>
      <t>Conduct a land-classification and land-use and biomass assessment (at sub 20m resolution)  This will support develop a baseline and provide for ongoing monitoring of settlements, roads and infrastructure. The data requirements will include current and historical data drawing from Landsat, Sentinel as well as other higher resolution data. The area assessed will be 10km</t>
    </r>
    <r>
      <rPr>
        <vertAlign val="superscript"/>
        <sz val="11"/>
        <color theme="1"/>
        <rFont val="Calibri"/>
        <family val="2"/>
        <scheme val="minor"/>
      </rPr>
      <t>2</t>
    </r>
    <r>
      <rPr>
        <sz val="11"/>
        <color theme="1"/>
        <rFont val="Calibri"/>
        <family val="2"/>
        <scheme val="minor"/>
      </rPr>
      <t xml:space="preserve"> for each CAC with approximate cost of $50/CAC and a further $30,000 set-up cost (i.e. $130,000 in total)</t>
    </r>
  </si>
  <si>
    <t>Peak kg/h:</t>
  </si>
  <si>
    <t>ANNUAL FIGURES</t>
  </si>
  <si>
    <t>($ million)</t>
  </si>
  <si>
    <t>EBITDA</t>
  </si>
  <si>
    <t>Debt</t>
  </si>
  <si>
    <t>Shareholders Funds</t>
  </si>
  <si>
    <t>Cumulative equity Investment</t>
  </si>
  <si>
    <t>Final model year</t>
  </si>
  <si>
    <t>INVESTMENT REQUIREMENTS</t>
  </si>
  <si>
    <t>Debt %</t>
  </si>
  <si>
    <t>Nature</t>
  </si>
  <si>
    <t>Export Credit</t>
  </si>
  <si>
    <t>Equipment</t>
  </si>
  <si>
    <t>Other</t>
  </si>
  <si>
    <t>Repayable Grant</t>
  </si>
  <si>
    <t>--------------</t>
  </si>
  <si>
    <t>Total investment</t>
  </si>
  <si>
    <t>ANNUAL FINANCING BY SOURCE</t>
  </si>
  <si>
    <t>Grant</t>
  </si>
  <si>
    <t>Concessional</t>
  </si>
  <si>
    <t>Mortgage</t>
  </si>
  <si>
    <t>Term loan</t>
  </si>
  <si>
    <t>Convertible Debt</t>
  </si>
  <si>
    <t>Overdraft/Trade Finance/Other short term debt</t>
  </si>
  <si>
    <t>Total</t>
  </si>
  <si>
    <t>Preference</t>
  </si>
  <si>
    <t xml:space="preserve">Common </t>
  </si>
  <si>
    <t>Founder</t>
  </si>
  <si>
    <t>Vendor</t>
  </si>
  <si>
    <t>Third party</t>
  </si>
  <si>
    <t>SUMMARY END OF YEAR BALANCES</t>
  </si>
  <si>
    <t>KEY RATIOS</t>
  </si>
  <si>
    <t>Net Debt:Total assets (exc cash)</t>
  </si>
  <si>
    <t>Net Debt:Equity</t>
  </si>
  <si>
    <t>Interest cover</t>
  </si>
  <si>
    <t>VALUATION</t>
  </si>
  <si>
    <t>Exit at end of year</t>
  </si>
  <si>
    <t>Date of exit</t>
  </si>
  <si>
    <t>date</t>
  </si>
  <si>
    <t>Total project life</t>
  </si>
  <si>
    <t>Terminal value calculation</t>
  </si>
  <si>
    <t>Final modelled year</t>
  </si>
  <si>
    <t>"Steady-state"cashflow</t>
  </si>
  <si>
    <t>Value on 30th June ===&gt;</t>
  </si>
  <si>
    <t>Based on exit multiple of EBITDA</t>
  </si>
  <si>
    <t>EQUITY</t>
  </si>
  <si>
    <t>Founders investment</t>
  </si>
  <si>
    <t>Vendors</t>
  </si>
  <si>
    <t>Third Party</t>
  </si>
  <si>
    <t>Implied premoney valuation</t>
  </si>
  <si>
    <t>Implied share for new investors</t>
  </si>
  <si>
    <t>Actual share allocated</t>
  </si>
  <si>
    <t>CAP TABLE</t>
  </si>
  <si>
    <t>Founders</t>
  </si>
  <si>
    <t>Series A</t>
  </si>
  <si>
    <t>Series B</t>
  </si>
  <si>
    <t>Series C</t>
  </si>
  <si>
    <t>Total Third Party</t>
  </si>
  <si>
    <t>DISTRIBUTION OF VALUE</t>
  </si>
  <si>
    <t>Based on EBITDA</t>
  </si>
  <si>
    <t>Total enterprise value</t>
  </si>
  <si>
    <t>Equity holders</t>
  </si>
  <si>
    <t>Total equity</t>
  </si>
  <si>
    <t>IRR (assuming no dividend payments)</t>
  </si>
  <si>
    <t>Total equity IRR</t>
  </si>
  <si>
    <t>Third Party by tranche</t>
  </si>
  <si>
    <t>Terms</t>
  </si>
  <si>
    <t>Drawdown Schedule (beginning of period)</t>
  </si>
  <si>
    <t>Principal Repayment Schedule (end of period)</t>
  </si>
  <si>
    <t>Interest Rate</t>
  </si>
  <si>
    <t>Termination date</t>
  </si>
  <si>
    <t>Interest accrued until</t>
  </si>
  <si>
    <t>Balance</t>
  </si>
  <si>
    <t>Opening Balance</t>
  </si>
  <si>
    <t>New draw down [FEEDS TO CASH FLOW]</t>
  </si>
  <si>
    <t>Grant amortised (charged to P&amp;L)</t>
  </si>
  <si>
    <t>Interest accrued</t>
  </si>
  <si>
    <t>Principal Repaid [FEEDS TO CASH FLOW] (end of period)</t>
  </si>
  <si>
    <t>Closing Balance [FEEDS TO B/S]</t>
  </si>
  <si>
    <t>Interest Calculation</t>
  </si>
  <si>
    <t>Interest Amount owed</t>
  </si>
  <si>
    <t>Accrued [FEEDS TO P&amp;L]</t>
  </si>
  <si>
    <t>Paid [FEEDS TO P&amp;L AND C/F]</t>
  </si>
  <si>
    <t>Term Loan</t>
  </si>
  <si>
    <t>CONVERTIBLE FINANCE</t>
  </si>
  <si>
    <t>Drawdown Schedule</t>
  </si>
  <si>
    <t>Principal Repayment Schedule</t>
  </si>
  <si>
    <t>Redemption</t>
  </si>
  <si>
    <t>Redemption premium</t>
  </si>
  <si>
    <t>Shares on conversion</t>
  </si>
  <si>
    <t>Value on redemption (feeds to Cashflow)</t>
  </si>
  <si>
    <t>Conversion date</t>
  </si>
  <si>
    <t xml:space="preserve">Interest accrued until </t>
  </si>
  <si>
    <t>Debt balance</t>
  </si>
  <si>
    <t>Opening Loan Balance</t>
  </si>
  <si>
    <t>New Debt drawn down [FEEDS TO CASH FLOW]</t>
  </si>
  <si>
    <t>Principal Repaid [FEEDS TO CASH FLOW]</t>
  </si>
  <si>
    <t>Principal converted to equity (FEEDS TO B/S)</t>
  </si>
  <si>
    <t>r</t>
  </si>
  <si>
    <t>Equity balance post-conversion</t>
  </si>
  <si>
    <t>Opening balance</t>
  </si>
  <si>
    <t>Equity on conversion</t>
  </si>
  <si>
    <t>Redemption [FEEDS TO B/S]</t>
  </si>
  <si>
    <t>Burkina Faso Shea Butter</t>
  </si>
  <si>
    <t>Sundry</t>
  </si>
  <si>
    <t>Storage</t>
  </si>
  <si>
    <t>Set-up</t>
  </si>
  <si>
    <t>Buildings</t>
  </si>
  <si>
    <t>Land</t>
  </si>
  <si>
    <t>Works</t>
  </si>
  <si>
    <t>Social</t>
  </si>
  <si>
    <t>Conservation</t>
  </si>
  <si>
    <r>
      <t>Operating losses and other costs/</t>
    </r>
    <r>
      <rPr>
        <sz val="11"/>
        <color rgb="FFFF0000"/>
        <rFont val="Calibri"/>
        <family val="2"/>
      </rPr>
      <t>(profits)</t>
    </r>
  </si>
  <si>
    <t>Grant amortisation</t>
  </si>
  <si>
    <t>Transaction costs for financing</t>
  </si>
  <si>
    <t>Interest on structured debt</t>
  </si>
  <si>
    <t>Other interest</t>
  </si>
  <si>
    <t>Centres</t>
  </si>
  <si>
    <t>MT/Centre</t>
  </si>
  <si>
    <t>Shea butter yield schedule per centre</t>
  </si>
  <si>
    <t>US$m</t>
  </si>
  <si>
    <t>Sites</t>
  </si>
  <si>
    <t>Fully operational processing centres installed that year</t>
  </si>
  <si>
    <t>Fully operational collection sites installed that year</t>
  </si>
  <si>
    <t># of sites</t>
  </si>
  <si>
    <t>Processing Centre - Asset Life (Depreciation)</t>
  </si>
  <si>
    <t>Processing Centre - General capex</t>
  </si>
  <si>
    <t>Collection Site - Asset Life (Depreciation)</t>
  </si>
  <si>
    <t>Collection Site - General capex</t>
  </si>
  <si>
    <t>Collection site</t>
  </si>
  <si>
    <t>Processing centre</t>
  </si>
  <si>
    <t>Shea butter yield schedule per processing centre</t>
  </si>
  <si>
    <t>Collection sites capex</t>
  </si>
  <si>
    <t>Total collection site capex</t>
  </si>
  <si>
    <t>Processing centres capex</t>
  </si>
  <si>
    <t>Collection site maintenance</t>
  </si>
  <si>
    <t>Total collection site maintenance</t>
  </si>
  <si>
    <t>Processing centre maintenance</t>
  </si>
  <si>
    <t>Total processing centre maintenance</t>
  </si>
  <si>
    <t>Total operational collection sites installed</t>
  </si>
  <si>
    <t>Total processing centre capex</t>
  </si>
  <si>
    <t>AVERAGE LIFE OF PROCESSING CENTRE</t>
  </si>
  <si>
    <t>Collection site opex</t>
  </si>
  <si>
    <t>Processing centre opex</t>
  </si>
  <si>
    <t>Collection Site Management costs</t>
  </si>
  <si>
    <t>Processing Centre Management costs</t>
  </si>
  <si>
    <t>Training</t>
  </si>
  <si>
    <t>Processing centre management costs</t>
  </si>
  <si>
    <t>Collection site management costs</t>
  </si>
  <si>
    <t>Production-based Operational Costs</t>
  </si>
  <si>
    <t>Collection site operating costs</t>
  </si>
  <si>
    <t>AVERAGE LIFE OF COLLECTION SITE</t>
  </si>
  <si>
    <t>Processing centre operating costs</t>
  </si>
  <si>
    <t>Total number of processing centres</t>
  </si>
  <si>
    <t>Finance 1</t>
  </si>
  <si>
    <t>Finance 2</t>
  </si>
  <si>
    <t>Finance 3</t>
  </si>
  <si>
    <t>Processing Centres</t>
  </si>
  <si>
    <t>Collection Sites</t>
  </si>
  <si>
    <t>MT/Processing Centre</t>
  </si>
  <si>
    <t>Annual Training</t>
  </si>
  <si>
    <t>Management Team</t>
  </si>
  <si>
    <t>Technology</t>
  </si>
  <si>
    <t>Administration &amp; Marketing</t>
  </si>
  <si>
    <t>Equipment maintenance capex</t>
  </si>
  <si>
    <t>Total operational processing centres installed</t>
  </si>
  <si>
    <t>Collection sites installed that year</t>
  </si>
  <si>
    <t>Processing centres installed that year</t>
  </si>
  <si>
    <t>Regional management costs per 10 processing centres</t>
  </si>
  <si>
    <t>MT/PC</t>
  </si>
  <si>
    <t>XAF/CC</t>
  </si>
  <si>
    <t>XAF/PC</t>
  </si>
  <si>
    <t>Needs to be per MT (and OPEX cost?)</t>
  </si>
  <si>
    <t>Need to discuss how this is presented with JMB</t>
  </si>
  <si>
    <t>Needs to be linked to volume of the CC</t>
  </si>
  <si>
    <t>Remove this line</t>
  </si>
  <si>
    <t>Change to 1.3$/kg ; Assume price remains constant irrespective of end sale -- or the price is % of end price!</t>
  </si>
  <si>
    <t>Market 4: TBC</t>
  </si>
  <si>
    <t>Market 5: TBC</t>
  </si>
  <si>
    <t>Market 6: TBC</t>
  </si>
  <si>
    <t>Market 7: TBC</t>
  </si>
  <si>
    <t>Market 8: TBC</t>
  </si>
  <si>
    <t>Market 3: Food / confectionary market</t>
  </si>
  <si>
    <t>Market 1: Cosmetic markets (standard)</t>
  </si>
  <si>
    <t>Market 2: Cosmetic markets (organic)</t>
  </si>
  <si>
    <t>Social returns</t>
  </si>
  <si>
    <t>Profit share (invested into community fund)</t>
  </si>
  <si>
    <t>% profit share</t>
  </si>
  <si>
    <t>Community fund</t>
  </si>
  <si>
    <t>Butter provided free to women's groups as a bonus</t>
  </si>
  <si>
    <t>% total volume (further centres)</t>
  </si>
  <si>
    <t>% total volume (initial pilot)</t>
  </si>
  <si>
    <t>Base year</t>
  </si>
  <si>
    <t>Period no</t>
  </si>
  <si>
    <t>Start date</t>
  </si>
  <si>
    <t>End date</t>
  </si>
  <si>
    <t>UNITS</t>
  </si>
  <si>
    <t>Days in period</t>
  </si>
  <si>
    <t>General Inputs</t>
  </si>
  <si>
    <t>General</t>
  </si>
  <si>
    <t>Company name</t>
  </si>
  <si>
    <t>Serious Shea SARL</t>
  </si>
  <si>
    <t>Project title</t>
  </si>
  <si>
    <t>Pilot Clean Activity Centre</t>
  </si>
  <si>
    <t>AECF reference</t>
  </si>
  <si>
    <t>AECF Round</t>
  </si>
  <si>
    <t>Year 1 Start date</t>
  </si>
  <si>
    <t>Date</t>
  </si>
  <si>
    <t>Start quarter</t>
  </si>
  <si>
    <t>Quarter</t>
  </si>
  <si>
    <t>Macroeconomic data</t>
  </si>
  <si>
    <t>Inflation rate</t>
  </si>
  <si>
    <t>NPV Discount rate (WACC)</t>
  </si>
  <si>
    <t>Matching funds ratio</t>
  </si>
  <si>
    <t>Sales</t>
  </si>
  <si>
    <t>Units sold per product in baseline year</t>
  </si>
  <si>
    <t>Product name</t>
  </si>
  <si>
    <t>Units</t>
  </si>
  <si>
    <t>Unrefined Shea butter (cosmetic application)</t>
  </si>
  <si>
    <t>Tonnes</t>
  </si>
  <si>
    <t>Unrefined organic shea butter (cosmetic application)</t>
  </si>
  <si>
    <t>Price per unit for each product</t>
  </si>
  <si>
    <t>Trade debtors</t>
  </si>
  <si>
    <t>Percentage of sales on credit</t>
  </si>
  <si>
    <t>Days to collect credit sales</t>
  </si>
  <si>
    <t>Trade debtors Base Year Closing Balance</t>
  </si>
  <si>
    <t>Input Costs</t>
  </si>
  <si>
    <t>Total annual costs</t>
  </si>
  <si>
    <t>Inputs</t>
  </si>
  <si>
    <t>Stocks</t>
  </si>
  <si>
    <t>Days for stocks turnover</t>
  </si>
  <si>
    <t>Stocks Base Year Closing Balance</t>
  </si>
  <si>
    <t>Trade creditors</t>
  </si>
  <si>
    <t>Percentage of purchases on credit</t>
  </si>
  <si>
    <t>Days to pay back credit purchases</t>
  </si>
  <si>
    <t>Trade creditors Base Year Closing Balance</t>
  </si>
  <si>
    <t>Average daily wage rate for casual Labourers</t>
  </si>
  <si>
    <t>Grades</t>
  </si>
  <si>
    <t>Number of casual labourers per grade per year</t>
  </si>
  <si>
    <t>Number</t>
  </si>
  <si>
    <t>Total part time employees</t>
  </si>
  <si>
    <t>Number of casual labourers by gender</t>
  </si>
  <si>
    <t>Part time male employees (over 35 yrs)</t>
  </si>
  <si>
    <t>Part time male employees (35 yrs and under)</t>
  </si>
  <si>
    <t>Part time female employees (over 35 yrs)</t>
  </si>
  <si>
    <t>Part time female employees (35 yrs and under)</t>
  </si>
  <si>
    <t>Average number of man-days worked by each worker per grade</t>
  </si>
  <si>
    <t>Days per Year</t>
  </si>
  <si>
    <t>Salaries</t>
  </si>
  <si>
    <t>Average annual salary for full time employees per grade</t>
  </si>
  <si>
    <t>Number of full time employees per grade</t>
  </si>
  <si>
    <t>Total full time employees</t>
  </si>
  <si>
    <t>Number of full time employees by gender</t>
  </si>
  <si>
    <t>Full time male employees (35 years old and over)</t>
  </si>
  <si>
    <t>Full time male employees (under 35 years old)</t>
  </si>
  <si>
    <t>Full time female employees (35 years old and over)</t>
  </si>
  <si>
    <t>Full time female employees (under 35 years old)</t>
  </si>
  <si>
    <t>Operating costs</t>
  </si>
  <si>
    <t>Utility costs per year</t>
  </si>
  <si>
    <t>Type of costs</t>
  </si>
  <si>
    <t>Operations and maintenance costs per year</t>
  </si>
  <si>
    <t>Marketing and distribution costs per year</t>
  </si>
  <si>
    <t>Marketing costs</t>
  </si>
  <si>
    <t>Distribution costs as a % of sales</t>
  </si>
  <si>
    <t>Professional services fees per year</t>
  </si>
  <si>
    <t>Other expenses</t>
  </si>
  <si>
    <t>Other Income</t>
  </si>
  <si>
    <t>Sources of other income</t>
  </si>
  <si>
    <t>Non Current Assets</t>
  </si>
  <si>
    <t>Base year net book values</t>
  </si>
  <si>
    <t>Plant and machinery</t>
  </si>
  <si>
    <t>Vehicles</t>
  </si>
  <si>
    <t>Computers</t>
  </si>
  <si>
    <t>Fixtures and furniture</t>
  </si>
  <si>
    <t>Intangible assets</t>
  </si>
  <si>
    <t>Remaining useful lives of base year assets</t>
  </si>
  <si>
    <t>Capital expenditure (Additions)</t>
  </si>
  <si>
    <t>Useful lives of additions</t>
  </si>
  <si>
    <t>Disposal of non current assets</t>
  </si>
  <si>
    <t>Additions to work in progress</t>
  </si>
  <si>
    <t>Length of period before transfer to fixed assets</t>
  </si>
  <si>
    <t>Biological assets</t>
  </si>
  <si>
    <t>End year book value</t>
  </si>
  <si>
    <t>Other current Assets</t>
  </si>
  <si>
    <t>Account balances</t>
  </si>
  <si>
    <t>Bank/Other Non-AECF Loans</t>
  </si>
  <si>
    <t>Bank/Other loans opening balances</t>
  </si>
  <si>
    <t>Loan</t>
  </si>
  <si>
    <t>Outstanding interest on existing bank/non-AECF loans</t>
  </si>
  <si>
    <t>Annual bank/non-AECF loan draw downs (matching funds)</t>
  </si>
  <si>
    <t>Percentage of annual bank/non-AECF loan draw downs per quarter</t>
  </si>
  <si>
    <t>1st Quarter</t>
  </si>
  <si>
    <t>2nd Quarter</t>
  </si>
  <si>
    <t>3rd Quarter</t>
  </si>
  <si>
    <t>4th Quarter</t>
  </si>
  <si>
    <t>Bank/Non-AECF loan interest rates</t>
  </si>
  <si>
    <t>Bank/Non-AECF loan principal repayments</t>
  </si>
  <si>
    <t>Percentage of annual bank/non-AECF loan principal repaid per quarter</t>
  </si>
  <si>
    <t>AECF Loan &amp; Grant</t>
  </si>
  <si>
    <t>Loan draw downs and repayment</t>
  </si>
  <si>
    <t>Annual draw down</t>
  </si>
  <si>
    <t>Principal repayments</t>
  </si>
  <si>
    <t>AECF Grant</t>
  </si>
  <si>
    <t>Percentage of annual AECF loan draw downs per quarter</t>
  </si>
  <si>
    <t>Percentage of annual AECF loan principal repayments per quarter</t>
  </si>
  <si>
    <t>Percentage of AECF grant drawn down per quarter</t>
  </si>
  <si>
    <t>Percentage of AECF funding in the fourth quarter of the last year</t>
  </si>
  <si>
    <t>Percentage of AECF funding</t>
  </si>
  <si>
    <t>Other current Liabilities</t>
  </si>
  <si>
    <t>Account balances - current liabilities</t>
  </si>
  <si>
    <t>In-kind Contributions (matching funds)</t>
  </si>
  <si>
    <t>Pre-contract in-kind contributions</t>
  </si>
  <si>
    <t>Total operational in -kind contributions</t>
  </si>
  <si>
    <t>Operational in-kind contributions</t>
  </si>
  <si>
    <t>Quarterly allocation of operational in-kind contributions</t>
  </si>
  <si>
    <t>Additions of in-kind assets</t>
  </si>
  <si>
    <t>Asset</t>
  </si>
  <si>
    <t>Quarterly allocation of additions of in-kind assets</t>
  </si>
  <si>
    <t>Useful lives of in-kind assets</t>
  </si>
  <si>
    <t>Tax assumptions</t>
  </si>
  <si>
    <t>Corporation tax rate</t>
  </si>
  <si>
    <t>Tax loss carry forward period</t>
  </si>
  <si>
    <t>Loss carry forward (to offset against future taxes)</t>
  </si>
  <si>
    <t>Tax holiday after base year</t>
  </si>
  <si>
    <t>Cash</t>
  </si>
  <si>
    <t>Cash balance</t>
  </si>
  <si>
    <t>Cash balance as at base year</t>
  </si>
  <si>
    <t>Overdraft</t>
  </si>
  <si>
    <t>Overdraft annual interest rate</t>
  </si>
  <si>
    <t>Maximum overdraft facility</t>
  </si>
  <si>
    <t>Overdraft Base Year Closing Balance</t>
  </si>
  <si>
    <t>Capital and Reserves</t>
  </si>
  <si>
    <t>Capital contributions (matching funds)</t>
  </si>
  <si>
    <t>Applicant's contributions</t>
  </si>
  <si>
    <t>Other contributors</t>
  </si>
  <si>
    <t>Percentage of capital contributions per quarter</t>
  </si>
  <si>
    <t>Allocation of pre-contract contributions/equity</t>
  </si>
  <si>
    <t>Matching funds</t>
  </si>
  <si>
    <t>Non-matching funds</t>
  </si>
  <si>
    <t>Total contributions</t>
  </si>
  <si>
    <t>Accumulated profit/loss</t>
  </si>
  <si>
    <t>Accumulated profit/loss Base Year Closing Balance</t>
  </si>
  <si>
    <t>Dividend inputs</t>
  </si>
  <si>
    <t>Dividend payout ratio</t>
  </si>
  <si>
    <t>Minimum cash balance before dividend payout</t>
  </si>
  <si>
    <t>Additional matching funds</t>
  </si>
  <si>
    <t>Annual amounts</t>
  </si>
  <si>
    <t>End of Sheet</t>
  </si>
  <si>
    <t>NOTE: OPEX INFLATION ONLY</t>
  </si>
  <si>
    <t>Collection site transport costs</t>
  </si>
  <si>
    <t>Intangible</t>
  </si>
  <si>
    <t>Security and technical staff</t>
  </si>
  <si>
    <t>Manager</t>
  </si>
  <si>
    <t>Shea kernel purchase price from women's groups</t>
  </si>
  <si>
    <t>Shea kernels purchased from women's groups</t>
  </si>
  <si>
    <t>USD per Unit</t>
  </si>
  <si>
    <t>Serious Shea SARL Business Plan</t>
  </si>
  <si>
    <t>Round 2</t>
  </si>
  <si>
    <t>All inputs ok</t>
  </si>
  <si>
    <t>Allocation is OK</t>
  </si>
  <si>
    <t>Period is OK</t>
  </si>
  <si>
    <t>Repayments are OK</t>
  </si>
  <si>
    <t>Overdraft is OK</t>
  </si>
  <si>
    <t>Inputs are OK</t>
  </si>
  <si>
    <t>Proportion of shea kernels purchased from women's groups</t>
  </si>
  <si>
    <t>% shea kernels purchased from women's groups</t>
  </si>
  <si>
    <t>Shea kernel yield schedule per collection site</t>
  </si>
  <si>
    <t>MT/CC</t>
  </si>
  <si>
    <t>Shea kernel yield schedule per collection centre</t>
  </si>
  <si>
    <t>MT/Collection Site</t>
  </si>
  <si>
    <t>Total shea kernels produced by collection sites</t>
  </si>
  <si>
    <t>Total quantity of shea kernels retained by women's groups</t>
  </si>
  <si>
    <t>Cost of using collection site processing equipment to process shea kernels</t>
  </si>
  <si>
    <t>Gain Share</t>
  </si>
  <si>
    <t>Total shea butter kept by producers / not export quality</t>
  </si>
  <si>
    <t>Allocation for local consumption / not export quality</t>
  </si>
  <si>
    <t>Kernel-to-butter conversion percentage</t>
  </si>
  <si>
    <t>Revenue per collection centre per year</t>
  </si>
  <si>
    <t>Fuel</t>
  </si>
  <si>
    <t>Processing fee to use Collection Centre</t>
  </si>
  <si>
    <t>Shea kernel processing fee from women's groups</t>
  </si>
  <si>
    <t>Shea - Market and pricing</t>
  </si>
  <si>
    <t>Market 1</t>
  </si>
  <si>
    <t>Shea processing fee</t>
  </si>
  <si>
    <t>Mango processing fee</t>
  </si>
  <si>
    <t>Dried mango yield schedule per collection site</t>
  </si>
  <si>
    <t>Total dried mango produced by centres</t>
  </si>
  <si>
    <t>Dried mango yield schedule per processing centre</t>
  </si>
  <si>
    <t>Mango sales</t>
  </si>
  <si>
    <t>Mango sales price</t>
  </si>
  <si>
    <t>Fuel sales</t>
  </si>
  <si>
    <t>Dried mango purchased from women's groups</t>
  </si>
  <si>
    <t>Dried mango - Market and pricing</t>
  </si>
  <si>
    <t>Maintenance</t>
  </si>
  <si>
    <t>Conversion</t>
  </si>
  <si>
    <t>Sites Installed</t>
  </si>
  <si>
    <t>Yield</t>
  </si>
  <si>
    <t>Shea Production Assumptions</t>
  </si>
  <si>
    <t>Dried Mango Production Assumptions</t>
  </si>
  <si>
    <t>Purchase price of shea kernels from women's groups</t>
  </si>
  <si>
    <t>Proportion of dried mango purchased from women's groups</t>
  </si>
  <si>
    <t>Purchase price of dried mango from women's groups</t>
  </si>
  <si>
    <t>Operating Costs</t>
  </si>
  <si>
    <t>Markets &amp; Pricing</t>
  </si>
  <si>
    <t>Profit share</t>
  </si>
  <si>
    <t>Supplementary Income</t>
  </si>
  <si>
    <t>Dried mango processing fee from women's groups</t>
  </si>
  <si>
    <t>Dried mango purchase price from women's groups</t>
  </si>
  <si>
    <t>% dried mango purchased from women's groups</t>
  </si>
  <si>
    <t>Solar Power Vendor</t>
  </si>
  <si>
    <t>Serious Shea Founding Partners</t>
  </si>
  <si>
    <t>Collection site annual training</t>
  </si>
  <si>
    <t>Processing centre security and technical staff</t>
  </si>
  <si>
    <t>Processing centre supervision &amp; monitoring staff</t>
  </si>
  <si>
    <t>Processing centre transport costs</t>
  </si>
  <si>
    <t>Forestry fund</t>
  </si>
  <si>
    <t>Collection site security and technical staff</t>
  </si>
  <si>
    <t>Collection site supervision &amp; monitoring staff</t>
  </si>
  <si>
    <t>INCLUDED IN MANAGEMENT COSTS</t>
  </si>
  <si>
    <t>SOLAR PV AND RECYCLED WATER USED</t>
  </si>
  <si>
    <t>Unrefined shea butter (food application)</t>
  </si>
  <si>
    <t>0037</t>
  </si>
  <si>
    <t xml:space="preserve">Shea Butter Production, Burkina Faso
</t>
  </si>
  <si>
    <t>Development of collection sites and processing centres for shea butter in Burkina Faso, providing the processing equipment and training for local women's groups to process shea butter safely and cleanly, while preserving/reforesting the local shea tree population. The project will also provide the women's groups with better access-to-market and significantly more lucrative revenue streams than they currently achieve.</t>
  </si>
  <si>
    <t xml:space="preserve">  -  Concessional debt</t>
  </si>
  <si>
    <t>Total operating costs</t>
  </si>
  <si>
    <t>Concessional debt</t>
  </si>
  <si>
    <t>Regional management costs per 30 sites</t>
  </si>
  <si>
    <t>Capital Employed</t>
  </si>
  <si>
    <t>XAF/USD</t>
  </si>
  <si>
    <t>USD Conversion</t>
  </si>
  <si>
    <t>USD</t>
  </si>
  <si>
    <t>USD/CC</t>
  </si>
  <si>
    <t>USD/PC</t>
  </si>
  <si>
    <t>USD/MT</t>
  </si>
  <si>
    <t>USD/CAC</t>
  </si>
  <si>
    <t xml:space="preserve">  Please use dropdown (Yes = includes carbon savings on Carbon Data sheet at USD4/tCO2e)</t>
  </si>
  <si>
    <t>USD/Collection Site</t>
  </si>
  <si>
    <t>USD/Processing Centre</t>
  </si>
  <si>
    <t>'000 USD</t>
  </si>
  <si>
    <t>Unit cost (USD)</t>
  </si>
  <si>
    <t>Total Cost (USD)</t>
  </si>
  <si>
    <t>Unit Revenue (USD)</t>
  </si>
  <si>
    <t>Total Revenue per year (USD)</t>
  </si>
  <si>
    <t>USD/day</t>
  </si>
  <si>
    <t>XAF &amp; USD</t>
  </si>
  <si>
    <t>Price (Yr1) USD/tonne</t>
  </si>
  <si>
    <t>USD per unit</t>
  </si>
  <si>
    <t>Amount in USD</t>
  </si>
  <si>
    <t>USD per Day</t>
  </si>
  <si>
    <t>USD DEBT</t>
  </si>
  <si>
    <t>African Development Bank - Preparation Activities</t>
  </si>
  <si>
    <t>World Bank - Preparation Activities</t>
  </si>
  <si>
    <t>Funds provided to women's groups for kernels</t>
  </si>
  <si>
    <t>Processing centre transport staff</t>
  </si>
  <si>
    <t>Collection site transport staff</t>
  </si>
  <si>
    <t>Ware house </t>
  </si>
  <si>
    <t>Length</t>
  </si>
  <si>
    <t>Width </t>
  </si>
  <si>
    <t>Hight</t>
  </si>
  <si>
    <t>Volum
(CM)</t>
  </si>
  <si>
    <t>Unit cost</t>
  </si>
  <si>
    <t>Cost</t>
  </si>
  <si>
    <t>Transportation</t>
  </si>
  <si>
    <t>Weight (Kgs)</t>
  </si>
  <si>
    <t>Distance</t>
  </si>
  <si>
    <t>Amount </t>
  </si>
  <si>
    <t>Remarks</t>
  </si>
  <si>
    <t>Meter</t>
  </si>
  <si>
    <t>CFA</t>
  </si>
  <si>
    <t>KGs</t>
  </si>
  <si>
    <t>Km</t>
  </si>
  <si>
    <t>Small size water house</t>
  </si>
  <si>
    <t>Internal transport from the farm gate to a store   </t>
  </si>
  <si>
    <t>head load</t>
  </si>
  <si>
    <t>! CFA= USD</t>
  </si>
  <si>
    <t>Capital and infrastructure costs to set up a modern Shea Butter production unit</t>
  </si>
  <si>
    <t>Designation</t>
  </si>
  <si>
    <t>Quantities</t>
  </si>
  <si>
    <t xml:space="preserve">Total Cost </t>
  </si>
  <si>
    <t>FCA</t>
  </si>
  <si>
    <t xml:space="preserve">Assets specific to almond  production </t>
  </si>
  <si>
    <t>SUBTOTAL 1</t>
  </si>
  <si>
    <t>Assets specific to the production of butter</t>
  </si>
  <si>
    <t>Subtotal 2</t>
  </si>
  <si>
    <t>To pool assets for the production of almonds and shea butter</t>
  </si>
  <si>
    <t>Land 1000 m2</t>
  </si>
  <si>
    <t>Environmental Impact Study Cost</t>
  </si>
  <si>
    <t>Drilling, hydraulic fixtures and other facilities</t>
  </si>
  <si>
    <t>Wastewater treatment facilities</t>
  </si>
  <si>
    <t>Development of the constitution and bylaws of texts, training, registration cost of the COOP-CA cooperative society</t>
  </si>
  <si>
    <t xml:space="preserve">Generator </t>
  </si>
  <si>
    <t>Solar panel + installation cost</t>
  </si>
  <si>
    <t>administrative buildings</t>
  </si>
  <si>
    <t>Office equipment and furniture</t>
  </si>
  <si>
    <t>Computer equipment and accessories (printer, internet key) + facilities</t>
  </si>
  <si>
    <t xml:space="preserve">Weighing machine </t>
  </si>
  <si>
    <t>Software and Training</t>
  </si>
  <si>
    <t>SUBTOTAL 3</t>
  </si>
  <si>
    <t>TOTAL (1 + 2 + 3)</t>
  </si>
  <si>
    <t>Centralised capex</t>
  </si>
  <si>
    <t>Regional management costs per 4 processing centres</t>
  </si>
  <si>
    <t>Implementation &amp; Management Costs for Full Expansion (10 Collection Site &amp; 4 Processing Centres)</t>
  </si>
  <si>
    <t>Assumptions used for USAID/GAS grant submissions</t>
  </si>
  <si>
    <t>Labor</t>
  </si>
  <si>
    <t>Assumption determined by the AECF;Updated 11/4 on www.xe.com</t>
  </si>
  <si>
    <t>Processing centre General Manager costs</t>
  </si>
  <si>
    <t>Animatrices &amp; field agents</t>
  </si>
  <si>
    <t>Community share</t>
  </si>
  <si>
    <t>Landscaping</t>
  </si>
  <si>
    <t>Building</t>
  </si>
  <si>
    <t>Water system</t>
  </si>
  <si>
    <t>Electricity</t>
  </si>
  <si>
    <t>Waste management including biogas</t>
  </si>
  <si>
    <t>Fruit bubble washing machine Contact www.pasenmachinery.com</t>
  </si>
  <si>
    <t>Depulping tables</t>
  </si>
  <si>
    <t>Steamer</t>
  </si>
  <si>
    <t>Hangar dryer</t>
  </si>
  <si>
    <t>Shelling machine,  Henan My Only Food Machine Co., Ltd.</t>
  </si>
  <si>
    <t xml:space="preserve">Almond Packaging </t>
  </si>
  <si>
    <t>Pulp dryer</t>
  </si>
  <si>
    <t>Thermal installation</t>
  </si>
  <si>
    <t>Dried pulp packaging machine  Zhejiang Ruibao Packaging Machine Co., Ltd.</t>
  </si>
  <si>
    <t>Dried pulp packaging table</t>
  </si>
  <si>
    <t>Production tools</t>
  </si>
  <si>
    <t>Transport Installation and Commissioning</t>
  </si>
  <si>
    <t>Vehicules</t>
  </si>
  <si>
    <t>Water System</t>
  </si>
  <si>
    <t>Waste Management</t>
  </si>
  <si>
    <t>Dry cleaner NSD 0</t>
  </si>
  <si>
    <t xml:space="preserve">Crusher </t>
  </si>
  <si>
    <t>Shea nut drying/roasting unit</t>
  </si>
  <si>
    <t>Press MBU 40</t>
  </si>
  <si>
    <t>Filter Kinetic</t>
  </si>
  <si>
    <t>Packaging Filling and labelling machine</t>
  </si>
  <si>
    <t>Packaging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</si>
</sst>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2">
    <numFmt numFmtId="42" formatCode="_-&quot;£&quot;* #,##0_-;\-&quot;£&quot;* #,##0_-;_-&quot;£&quot;* &quot;-&quot;_-;_-@_-"/>
    <numFmt numFmtId="41" formatCode="_-* #,##0_-;\-* #,##0_-;_-* &quot;-&quot;_-;_-@_-"/>
    <numFmt numFmtId="44" formatCode="_-&quot;£&quot;* #,##0.00_-;\-&quot;£&quot;* #,##0.00_-;_-&quot;£&quot;* &quot;-&quot;??_-;_-@_-"/>
    <numFmt numFmtId="43" formatCode="_-* #,##0.00_-;\-* #,##0.00_-;_-* &quot;-&quot;??_-;_-@_-"/>
    <numFmt numFmtId="164" formatCode="_(* #,##0.00_);_(* \(#,##0.00\);_(* &quot;-&quot;??_);_(@_)"/>
    <numFmt numFmtId="165" formatCode="_-* #,##0_-;\-* #,##0_-;_-* &quot;-&quot;??_-;_-@_-"/>
    <numFmt numFmtId="166" formatCode="0.0"/>
    <numFmt numFmtId="167" formatCode="#,##0_ ;[Red]\-#,##0\ "/>
    <numFmt numFmtId="168" formatCode="[$$-409]#,##0.00"/>
    <numFmt numFmtId="169" formatCode="0.0000"/>
    <numFmt numFmtId="170" formatCode="0.0%"/>
    <numFmt numFmtId="171" formatCode="_-[$€-2]* #,##0.00_-;\-[$€-2]* #,##0.00_-;_-[$€-2]* &quot;-&quot;??_-"/>
    <numFmt numFmtId="172" formatCode="[&gt;0.5]#,##0;[&lt;-0.5]\-#,##0;\-"/>
    <numFmt numFmtId="173" formatCode="_-* #,##0\ _F_-;\-* #,##0\ _F_-;_-* &quot;-&quot;\ _F_-;_-@_-"/>
    <numFmt numFmtId="174" formatCode="_-* #,##0.00\ _F_-;\-* #,##0.00\ _F_-;_-* &quot;-&quot;??\ _F_-;_-@_-"/>
    <numFmt numFmtId="175" formatCode="_-* #,##0\ &quot;F&quot;_-;\-* #,##0\ &quot;F&quot;_-;_-* &quot;-&quot;\ &quot;F&quot;_-;_-@_-"/>
    <numFmt numFmtId="176" formatCode="_-* #,##0.00\ &quot;F&quot;_-;\-* #,##0.00\ &quot;F&quot;_-;_-* &quot;-&quot;??\ &quot;F&quot;_-;_-@_-"/>
    <numFmt numFmtId="177" formatCode="###.0"/>
    <numFmt numFmtId="178" formatCode="0.000"/>
    <numFmt numFmtId="179" formatCode="##.0"/>
    <numFmt numFmtId="180" formatCode="#,###,##0"/>
    <numFmt numFmtId="181" formatCode="_-&quot;öS&quot;\ * #,##0_-;\-&quot;öS&quot;\ * #,##0_-;_-&quot;öS&quot;\ * &quot;-&quot;_-;_-@_-"/>
    <numFmt numFmtId="182" formatCode="_-&quot;öS&quot;\ * #,##0.00_-;\-&quot;öS&quot;\ * #,##0.00_-;_-&quot;öS&quot;\ * &quot;-&quot;??_-;_-@_-"/>
    <numFmt numFmtId="183" formatCode="#,##0.00_ ;[Red]\-#,##0.00\ "/>
    <numFmt numFmtId="184" formatCode="_ * #,##0.00_ ;_ * \-#,##0.00_ ;_ * &quot;-&quot;??_ ;_ @_ "/>
    <numFmt numFmtId="185" formatCode="#,##0.0"/>
    <numFmt numFmtId="186" formatCode="_(* #,##0_);_(* \(#,##0\);_(* &quot;-&quot;??_);_(@_)"/>
    <numFmt numFmtId="187" formatCode="#,##0;[Red]\(#,##0\);\-"/>
    <numFmt numFmtId="188" formatCode="0_ ;[Red]\-0\ "/>
    <numFmt numFmtId="189" formatCode="[$-409]d\-mmm\-yy;@"/>
    <numFmt numFmtId="190" formatCode="dd\ mmm\ yy"/>
    <numFmt numFmtId="191" formatCode="0.00%;[Red]\(0.00%\);0.00%"/>
  </numFmts>
  <fonts count="109" x14ac:knownFonts="1">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rgb="FFFF0000"/>
      <name val="Calibri"/>
      <family val="2"/>
      <scheme val="minor"/>
    </font>
    <font>
      <sz val="11"/>
      <color theme="0"/>
      <name val="Calibri"/>
      <family val="2"/>
      <scheme val="minor"/>
    </font>
    <font>
      <u/>
      <sz val="11"/>
      <color theme="10"/>
      <name val="Calibri"/>
      <family val="2"/>
      <scheme val="minor"/>
    </font>
    <font>
      <b/>
      <u/>
      <sz val="11"/>
      <color theme="1"/>
      <name val="Calibri"/>
      <family val="2"/>
      <scheme val="minor"/>
    </font>
    <font>
      <u/>
      <sz val="11"/>
      <color theme="1"/>
      <name val="Calibri"/>
      <family val="2"/>
      <scheme val="minor"/>
    </font>
    <font>
      <b/>
      <sz val="11"/>
      <color indexed="8"/>
      <name val="Calibri"/>
      <family val="2"/>
      <scheme val="minor"/>
    </font>
    <font>
      <sz val="11"/>
      <color rgb="FF000000"/>
      <name val="Calibri"/>
      <family val="2"/>
      <scheme val="minor"/>
    </font>
    <font>
      <b/>
      <sz val="11"/>
      <name val="Calibri"/>
      <family val="2"/>
      <scheme val="minor"/>
    </font>
    <font>
      <sz val="10"/>
      <name val="Arial"/>
      <family val="2"/>
    </font>
    <font>
      <sz val="8"/>
      <color theme="1"/>
      <name val="Calibri"/>
      <family val="2"/>
      <scheme val="minor"/>
    </font>
    <font>
      <sz val="11"/>
      <color theme="0" tint="-0.499984740745262"/>
      <name val="Calibri"/>
      <family val="2"/>
      <scheme val="minor"/>
    </font>
    <font>
      <b/>
      <sz val="11"/>
      <color rgb="FFFF0000"/>
      <name val="Calibri"/>
      <family val="2"/>
      <scheme val="minor"/>
    </font>
    <font>
      <sz val="12"/>
      <color theme="1"/>
      <name val="Calibri"/>
      <family val="2"/>
      <scheme val="minor"/>
    </font>
    <font>
      <b/>
      <sz val="10"/>
      <color rgb="FF000000"/>
      <name val="Calibri"/>
      <family val="2"/>
    </font>
    <font>
      <sz val="10"/>
      <color rgb="FF000000"/>
      <name val="Calibri"/>
      <family val="2"/>
    </font>
    <font>
      <b/>
      <sz val="11"/>
      <color theme="1"/>
      <name val="Calibri"/>
      <family val="2"/>
    </font>
    <font>
      <sz val="11"/>
      <color theme="1"/>
      <name val="Calibri"/>
      <family val="2"/>
    </font>
    <font>
      <sz val="11"/>
      <color rgb="FF000000"/>
      <name val="Calibri"/>
      <family val="2"/>
    </font>
    <font>
      <b/>
      <sz val="11"/>
      <color rgb="FF000000"/>
      <name val="Calibri"/>
      <family val="2"/>
      <scheme val="minor"/>
    </font>
    <font>
      <sz val="8"/>
      <name val="Helv"/>
    </font>
    <font>
      <sz val="8"/>
      <name val="Arial"/>
      <family val="2"/>
    </font>
    <font>
      <sz val="12"/>
      <color indexed="52"/>
      <name val="Arial"/>
      <family val="2"/>
    </font>
    <font>
      <sz val="10"/>
      <name val="Arial Cyr"/>
      <charset val="204"/>
    </font>
    <font>
      <b/>
      <sz val="10"/>
      <color indexed="8"/>
      <name val="Arial"/>
      <family val="2"/>
    </font>
    <font>
      <b/>
      <sz val="9"/>
      <name val="Times New Roman"/>
      <family val="1"/>
    </font>
    <font>
      <b/>
      <sz val="12"/>
      <name val="Helv"/>
    </font>
    <font>
      <b/>
      <sz val="15"/>
      <color indexed="56"/>
      <name val="Arial"/>
      <family val="2"/>
    </font>
    <font>
      <i/>
      <sz val="12"/>
      <name val="Times New Roman"/>
      <family val="1"/>
    </font>
    <font>
      <b/>
      <sz val="13"/>
      <color indexed="56"/>
      <name val="Arial"/>
      <family val="2"/>
    </font>
    <font>
      <b/>
      <sz val="11"/>
      <color indexed="56"/>
      <name val="Arial"/>
      <family val="2"/>
    </font>
    <font>
      <sz val="12"/>
      <color indexed="20"/>
      <name val="Arial"/>
      <family val="2"/>
    </font>
    <font>
      <b/>
      <sz val="12"/>
      <color indexed="52"/>
      <name val="Arial"/>
      <family val="2"/>
    </font>
    <font>
      <sz val="12"/>
      <color indexed="10"/>
      <name val="Arial"/>
      <family val="2"/>
    </font>
    <font>
      <u/>
      <sz val="10"/>
      <color indexed="12"/>
      <name val="Arial"/>
      <family val="2"/>
    </font>
    <font>
      <sz val="14"/>
      <name val="Arial"/>
      <family val="2"/>
    </font>
    <font>
      <b/>
      <sz val="10"/>
      <color indexed="18"/>
      <name val="Arial"/>
      <family val="2"/>
    </font>
    <font>
      <sz val="11"/>
      <color indexed="8"/>
      <name val="Arial"/>
      <family val="2"/>
    </font>
    <font>
      <sz val="10"/>
      <name val="Times New Roman"/>
      <family val="1"/>
    </font>
    <font>
      <b/>
      <sz val="12"/>
      <color indexed="8"/>
      <name val="Arial"/>
      <family val="2"/>
    </font>
    <font>
      <sz val="12"/>
      <color indexed="17"/>
      <name val="Arial"/>
      <family val="2"/>
    </font>
    <font>
      <b/>
      <sz val="18"/>
      <color indexed="56"/>
      <name val="Cambria"/>
      <family val="2"/>
    </font>
    <font>
      <b/>
      <sz val="14"/>
      <name val="Helv"/>
    </font>
    <font>
      <sz val="12"/>
      <color indexed="9"/>
      <name val="Arial"/>
      <family val="2"/>
    </font>
    <font>
      <i/>
      <sz val="12"/>
      <color indexed="23"/>
      <name val="Arial"/>
      <family val="2"/>
    </font>
    <font>
      <b/>
      <sz val="12"/>
      <color indexed="9"/>
      <name val="Arial"/>
      <family val="2"/>
    </font>
    <font>
      <b/>
      <sz val="12"/>
      <color indexed="63"/>
      <name val="Arial"/>
      <family val="2"/>
    </font>
    <font>
      <b/>
      <sz val="12"/>
      <color indexed="12"/>
      <name val="Arial"/>
      <family val="2"/>
    </font>
    <font>
      <sz val="12"/>
      <color indexed="8"/>
      <name val="Arial"/>
      <family val="2"/>
    </font>
    <font>
      <sz val="12"/>
      <color indexed="60"/>
      <name val="Arial"/>
      <family val="2"/>
    </font>
    <font>
      <sz val="9"/>
      <name val="Times New Roman"/>
      <family val="1"/>
    </font>
    <font>
      <sz val="12"/>
      <color indexed="62"/>
      <name val="Arial"/>
      <family val="2"/>
    </font>
    <font>
      <u/>
      <sz val="11"/>
      <color theme="10"/>
      <name val="Calibri"/>
      <family val="2"/>
    </font>
    <font>
      <u/>
      <sz val="10"/>
      <color theme="10"/>
      <name val="Arial"/>
      <family val="2"/>
    </font>
    <font>
      <sz val="10"/>
      <color theme="1"/>
      <name val="Arial"/>
      <family val="2"/>
    </font>
    <font>
      <sz val="11"/>
      <color theme="1"/>
      <name val="Arial"/>
      <family val="2"/>
    </font>
    <font>
      <sz val="10"/>
      <color theme="1"/>
      <name val="Calibri"/>
      <family val="2"/>
      <scheme val="minor"/>
    </font>
    <font>
      <b/>
      <sz val="10"/>
      <color theme="1"/>
      <name val="Calibri"/>
      <family val="2"/>
      <scheme val="minor"/>
    </font>
    <font>
      <sz val="10"/>
      <color rgb="FF000000"/>
      <name val="Calibri"/>
      <family val="2"/>
      <scheme val="minor"/>
    </font>
    <font>
      <sz val="10"/>
      <color rgb="FFFF0000"/>
      <name val="Calibri"/>
      <family val="2"/>
      <scheme val="minor"/>
    </font>
    <font>
      <b/>
      <sz val="10"/>
      <color rgb="FF000000"/>
      <name val="Arial"/>
      <family val="2"/>
    </font>
    <font>
      <sz val="10"/>
      <color rgb="FF000000"/>
      <name val="Arial"/>
      <family val="2"/>
    </font>
    <font>
      <b/>
      <sz val="10"/>
      <color rgb="FFFF0000"/>
      <name val="Arial"/>
      <family val="2"/>
    </font>
    <font>
      <i/>
      <sz val="10"/>
      <color rgb="FF000000"/>
      <name val="Arial"/>
      <family val="2"/>
    </font>
    <font>
      <b/>
      <sz val="10"/>
      <name val="Calibri"/>
      <family val="2"/>
    </font>
    <font>
      <sz val="10"/>
      <name val="Calibri"/>
      <family val="2"/>
    </font>
    <font>
      <i/>
      <sz val="11"/>
      <color theme="1"/>
      <name val="Calibri"/>
      <family val="2"/>
      <scheme val="minor"/>
    </font>
    <font>
      <vertAlign val="superscript"/>
      <sz val="11"/>
      <color theme="1"/>
      <name val="Calibri"/>
      <family val="2"/>
      <scheme val="minor"/>
    </font>
    <font>
      <b/>
      <sz val="11"/>
      <color rgb="FFC00000"/>
      <name val="Calibri"/>
      <family val="2"/>
      <scheme val="minor"/>
    </font>
    <font>
      <sz val="11"/>
      <color theme="5" tint="-0.249977111117893"/>
      <name val="Calibri"/>
      <family val="2"/>
      <scheme val="minor"/>
    </font>
    <font>
      <i/>
      <sz val="11"/>
      <color theme="5" tint="-0.249977111117893"/>
      <name val="Calibri"/>
      <family val="2"/>
      <scheme val="minor"/>
    </font>
    <font>
      <b/>
      <sz val="11"/>
      <color rgb="FF000000"/>
      <name val="Calibri"/>
      <family val="2"/>
    </font>
    <font>
      <i/>
      <sz val="11"/>
      <color rgb="FF000000"/>
      <name val="Calibri"/>
      <family val="2"/>
    </font>
    <font>
      <sz val="10"/>
      <color rgb="FF000000"/>
      <name val="Arial"/>
      <family val="2"/>
    </font>
    <font>
      <b/>
      <sz val="11"/>
      <name val="Calibri"/>
      <family val="2"/>
    </font>
    <font>
      <sz val="11"/>
      <name val="Calibri"/>
      <family val="2"/>
    </font>
    <font>
      <i/>
      <sz val="11"/>
      <name val="Calibri"/>
      <family val="2"/>
    </font>
    <font>
      <b/>
      <i/>
      <sz val="11"/>
      <name val="Calibri"/>
      <family val="2"/>
    </font>
    <font>
      <sz val="11"/>
      <color rgb="FF000000"/>
      <name val="Arial"/>
      <family val="2"/>
    </font>
    <font>
      <sz val="12"/>
      <color rgb="FF000000"/>
      <name val="Calibri"/>
      <family val="2"/>
    </font>
    <font>
      <sz val="12"/>
      <name val="Calibri"/>
      <family val="2"/>
    </font>
    <font>
      <sz val="11"/>
      <color rgb="FFFF0000"/>
      <name val="Calibri"/>
      <family val="2"/>
    </font>
    <font>
      <sz val="11"/>
      <color rgb="FFC00000"/>
      <name val="Calibri"/>
      <family val="2"/>
    </font>
    <font>
      <sz val="11"/>
      <color rgb="FF3F3F76"/>
      <name val="Calibri"/>
      <family val="2"/>
      <scheme val="minor"/>
    </font>
    <font>
      <sz val="11"/>
      <color rgb="FFFFFF00"/>
      <name val="Calibri"/>
      <family val="2"/>
      <scheme val="minor"/>
    </font>
    <font>
      <b/>
      <sz val="11"/>
      <color rgb="FFFFFF00"/>
      <name val="Calibri"/>
      <family val="2"/>
      <scheme val="minor"/>
    </font>
    <font>
      <b/>
      <sz val="11"/>
      <color theme="0"/>
      <name val="Calibri"/>
      <family val="2"/>
      <scheme val="minor"/>
    </font>
    <font>
      <i/>
      <sz val="9"/>
      <color theme="1"/>
      <name val="Calibri"/>
      <family val="2"/>
      <scheme val="minor"/>
    </font>
    <font>
      <b/>
      <sz val="10"/>
      <color indexed="9"/>
      <name val="Arial"/>
      <family val="2"/>
    </font>
    <font>
      <b/>
      <sz val="10"/>
      <color theme="0"/>
      <name val="Arial"/>
      <family val="2"/>
    </font>
    <font>
      <b/>
      <sz val="10"/>
      <name val="Arial"/>
      <family val="2"/>
    </font>
    <font>
      <b/>
      <sz val="10"/>
      <color theme="1"/>
      <name val="Arial"/>
      <family val="2"/>
    </font>
    <font>
      <sz val="10"/>
      <color theme="0"/>
      <name val="Arial"/>
      <family val="2"/>
    </font>
    <font>
      <b/>
      <sz val="10"/>
      <color rgb="FF008000"/>
      <name val="Arial"/>
      <family val="2"/>
    </font>
    <font>
      <b/>
      <sz val="10"/>
      <color theme="3"/>
      <name val="Arial"/>
      <family val="2"/>
    </font>
    <font>
      <sz val="10"/>
      <color theme="3"/>
      <name val="Arial"/>
      <family val="2"/>
    </font>
    <font>
      <sz val="10"/>
      <color rgb="FF003366"/>
      <name val="Arial"/>
      <family val="2"/>
    </font>
    <font>
      <sz val="10"/>
      <color indexed="56"/>
      <name val="Arial"/>
      <family val="2"/>
    </font>
    <font>
      <b/>
      <i/>
      <u/>
      <sz val="10"/>
      <color theme="1"/>
      <name val="Arial"/>
      <family val="2"/>
    </font>
    <font>
      <sz val="10"/>
      <color indexed="63"/>
      <name val="Arial"/>
      <family val="2"/>
    </font>
    <font>
      <b/>
      <sz val="10"/>
      <color rgb="FF005E7F"/>
      <name val="Arial"/>
      <family val="2"/>
    </font>
    <font>
      <sz val="10"/>
      <color rgb="FF005E7F"/>
      <name val="Arial"/>
      <family val="2"/>
    </font>
    <font>
      <i/>
      <sz val="10"/>
      <color rgb="FF003366"/>
      <name val="Arial"/>
      <family val="2"/>
    </font>
    <font>
      <i/>
      <sz val="10"/>
      <name val="Arial"/>
      <family val="2"/>
    </font>
    <font>
      <sz val="11"/>
      <color rgb="FF222222"/>
      <name val="Calibri"/>
      <family val="2"/>
    </font>
    <font>
      <sz val="8"/>
      <name val="Calibri"/>
      <family val="2"/>
      <scheme val="minor"/>
    </font>
  </fonts>
  <fills count="58">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lightUp">
        <bgColor theme="0"/>
      </patternFill>
    </fill>
    <fill>
      <patternFill patternType="solid">
        <fgColor theme="4" tint="0.59999389629810485"/>
        <bgColor indexed="64"/>
      </patternFill>
    </fill>
    <fill>
      <patternFill patternType="solid">
        <fgColor rgb="FFFFFF00"/>
        <bgColor indexed="64"/>
      </patternFill>
    </fill>
    <fill>
      <patternFill patternType="solid">
        <fgColor rgb="FFFFFFFF"/>
        <bgColor rgb="FF000000"/>
      </patternFill>
    </fill>
    <fill>
      <patternFill patternType="solid">
        <fgColor theme="0" tint="-0.14999847407452621"/>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rgb="FFFFFFFF"/>
        <bgColor rgb="FFFFFFFF"/>
      </patternFill>
    </fill>
    <fill>
      <patternFill patternType="solid">
        <fgColor theme="0" tint="-0.499984740745262"/>
        <bgColor indexed="64"/>
      </patternFill>
    </fill>
    <fill>
      <patternFill patternType="solid">
        <fgColor indexed="27"/>
        <bgColor indexed="64"/>
      </patternFill>
    </fill>
    <fill>
      <patternFill patternType="solid">
        <fgColor indexed="31"/>
        <bgColor indexed="64"/>
      </patternFill>
    </fill>
    <fill>
      <patternFill patternType="solid">
        <fgColor indexed="47"/>
        <bgColor indexed="64"/>
      </patternFill>
    </fill>
    <fill>
      <patternFill patternType="solid">
        <fgColor indexed="45"/>
        <bgColor indexed="64"/>
      </patternFill>
    </fill>
    <fill>
      <patternFill patternType="solid">
        <fgColor indexed="42"/>
        <bgColor indexed="64"/>
      </patternFill>
    </fill>
    <fill>
      <patternFill patternType="solid">
        <fgColor indexed="26"/>
        <bgColor indexed="64"/>
      </patternFill>
    </fill>
    <fill>
      <patternFill patternType="solid">
        <fgColor indexed="46"/>
        <bgColor indexed="64"/>
      </patternFill>
    </fill>
    <fill>
      <patternFill patternType="solid">
        <fgColor indexed="44"/>
        <bgColor indexed="64"/>
      </patternFill>
    </fill>
    <fill>
      <patternFill patternType="solid">
        <fgColor indexed="29"/>
        <bgColor indexed="64"/>
      </patternFill>
    </fill>
    <fill>
      <patternFill patternType="solid">
        <fgColor indexed="22"/>
        <bgColor indexed="64"/>
      </patternFill>
    </fill>
    <fill>
      <patternFill patternType="solid">
        <fgColor indexed="11"/>
        <bgColor indexed="64"/>
      </patternFill>
    </fill>
    <fill>
      <patternFill patternType="solid">
        <fgColor indexed="43"/>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7"/>
        <bgColor indexed="64"/>
      </patternFill>
    </fill>
    <fill>
      <patternFill patternType="solid">
        <fgColor indexed="52"/>
        <bgColor indexed="64"/>
      </patternFill>
    </fill>
    <fill>
      <patternFill patternType="solid">
        <fgColor indexed="62"/>
        <bgColor indexed="64"/>
      </patternFill>
    </fill>
    <fill>
      <patternFill patternType="solid">
        <fgColor indexed="53"/>
        <bgColor indexed="64"/>
      </patternFill>
    </fill>
    <fill>
      <patternFill patternType="solid">
        <fgColor indexed="10"/>
        <bgColor indexed="64"/>
      </patternFill>
    </fill>
    <fill>
      <patternFill patternType="solid">
        <fgColor indexed="55"/>
        <bgColor indexed="64"/>
      </patternFill>
    </fill>
    <fill>
      <patternFill patternType="lightGray">
        <fgColor indexed="9"/>
      </patternFill>
    </fill>
    <fill>
      <patternFill patternType="gray0625">
        <fgColor indexed="9"/>
      </patternFill>
    </fill>
    <fill>
      <patternFill patternType="solid">
        <fgColor theme="0"/>
        <bgColor rgb="FF000000"/>
      </patternFill>
    </fill>
    <fill>
      <patternFill patternType="solid">
        <fgColor theme="0"/>
        <bgColor rgb="FFFFFF00"/>
      </patternFill>
    </fill>
    <fill>
      <patternFill patternType="solid">
        <fgColor theme="0"/>
        <bgColor rgb="FFFFFFFF"/>
      </patternFill>
    </fill>
    <fill>
      <patternFill patternType="solid">
        <fgColor rgb="FFFFCC99"/>
      </patternFill>
    </fill>
    <fill>
      <patternFill patternType="solid">
        <fgColor rgb="FFFFFF00"/>
        <bgColor rgb="FFFFFF00"/>
      </patternFill>
    </fill>
    <fill>
      <patternFill patternType="solid">
        <fgColor rgb="FFFFFF00"/>
        <bgColor rgb="FFFFFFFF"/>
      </patternFill>
    </fill>
    <fill>
      <patternFill patternType="solid">
        <fgColor rgb="FFE5DFEC"/>
        <bgColor rgb="FFE5DFEC"/>
      </patternFill>
    </fill>
    <fill>
      <patternFill patternType="solid">
        <fgColor theme="0" tint="-0.34998626667073579"/>
        <bgColor indexed="64"/>
      </patternFill>
    </fill>
    <fill>
      <patternFill patternType="solid">
        <fgColor rgb="FFFFFF99"/>
        <bgColor indexed="64"/>
      </patternFill>
    </fill>
    <fill>
      <patternFill patternType="solid">
        <fgColor theme="0" tint="-0.14999847407452621"/>
        <bgColor rgb="FFFFFFFF"/>
      </patternFill>
    </fill>
    <fill>
      <patternFill patternType="solid">
        <fgColor rgb="FF7030A0"/>
        <bgColor indexed="64"/>
      </patternFill>
    </fill>
    <fill>
      <patternFill patternType="solid">
        <fgColor rgb="FF008000"/>
        <bgColor indexed="64"/>
      </patternFill>
    </fill>
    <fill>
      <patternFill patternType="solid">
        <fgColor rgb="FF005E7F"/>
        <bgColor indexed="64"/>
      </patternFill>
    </fill>
    <fill>
      <patternFill patternType="solid">
        <fgColor rgb="FF92D050"/>
        <bgColor indexed="64"/>
      </patternFill>
    </fill>
    <fill>
      <patternFill patternType="solid">
        <fgColor rgb="FFA4A056"/>
        <bgColor indexed="64"/>
      </patternFill>
    </fill>
    <fill>
      <patternFill patternType="solid">
        <fgColor rgb="FFFFCC66"/>
        <bgColor indexed="64"/>
      </patternFill>
    </fill>
    <fill>
      <patternFill patternType="solid">
        <fgColor rgb="FFF9B916"/>
        <bgColor indexed="64"/>
      </patternFill>
    </fill>
    <fill>
      <patternFill patternType="solid">
        <fgColor theme="5" tint="0.79998168889431442"/>
        <bgColor indexed="64"/>
      </patternFill>
    </fill>
    <fill>
      <patternFill patternType="solid">
        <fgColor rgb="FFCDD4E9"/>
        <bgColor indexed="64"/>
      </patternFill>
    </fill>
    <fill>
      <patternFill patternType="solid">
        <fgColor rgb="FFFFFFFF"/>
        <bgColor indexed="64"/>
      </patternFill>
    </fill>
    <fill>
      <patternFill patternType="solid">
        <fgColor rgb="FFFFC000"/>
        <bgColor indexed="64"/>
      </patternFill>
    </fill>
  </fills>
  <borders count="5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bottom style="thin">
        <color indexed="64"/>
      </bottom>
      <diagonal/>
    </border>
    <border>
      <left style="medium">
        <color indexed="64"/>
      </left>
      <right/>
      <top/>
      <bottom style="thin">
        <color indexed="64"/>
      </bottom>
      <diagonal/>
    </border>
    <border>
      <left style="medium">
        <color auto="1"/>
      </left>
      <right/>
      <top/>
      <bottom/>
      <diagonal/>
    </border>
    <border>
      <left/>
      <right style="thin">
        <color auto="1"/>
      </right>
      <top/>
      <bottom/>
      <diagonal/>
    </border>
    <border>
      <left/>
      <right/>
      <top style="thin">
        <color auto="1"/>
      </top>
      <bottom style="thin">
        <color auto="1"/>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style="thin">
        <color auto="1"/>
      </bottom>
      <diagonal/>
    </border>
    <border>
      <left/>
      <right style="thin">
        <color indexed="64"/>
      </right>
      <top/>
      <bottom style="thin">
        <color indexed="64"/>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4"/>
      </left>
      <right style="thin">
        <color indexed="64"/>
      </right>
      <top style="thin">
        <color indexed="64"/>
      </top>
      <bottom style="medium">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rgb="FF000000"/>
      </top>
      <bottom style="thin">
        <color rgb="FF000000"/>
      </bottom>
      <diagonal/>
    </border>
    <border>
      <left/>
      <right/>
      <top style="thin">
        <color rgb="FF000000"/>
      </top>
      <bottom style="thin">
        <color indexed="64"/>
      </bottom>
      <diagonal/>
    </border>
    <border>
      <left style="thin">
        <color auto="1"/>
      </left>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style="thin">
        <color auto="1"/>
      </left>
      <right/>
      <top/>
      <bottom/>
      <diagonal/>
    </border>
    <border>
      <left style="hair">
        <color auto="1"/>
      </left>
      <right style="hair">
        <color auto="1"/>
      </right>
      <top style="hair">
        <color auto="1"/>
      </top>
      <bottom style="hair">
        <color auto="1"/>
      </bottom>
      <diagonal/>
    </border>
    <border>
      <left/>
      <right style="hair">
        <color auto="1"/>
      </right>
      <top style="hair">
        <color auto="1"/>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style="thin">
        <color indexed="64"/>
      </left>
      <right style="thin">
        <color indexed="64"/>
      </right>
      <top style="thin">
        <color indexed="64"/>
      </top>
      <bottom/>
      <diagonal/>
    </border>
    <border>
      <left/>
      <right style="thin">
        <color rgb="FF000000"/>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rgb="FF000000"/>
      </right>
      <top/>
      <bottom style="medium">
        <color rgb="FF000000"/>
      </bottom>
      <diagonal/>
    </border>
    <border>
      <left/>
      <right style="medium">
        <color rgb="FF000000"/>
      </right>
      <top/>
      <bottom style="medium">
        <color rgb="FF000000"/>
      </bottom>
      <diagonal/>
    </border>
  </borders>
  <cellStyleXfs count="311">
    <xf numFmtId="0" fontId="0" fillId="0" borderId="0"/>
    <xf numFmtId="43" fontId="1" fillId="0" borderId="0" applyFont="0" applyFill="0" applyBorder="0" applyAlignment="0" applyProtection="0"/>
    <xf numFmtId="9" fontId="1" fillId="0" borderId="0" applyFont="0" applyFill="0" applyBorder="0" applyAlignment="0" applyProtection="0"/>
    <xf numFmtId="0" fontId="6" fillId="0" borderId="0" applyNumberFormat="0" applyFill="0" applyBorder="0" applyAlignment="0" applyProtection="0"/>
    <xf numFmtId="9" fontId="12" fillId="0" borderId="0" applyFont="0" applyFill="0" applyBorder="0" applyAlignment="0" applyProtection="0"/>
    <xf numFmtId="0" fontId="16" fillId="0" borderId="0"/>
    <xf numFmtId="0" fontId="12" fillId="0" borderId="0"/>
    <xf numFmtId="0" fontId="51" fillId="14" borderId="0" applyNumberFormat="0" applyBorder="0" applyAlignment="0" applyProtection="0"/>
    <xf numFmtId="0" fontId="51" fillId="14" borderId="0" applyNumberFormat="0" applyBorder="0" applyAlignment="0" applyProtection="0"/>
    <xf numFmtId="0" fontId="51" fillId="14" borderId="0" applyNumberFormat="0" applyBorder="0" applyAlignment="0" applyProtection="0"/>
    <xf numFmtId="0" fontId="51" fillId="14" borderId="0" applyNumberFormat="0" applyBorder="0" applyAlignment="0" applyProtection="0"/>
    <xf numFmtId="0" fontId="51" fillId="16" borderId="0" applyNumberFormat="0" applyBorder="0" applyAlignment="0" applyProtection="0"/>
    <xf numFmtId="0" fontId="51" fillId="16" borderId="0" applyNumberFormat="0" applyBorder="0" applyAlignment="0" applyProtection="0"/>
    <xf numFmtId="0" fontId="51" fillId="16" borderId="0" applyNumberFormat="0" applyBorder="0" applyAlignment="0" applyProtection="0"/>
    <xf numFmtId="0" fontId="51" fillId="16" borderId="0" applyNumberFormat="0" applyBorder="0" applyAlignment="0" applyProtection="0"/>
    <xf numFmtId="0" fontId="51" fillId="17" borderId="0" applyNumberFormat="0" applyBorder="0" applyAlignment="0" applyProtection="0"/>
    <xf numFmtId="0" fontId="51" fillId="17" borderId="0" applyNumberFormat="0" applyBorder="0" applyAlignment="0" applyProtection="0"/>
    <xf numFmtId="0" fontId="51" fillId="17" borderId="0" applyNumberFormat="0" applyBorder="0" applyAlignment="0" applyProtection="0"/>
    <xf numFmtId="0" fontId="51" fillId="17" borderId="0" applyNumberFormat="0" applyBorder="0" applyAlignment="0" applyProtection="0"/>
    <xf numFmtId="0" fontId="51" fillId="19" borderId="0" applyNumberFormat="0" applyBorder="0" applyAlignment="0" applyProtection="0"/>
    <xf numFmtId="0" fontId="51" fillId="19" borderId="0" applyNumberFormat="0" applyBorder="0" applyAlignment="0" applyProtection="0"/>
    <xf numFmtId="0" fontId="51" fillId="19" borderId="0" applyNumberFormat="0" applyBorder="0" applyAlignment="0" applyProtection="0"/>
    <xf numFmtId="0" fontId="51" fillId="19" borderId="0" applyNumberFormat="0" applyBorder="0" applyAlignment="0" applyProtection="0"/>
    <xf numFmtId="0" fontId="51" fillId="13" borderId="0" applyNumberFormat="0" applyBorder="0" applyAlignment="0" applyProtection="0"/>
    <xf numFmtId="0" fontId="51" fillId="13" borderId="0" applyNumberFormat="0" applyBorder="0" applyAlignment="0" applyProtection="0"/>
    <xf numFmtId="0" fontId="51" fillId="13" borderId="0" applyNumberFormat="0" applyBorder="0" applyAlignment="0" applyProtection="0"/>
    <xf numFmtId="0" fontId="51" fillId="13" borderId="0" applyNumberFormat="0" applyBorder="0" applyAlignment="0" applyProtection="0"/>
    <xf numFmtId="0" fontId="51" fillId="15" borderId="0" applyNumberFormat="0" applyBorder="0" applyAlignment="0" applyProtection="0"/>
    <xf numFmtId="0" fontId="51" fillId="15" borderId="0" applyNumberFormat="0" applyBorder="0" applyAlignment="0" applyProtection="0"/>
    <xf numFmtId="0" fontId="51" fillId="15" borderId="0" applyNumberFormat="0" applyBorder="0" applyAlignment="0" applyProtection="0"/>
    <xf numFmtId="0" fontId="51" fillId="15" borderId="0" applyNumberFormat="0" applyBorder="0" applyAlignment="0" applyProtection="0"/>
    <xf numFmtId="0" fontId="51" fillId="20" borderId="0" applyNumberFormat="0" applyBorder="0" applyAlignment="0" applyProtection="0"/>
    <xf numFmtId="0" fontId="51" fillId="20" borderId="0" applyNumberFormat="0" applyBorder="0" applyAlignment="0" applyProtection="0"/>
    <xf numFmtId="0" fontId="51" fillId="20" borderId="0" applyNumberFormat="0" applyBorder="0" applyAlignment="0" applyProtection="0"/>
    <xf numFmtId="0" fontId="51" fillId="20" borderId="0" applyNumberFormat="0" applyBorder="0" applyAlignment="0" applyProtection="0"/>
    <xf numFmtId="0" fontId="51" fillId="21" borderId="0" applyNumberFormat="0" applyBorder="0" applyAlignment="0" applyProtection="0"/>
    <xf numFmtId="0" fontId="51" fillId="21" borderId="0" applyNumberFormat="0" applyBorder="0" applyAlignment="0" applyProtection="0"/>
    <xf numFmtId="0" fontId="51" fillId="21" borderId="0" applyNumberFormat="0" applyBorder="0" applyAlignment="0" applyProtection="0"/>
    <xf numFmtId="0" fontId="51" fillId="21" borderId="0" applyNumberFormat="0" applyBorder="0" applyAlignment="0" applyProtection="0"/>
    <xf numFmtId="0" fontId="51" fillId="23" borderId="0" applyNumberFormat="0" applyBorder="0" applyAlignment="0" applyProtection="0"/>
    <xf numFmtId="0" fontId="51" fillId="23" borderId="0" applyNumberFormat="0" applyBorder="0" applyAlignment="0" applyProtection="0"/>
    <xf numFmtId="0" fontId="51" fillId="23" borderId="0" applyNumberFormat="0" applyBorder="0" applyAlignment="0" applyProtection="0"/>
    <xf numFmtId="0" fontId="51" fillId="23" borderId="0" applyNumberFormat="0" applyBorder="0" applyAlignment="0" applyProtection="0"/>
    <xf numFmtId="0" fontId="51" fillId="19" borderId="0" applyNumberFormat="0" applyBorder="0" applyAlignment="0" applyProtection="0"/>
    <xf numFmtId="0" fontId="51" fillId="19" borderId="0" applyNumberFormat="0" applyBorder="0" applyAlignment="0" applyProtection="0"/>
    <xf numFmtId="0" fontId="51" fillId="19" borderId="0" applyNumberFormat="0" applyBorder="0" applyAlignment="0" applyProtection="0"/>
    <xf numFmtId="0" fontId="51" fillId="19" borderId="0" applyNumberFormat="0" applyBorder="0" applyAlignment="0" applyProtection="0"/>
    <xf numFmtId="0" fontId="51" fillId="20" borderId="0" applyNumberFormat="0" applyBorder="0" applyAlignment="0" applyProtection="0"/>
    <xf numFmtId="0" fontId="51" fillId="20" borderId="0" applyNumberFormat="0" applyBorder="0" applyAlignment="0" applyProtection="0"/>
    <xf numFmtId="0" fontId="51" fillId="20" borderId="0" applyNumberFormat="0" applyBorder="0" applyAlignment="0" applyProtection="0"/>
    <xf numFmtId="0" fontId="51" fillId="20" borderId="0" applyNumberFormat="0" applyBorder="0" applyAlignment="0" applyProtection="0"/>
    <xf numFmtId="0" fontId="51" fillId="25" borderId="0" applyNumberFormat="0" applyBorder="0" applyAlignment="0" applyProtection="0"/>
    <xf numFmtId="0" fontId="51" fillId="25" borderId="0" applyNumberFormat="0" applyBorder="0" applyAlignment="0" applyProtection="0"/>
    <xf numFmtId="0" fontId="51" fillId="25" borderId="0" applyNumberFormat="0" applyBorder="0" applyAlignment="0" applyProtection="0"/>
    <xf numFmtId="0" fontId="51" fillId="25" borderId="0" applyNumberFormat="0" applyBorder="0" applyAlignment="0" applyProtection="0"/>
    <xf numFmtId="0" fontId="26" fillId="0" borderId="0" applyNumberFormat="0" applyFont="0" applyFill="0" applyBorder="0" applyProtection="0">
      <alignment horizontal="left" vertical="center" indent="5"/>
    </xf>
    <xf numFmtId="0" fontId="46" fillId="26" borderId="0" applyNumberFormat="0" applyBorder="0" applyAlignment="0" applyProtection="0"/>
    <xf numFmtId="0" fontId="46" fillId="26" borderId="0" applyNumberFormat="0" applyBorder="0" applyAlignment="0" applyProtection="0"/>
    <xf numFmtId="0" fontId="46" fillId="26" borderId="0" applyNumberFormat="0" applyBorder="0" applyAlignment="0" applyProtection="0"/>
    <xf numFmtId="0" fontId="46" fillId="26" borderId="0" applyNumberFormat="0" applyBorder="0" applyAlignment="0" applyProtection="0"/>
    <xf numFmtId="0" fontId="46" fillId="21" borderId="0" applyNumberFormat="0" applyBorder="0" applyAlignment="0" applyProtection="0"/>
    <xf numFmtId="0" fontId="46" fillId="21" borderId="0" applyNumberFormat="0" applyBorder="0" applyAlignment="0" applyProtection="0"/>
    <xf numFmtId="0" fontId="46" fillId="21" borderId="0" applyNumberFormat="0" applyBorder="0" applyAlignment="0" applyProtection="0"/>
    <xf numFmtId="0" fontId="46" fillId="21" borderId="0" applyNumberFormat="0" applyBorder="0" applyAlignment="0" applyProtection="0"/>
    <xf numFmtId="0" fontId="46" fillId="23" borderId="0" applyNumberFormat="0" applyBorder="0" applyAlignment="0" applyProtection="0"/>
    <xf numFmtId="0" fontId="46" fillId="23" borderId="0" applyNumberFormat="0" applyBorder="0" applyAlignment="0" applyProtection="0"/>
    <xf numFmtId="0" fontId="46" fillId="23" borderId="0" applyNumberFormat="0" applyBorder="0" applyAlignment="0" applyProtection="0"/>
    <xf numFmtId="0" fontId="46" fillId="23" borderId="0" applyNumberFormat="0" applyBorder="0" applyAlignment="0" applyProtection="0"/>
    <xf numFmtId="0" fontId="46" fillId="27" borderId="0" applyNumberFormat="0" applyBorder="0" applyAlignment="0" applyProtection="0"/>
    <xf numFmtId="0" fontId="46" fillId="27" borderId="0" applyNumberFormat="0" applyBorder="0" applyAlignment="0" applyProtection="0"/>
    <xf numFmtId="0" fontId="46" fillId="27" borderId="0" applyNumberFormat="0" applyBorder="0" applyAlignment="0" applyProtection="0"/>
    <xf numFmtId="0" fontId="46" fillId="27" borderId="0" applyNumberFormat="0" applyBorder="0" applyAlignment="0" applyProtection="0"/>
    <xf numFmtId="0" fontId="46" fillId="28" borderId="0" applyNumberFormat="0" applyBorder="0" applyAlignment="0" applyProtection="0"/>
    <xf numFmtId="0" fontId="46" fillId="28" borderId="0" applyNumberFormat="0" applyBorder="0" applyAlignment="0" applyProtection="0"/>
    <xf numFmtId="0" fontId="46" fillId="28" borderId="0" applyNumberFormat="0" applyBorder="0" applyAlignment="0" applyProtection="0"/>
    <xf numFmtId="0" fontId="46" fillId="28" borderId="0" applyNumberFormat="0" applyBorder="0" applyAlignment="0" applyProtection="0"/>
    <xf numFmtId="0" fontId="46" fillId="30" borderId="0" applyNumberFormat="0" applyBorder="0" applyAlignment="0" applyProtection="0"/>
    <xf numFmtId="0" fontId="46" fillId="30" borderId="0" applyNumberFormat="0" applyBorder="0" applyAlignment="0" applyProtection="0"/>
    <xf numFmtId="0" fontId="46" fillId="30" borderId="0" applyNumberFormat="0" applyBorder="0" applyAlignment="0" applyProtection="0"/>
    <xf numFmtId="0" fontId="46" fillId="30" borderId="0" applyNumberFormat="0" applyBorder="0" applyAlignment="0" applyProtection="0"/>
    <xf numFmtId="0" fontId="46" fillId="31" borderId="0" applyNumberFormat="0" applyBorder="0" applyAlignment="0" applyProtection="0"/>
    <xf numFmtId="0" fontId="46" fillId="31" borderId="0" applyNumberFormat="0" applyBorder="0" applyAlignment="0" applyProtection="0"/>
    <xf numFmtId="0" fontId="46" fillId="31" borderId="0" applyNumberFormat="0" applyBorder="0" applyAlignment="0" applyProtection="0"/>
    <xf numFmtId="0" fontId="46" fillId="31" borderId="0" applyNumberFormat="0" applyBorder="0" applyAlignment="0" applyProtection="0"/>
    <xf numFmtId="0" fontId="46" fillId="33" borderId="0" applyNumberFormat="0" applyBorder="0" applyAlignment="0" applyProtection="0"/>
    <xf numFmtId="0" fontId="46" fillId="33" borderId="0" applyNumberFormat="0" applyBorder="0" applyAlignment="0" applyProtection="0"/>
    <xf numFmtId="0" fontId="46" fillId="33" borderId="0" applyNumberFormat="0" applyBorder="0" applyAlignment="0" applyProtection="0"/>
    <xf numFmtId="0" fontId="46" fillId="33" borderId="0" applyNumberFormat="0" applyBorder="0" applyAlignment="0" applyProtection="0"/>
    <xf numFmtId="0" fontId="46" fillId="29" borderId="0" applyNumberFormat="0" applyBorder="0" applyAlignment="0" applyProtection="0"/>
    <xf numFmtId="0" fontId="46" fillId="29" borderId="0" applyNumberFormat="0" applyBorder="0" applyAlignment="0" applyProtection="0"/>
    <xf numFmtId="0" fontId="46" fillId="29" borderId="0" applyNumberFormat="0" applyBorder="0" applyAlignment="0" applyProtection="0"/>
    <xf numFmtId="0" fontId="46" fillId="29" borderId="0" applyNumberFormat="0" applyBorder="0" applyAlignment="0" applyProtection="0"/>
    <xf numFmtId="0" fontId="46" fillId="27" borderId="0" applyNumberFormat="0" applyBorder="0" applyAlignment="0" applyProtection="0"/>
    <xf numFmtId="0" fontId="46" fillId="27" borderId="0" applyNumberFormat="0" applyBorder="0" applyAlignment="0" applyProtection="0"/>
    <xf numFmtId="0" fontId="46" fillId="27" borderId="0" applyNumberFormat="0" applyBorder="0" applyAlignment="0" applyProtection="0"/>
    <xf numFmtId="0" fontId="46" fillId="27" borderId="0" applyNumberFormat="0" applyBorder="0" applyAlignment="0" applyProtection="0"/>
    <xf numFmtId="0" fontId="46" fillId="28" borderId="0" applyNumberFormat="0" applyBorder="0" applyAlignment="0" applyProtection="0"/>
    <xf numFmtId="0" fontId="46" fillId="28" borderId="0" applyNumberFormat="0" applyBorder="0" applyAlignment="0" applyProtection="0"/>
    <xf numFmtId="0" fontId="46" fillId="28" borderId="0" applyNumberFormat="0" applyBorder="0" applyAlignment="0" applyProtection="0"/>
    <xf numFmtId="0" fontId="46" fillId="28" borderId="0" applyNumberFormat="0" applyBorder="0" applyAlignment="0" applyProtection="0"/>
    <xf numFmtId="0" fontId="46" fillId="32" borderId="0" applyNumberFormat="0" applyBorder="0" applyAlignment="0" applyProtection="0"/>
    <xf numFmtId="0" fontId="46" fillId="32" borderId="0" applyNumberFormat="0" applyBorder="0" applyAlignment="0" applyProtection="0"/>
    <xf numFmtId="0" fontId="46" fillId="32" borderId="0" applyNumberFormat="0" applyBorder="0" applyAlignment="0" applyProtection="0"/>
    <xf numFmtId="0" fontId="46" fillId="32" borderId="0" applyNumberFormat="0" applyBorder="0" applyAlignment="0" applyProtection="0"/>
    <xf numFmtId="4" fontId="53" fillId="13" borderId="1">
      <alignment horizontal="right" vertical="center"/>
    </xf>
    <xf numFmtId="0" fontId="34" fillId="16" borderId="0" applyNumberFormat="0" applyBorder="0" applyAlignment="0" applyProtection="0"/>
    <xf numFmtId="0" fontId="34" fillId="16" borderId="0" applyNumberFormat="0" applyBorder="0" applyAlignment="0" applyProtection="0"/>
    <xf numFmtId="0" fontId="34" fillId="16" borderId="0" applyNumberFormat="0" applyBorder="0" applyAlignment="0" applyProtection="0"/>
    <xf numFmtId="0" fontId="34" fillId="16" borderId="0" applyNumberFormat="0" applyBorder="0" applyAlignment="0" applyProtection="0"/>
    <xf numFmtId="4" fontId="28" fillId="0" borderId="15" applyFill="0" applyBorder="0" applyProtection="0">
      <alignment horizontal="right" vertical="center"/>
    </xf>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35" fillId="22" borderId="16" applyNumberFormat="0" applyAlignment="0" applyProtection="0"/>
    <xf numFmtId="0" fontId="48" fillId="34" borderId="17" applyNumberFormat="0" applyAlignment="0" applyProtection="0"/>
    <xf numFmtId="0" fontId="48" fillId="34" borderId="17" applyNumberFormat="0" applyAlignment="0" applyProtection="0"/>
    <xf numFmtId="0" fontId="48" fillId="34" borderId="17" applyNumberFormat="0" applyAlignment="0" applyProtection="0"/>
    <xf numFmtId="0" fontId="48" fillId="34" borderId="17" applyNumberFormat="0" applyAlignment="0" applyProtection="0"/>
    <xf numFmtId="43" fontId="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0" fontId="12" fillId="24" borderId="0" applyNumberFormat="0" applyFont="0" applyBorder="0" applyAlignment="0"/>
    <xf numFmtId="41" fontId="12" fillId="0" borderId="0" applyFont="0" applyFill="0" applyBorder="0" applyAlignment="0" applyProtection="0">
      <alignment wrapText="1"/>
    </xf>
    <xf numFmtId="43" fontId="12" fillId="0" borderId="0" applyFont="0" applyFill="0" applyBorder="0" applyAlignment="0" applyProtection="0">
      <alignment wrapText="1"/>
    </xf>
    <xf numFmtId="171" fontId="12" fillId="0" borderId="0" applyFont="0" applyFill="0" applyBorder="0" applyAlignment="0" applyProtection="0"/>
    <xf numFmtId="171" fontId="12" fillId="0" borderId="0" applyFont="0" applyFill="0" applyBorder="0" applyAlignment="0" applyProtection="0"/>
    <xf numFmtId="0" fontId="47" fillId="0" borderId="0" applyNumberFormat="0" applyFill="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172" fontId="38" fillId="0" borderId="0">
      <alignment horizontal="left" vertical="center"/>
    </xf>
    <xf numFmtId="0" fontId="30" fillId="0" borderId="18" applyNumberFormat="0" applyFill="0" applyAlignment="0" applyProtection="0"/>
    <xf numFmtId="0" fontId="32" fillId="0" borderId="19" applyNumberFormat="0" applyFill="0" applyAlignment="0" applyProtection="0"/>
    <xf numFmtId="0" fontId="33" fillId="0" borderId="20" applyNumberFormat="0" applyFill="0" applyAlignment="0" applyProtection="0"/>
    <xf numFmtId="0" fontId="33" fillId="0" borderId="0" applyNumberFormat="0" applyFill="0" applyBorder="0" applyAlignment="0" applyProtection="0"/>
    <xf numFmtId="0" fontId="55" fillId="0" borderId="0" applyNumberFormat="0" applyFill="0" applyBorder="0" applyAlignment="0" applyProtection="0">
      <alignment vertical="top"/>
      <protection locked="0"/>
    </xf>
    <xf numFmtId="0" fontId="37" fillId="0" borderId="0" applyNumberFormat="0" applyFill="0" applyBorder="0" applyAlignment="0" applyProtection="0">
      <alignment vertical="top"/>
      <protection locked="0"/>
    </xf>
    <xf numFmtId="0" fontId="56" fillId="0" borderId="0" applyNumberFormat="0" applyFill="0" applyBorder="0" applyAlignment="0" applyProtection="0">
      <alignment vertical="top"/>
      <protection locked="0"/>
    </xf>
    <xf numFmtId="0" fontId="56" fillId="0" borderId="0" applyNumberFormat="0" applyFill="0" applyBorder="0" applyAlignment="0" applyProtection="0">
      <alignment vertical="top"/>
      <protection locked="0"/>
    </xf>
    <xf numFmtId="0" fontId="6" fillId="0" borderId="0" applyNumberFormat="0" applyFill="0" applyBorder="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0" fontId="54" fillId="15" borderId="16" applyNumberFormat="0" applyAlignment="0" applyProtection="0"/>
    <xf numFmtId="4" fontId="53" fillId="0" borderId="21">
      <alignment horizontal="right" vertical="center"/>
    </xf>
    <xf numFmtId="0" fontId="25" fillId="0" borderId="22" applyNumberFormat="0" applyFill="0" applyAlignment="0" applyProtection="0"/>
    <xf numFmtId="0" fontId="12" fillId="15" borderId="0" applyNumberFormat="0" applyFont="0" applyBorder="0" applyAlignment="0"/>
    <xf numFmtId="173" fontId="12" fillId="0" borderId="0" applyFont="0" applyFill="0" applyBorder="0" applyAlignment="0" applyProtection="0"/>
    <xf numFmtId="174" fontId="12" fillId="0" borderId="0" applyFont="0" applyFill="0" applyBorder="0" applyAlignment="0" applyProtection="0"/>
    <xf numFmtId="175" fontId="12" fillId="0" borderId="0" applyFont="0" applyFill="0" applyBorder="0" applyAlignment="0" applyProtection="0"/>
    <xf numFmtId="176" fontId="12" fillId="0" borderId="0" applyFont="0" applyFill="0" applyBorder="0" applyAlignment="0" applyProtection="0"/>
    <xf numFmtId="0" fontId="52" fillId="24" borderId="0" applyNumberFormat="0" applyBorder="0" applyAlignment="0" applyProtection="0"/>
    <xf numFmtId="0" fontId="52" fillId="24" borderId="0" applyNumberFormat="0" applyBorder="0" applyAlignment="0" applyProtection="0"/>
    <xf numFmtId="0" fontId="52" fillId="24" borderId="0" applyNumberFormat="0" applyBorder="0" applyAlignment="0" applyProtection="0"/>
    <xf numFmtId="0" fontId="52" fillId="2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2" fillId="0" borderId="0"/>
    <xf numFmtId="0" fontId="12" fillId="0" borderId="0"/>
    <xf numFmtId="0" fontId="12" fillId="0" borderId="0"/>
    <xf numFmtId="0" fontId="12" fillId="0" borderId="0"/>
    <xf numFmtId="0" fontId="1" fillId="0" borderId="0"/>
    <xf numFmtId="0" fontId="1" fillId="0" borderId="0"/>
    <xf numFmtId="0" fontId="1" fillId="0" borderId="0"/>
    <xf numFmtId="0" fontId="1" fillId="0" borderId="0"/>
    <xf numFmtId="0" fontId="1" fillId="0" borderId="0"/>
    <xf numFmtId="0" fontId="1" fillId="0" borderId="0"/>
    <xf numFmtId="0" fontId="57" fillId="0" borderId="0"/>
    <xf numFmtId="0" fontId="1" fillId="0" borderId="0"/>
    <xf numFmtId="0" fontId="1" fillId="0" borderId="0"/>
    <xf numFmtId="0" fontId="12" fillId="0" borderId="0"/>
    <xf numFmtId="0" fontId="12" fillId="0" borderId="0"/>
    <xf numFmtId="0" fontId="12" fillId="0" borderId="0"/>
    <xf numFmtId="0" fontId="1" fillId="0" borderId="0"/>
    <xf numFmtId="0" fontId="57" fillId="0" borderId="0"/>
    <xf numFmtId="0" fontId="57" fillId="0" borderId="0"/>
    <xf numFmtId="0" fontId="58" fillId="0" borderId="0"/>
    <xf numFmtId="0" fontId="58" fillId="0" borderId="0"/>
    <xf numFmtId="0" fontId="58" fillId="0" borderId="0"/>
    <xf numFmtId="0" fontId="12" fillId="0" borderId="0"/>
    <xf numFmtId="0" fontId="58" fillId="0" borderId="0"/>
    <xf numFmtId="0" fontId="1" fillId="0" borderId="0"/>
    <xf numFmtId="0" fontId="1" fillId="0" borderId="0"/>
    <xf numFmtId="0" fontId="1" fillId="0" borderId="0"/>
    <xf numFmtId="0" fontId="1" fillId="0" borderId="0"/>
    <xf numFmtId="0" fontId="1" fillId="0" borderId="0"/>
    <xf numFmtId="0" fontId="1" fillId="0" borderId="0"/>
    <xf numFmtId="0" fontId="58" fillId="0" borderId="0"/>
    <xf numFmtId="0" fontId="58" fillId="0" borderId="0"/>
    <xf numFmtId="0" fontId="58" fillId="0" borderId="0"/>
    <xf numFmtId="0" fontId="58" fillId="0" borderId="0"/>
    <xf numFmtId="0" fontId="12" fillId="0" borderId="0"/>
    <xf numFmtId="0" fontId="26" fillId="34" borderId="0" applyNumberFormat="0" applyFont="0" applyBorder="0" applyAlignment="0" applyProtection="0"/>
    <xf numFmtId="0" fontId="51" fillId="18" borderId="23" applyNumberFormat="0" applyFont="0" applyAlignment="0" applyProtection="0"/>
    <xf numFmtId="0" fontId="51" fillId="18" borderId="23" applyNumberFormat="0" applyFont="0" applyAlignment="0" applyProtection="0"/>
    <xf numFmtId="0" fontId="51" fillId="18" borderId="23" applyNumberFormat="0" applyFont="0" applyAlignment="0" applyProtection="0"/>
    <xf numFmtId="0" fontId="51" fillId="18" borderId="23" applyNumberFormat="0" applyFont="0" applyAlignment="0" applyProtection="0"/>
    <xf numFmtId="0" fontId="51" fillId="18" borderId="23" applyNumberFormat="0" applyFont="0" applyAlignment="0" applyProtection="0"/>
    <xf numFmtId="0" fontId="51" fillId="18" borderId="23" applyNumberFormat="0" applyFont="0" applyAlignment="0" applyProtection="0"/>
    <xf numFmtId="0" fontId="51" fillId="18" borderId="23" applyNumberFormat="0" applyFont="0" applyAlignment="0" applyProtection="0"/>
    <xf numFmtId="0" fontId="51" fillId="18" borderId="23" applyNumberFormat="0" applyFont="0" applyAlignment="0" applyProtection="0"/>
    <xf numFmtId="0" fontId="49" fillId="22" borderId="24" applyNumberFormat="0" applyAlignment="0" applyProtection="0"/>
    <xf numFmtId="0" fontId="49" fillId="22" borderId="24" applyNumberFormat="0" applyAlignment="0" applyProtection="0"/>
    <xf numFmtId="0" fontId="49" fillId="22" borderId="24" applyNumberFormat="0" applyAlignment="0" applyProtection="0"/>
    <xf numFmtId="0" fontId="49" fillId="22" borderId="24" applyNumberFormat="0" applyAlignment="0" applyProtection="0"/>
    <xf numFmtId="0" fontId="49" fillId="22" borderId="24" applyNumberFormat="0" applyAlignment="0" applyProtection="0"/>
    <xf numFmtId="0" fontId="49" fillId="22" borderId="24" applyNumberFormat="0" applyAlignment="0" applyProtection="0"/>
    <xf numFmtId="0" fontId="49" fillId="22" borderId="24" applyNumberFormat="0" applyAlignment="0" applyProtection="0"/>
    <xf numFmtId="0" fontId="49" fillId="22" borderId="24" applyNumberFormat="0" applyAlignment="0" applyProtection="0"/>
    <xf numFmtId="9" fontId="1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2" fillId="0" borderId="0" applyFont="0" applyFill="0" applyBorder="0" applyAlignment="0" applyProtection="0"/>
    <xf numFmtId="9" fontId="57" fillId="0" borderId="0" applyFont="0" applyFill="0" applyBorder="0" applyAlignment="0" applyProtection="0"/>
    <xf numFmtId="9" fontId="12" fillId="0" borderId="0" applyFont="0" applyFill="0" applyBorder="0" applyAlignment="0" applyProtection="0"/>
    <xf numFmtId="9" fontId="58" fillId="0" borderId="0" applyFont="0" applyFill="0" applyBorder="0" applyAlignment="0" applyProtection="0"/>
    <xf numFmtId="9" fontId="58" fillId="0" borderId="0" applyFont="0" applyFill="0" applyBorder="0" applyAlignment="0" applyProtection="0"/>
    <xf numFmtId="9" fontId="40" fillId="0" borderId="0" applyFont="0" applyFill="0" applyBorder="0" applyAlignment="0" applyProtection="0"/>
    <xf numFmtId="9" fontId="40" fillId="0" borderId="0" applyFont="0" applyFill="0" applyBorder="0" applyAlignment="0" applyProtection="0"/>
    <xf numFmtId="9" fontId="58" fillId="0" borderId="0" applyFont="0" applyFill="0" applyBorder="0" applyAlignment="0" applyProtection="0"/>
    <xf numFmtId="9" fontId="58" fillId="0" borderId="0" applyFont="0" applyFill="0" applyBorder="0" applyAlignment="0" applyProtection="0"/>
    <xf numFmtId="13" fontId="12" fillId="0" borderId="0" applyFont="0" applyFill="0" applyProtection="0"/>
    <xf numFmtId="9" fontId="58" fillId="0" borderId="0" applyFont="0" applyFill="0" applyBorder="0" applyAlignment="0" applyProtection="0"/>
    <xf numFmtId="172" fontId="41" fillId="0" borderId="0" applyFill="0" applyBorder="0" applyAlignment="0" applyProtection="0"/>
    <xf numFmtId="0" fontId="12" fillId="0" borderId="0"/>
    <xf numFmtId="0" fontId="12" fillId="0" borderId="0"/>
    <xf numFmtId="0" fontId="53" fillId="34" borderId="1"/>
    <xf numFmtId="0" fontId="53" fillId="34" borderId="1"/>
    <xf numFmtId="0" fontId="53" fillId="34" borderId="1"/>
    <xf numFmtId="0" fontId="31" fillId="0" borderId="0"/>
    <xf numFmtId="0" fontId="23" fillId="0" borderId="0">
      <alignment horizontal="right"/>
    </xf>
    <xf numFmtId="0" fontId="23" fillId="0" borderId="0">
      <alignment horizontal="left"/>
    </xf>
    <xf numFmtId="0" fontId="24" fillId="0" borderId="0"/>
    <xf numFmtId="177" fontId="12" fillId="0" borderId="0" applyFont="0" applyFill="0" applyBorder="0" applyAlignment="0" applyProtection="0">
      <alignment horizontal="left"/>
    </xf>
    <xf numFmtId="177" fontId="12" fillId="0" borderId="0" applyFont="0" applyFill="0" applyBorder="0" applyAlignment="0" applyProtection="0">
      <alignment horizontal="left"/>
    </xf>
    <xf numFmtId="178" fontId="12" fillId="0" borderId="0" applyFont="0" applyFill="0" applyBorder="0" applyAlignment="0" applyProtection="0">
      <alignment horizontal="left"/>
    </xf>
    <xf numFmtId="178" fontId="12" fillId="0" borderId="0" applyFont="0" applyFill="0" applyBorder="0" applyAlignment="0" applyProtection="0">
      <alignment horizontal="left"/>
    </xf>
    <xf numFmtId="179" fontId="12" fillId="0" borderId="0" applyFont="0" applyFill="0" applyBorder="0" applyAlignment="0" applyProtection="0">
      <alignment horizontal="left"/>
    </xf>
    <xf numFmtId="179" fontId="12" fillId="0" borderId="0" applyFont="0" applyFill="0" applyBorder="0" applyAlignment="0" applyProtection="0">
      <alignment horizontal="left"/>
    </xf>
    <xf numFmtId="49" fontId="12" fillId="0" borderId="0" applyFill="0" applyBorder="0" applyProtection="0">
      <alignment horizontal="left"/>
    </xf>
    <xf numFmtId="49" fontId="12" fillId="0" borderId="0" applyFill="0" applyBorder="0" applyProtection="0">
      <alignment horizontal="left"/>
    </xf>
    <xf numFmtId="177" fontId="12" fillId="0" borderId="0" applyFont="0" applyFill="0" applyBorder="0" applyAlignment="0" applyProtection="0">
      <alignment horizontal="left"/>
    </xf>
    <xf numFmtId="177" fontId="12" fillId="0" borderId="0" applyFont="0" applyFill="0" applyBorder="0" applyAlignment="0" applyProtection="0">
      <alignment horizontal="left"/>
    </xf>
    <xf numFmtId="178" fontId="12" fillId="0" borderId="0" applyFont="0" applyFill="0" applyBorder="0" applyAlignment="0" applyProtection="0">
      <alignment horizontal="left"/>
    </xf>
    <xf numFmtId="178" fontId="12" fillId="0" borderId="0" applyFont="0" applyFill="0" applyBorder="0" applyAlignment="0" applyProtection="0">
      <alignment horizontal="left"/>
    </xf>
    <xf numFmtId="179" fontId="12" fillId="0" borderId="0" applyFont="0" applyFill="0" applyBorder="0" applyAlignment="0" applyProtection="0">
      <alignment horizontal="left"/>
    </xf>
    <xf numFmtId="179" fontId="12" fillId="0" borderId="0" applyFont="0" applyFill="0" applyBorder="0" applyAlignment="0" applyProtection="0">
      <alignment horizontal="left"/>
    </xf>
    <xf numFmtId="49" fontId="12" fillId="0" borderId="0" applyFill="0" applyBorder="0" applyProtection="0">
      <alignment horizontal="left"/>
    </xf>
    <xf numFmtId="49" fontId="12" fillId="0" borderId="0" applyFill="0" applyBorder="0" applyProtection="0">
      <alignment horizontal="left"/>
    </xf>
    <xf numFmtId="0" fontId="44" fillId="0" borderId="0" applyNumberFormat="0" applyFill="0" applyBorder="0" applyAlignment="0" applyProtection="0"/>
    <xf numFmtId="0" fontId="45" fillId="0" borderId="0">
      <alignment horizontal="left" vertical="top"/>
    </xf>
    <xf numFmtId="0" fontId="29" fillId="0" borderId="0">
      <alignment horizontal="left"/>
    </xf>
    <xf numFmtId="180" fontId="39" fillId="35" borderId="0" applyNumberFormat="0" applyBorder="0">
      <protection locked="0"/>
    </xf>
    <xf numFmtId="0" fontId="42" fillId="0" borderId="25" applyNumberFormat="0" applyFill="0" applyAlignment="0" applyProtection="0"/>
    <xf numFmtId="0" fontId="42" fillId="0" borderId="25" applyNumberFormat="0" applyFill="0" applyAlignment="0" applyProtection="0"/>
    <xf numFmtId="180" fontId="27" fillId="36" borderId="0" applyNumberFormat="0" applyBorder="0">
      <protection locked="0"/>
    </xf>
    <xf numFmtId="41" fontId="12" fillId="0" borderId="0" applyFont="0" applyFill="0" applyBorder="0" applyAlignment="0" applyProtection="0"/>
    <xf numFmtId="43" fontId="12" fillId="0" borderId="0" applyFont="0" applyFill="0" applyBorder="0" applyAlignment="0" applyProtection="0"/>
    <xf numFmtId="42" fontId="12" fillId="0" borderId="0" applyFont="0" applyFill="0" applyBorder="0" applyAlignment="0" applyProtection="0"/>
    <xf numFmtId="44" fontId="12" fillId="0" borderId="0" applyFont="0" applyFill="0" applyBorder="0" applyAlignment="0" applyProtection="0"/>
    <xf numFmtId="181" fontId="41" fillId="0" borderId="0" applyFont="0" applyFill="0" applyBorder="0" applyAlignment="0" applyProtection="0"/>
    <xf numFmtId="182" fontId="41" fillId="0" borderId="0" applyFont="0" applyFill="0" applyBorder="0" applyAlignment="0" applyProtection="0"/>
    <xf numFmtId="0" fontId="36" fillId="0" borderId="0" applyNumberFormat="0" applyFill="0" applyBorder="0" applyAlignment="0" applyProtection="0"/>
    <xf numFmtId="0" fontId="50" fillId="24" borderId="0">
      <alignment horizontal="left" vertical="center" indent="1"/>
    </xf>
    <xf numFmtId="4" fontId="53" fillId="0" borderId="0"/>
    <xf numFmtId="0" fontId="76" fillId="0" borderId="0"/>
    <xf numFmtId="9" fontId="64" fillId="0" borderId="0" applyFont="0" applyFill="0" applyBorder="0" applyAlignment="0" applyProtection="0"/>
    <xf numFmtId="187" fontId="1" fillId="16" borderId="38">
      <protection hidden="1"/>
    </xf>
    <xf numFmtId="0" fontId="86" fillId="40" borderId="32" applyNumberFormat="0" applyAlignment="0" applyProtection="0"/>
    <xf numFmtId="0" fontId="91" fillId="48" borderId="0"/>
    <xf numFmtId="0" fontId="92" fillId="48" borderId="0">
      <alignment horizontal="right" vertical="center"/>
    </xf>
    <xf numFmtId="3" fontId="92" fillId="48" borderId="0">
      <alignment horizontal="right" vertical="center"/>
    </xf>
    <xf numFmtId="189" fontId="92" fillId="48" borderId="0">
      <alignment horizontal="right" vertical="center"/>
    </xf>
    <xf numFmtId="0" fontId="93" fillId="48" borderId="0"/>
    <xf numFmtId="0" fontId="94" fillId="50" borderId="0"/>
    <xf numFmtId="166" fontId="96" fillId="52" borderId="0"/>
    <xf numFmtId="187" fontId="57" fillId="0" borderId="0"/>
    <xf numFmtId="187" fontId="99" fillId="24" borderId="38">
      <protection locked="0"/>
    </xf>
    <xf numFmtId="187" fontId="57" fillId="0" borderId="0">
      <alignment horizontal="center"/>
    </xf>
    <xf numFmtId="170" fontId="100" fillId="24" borderId="38">
      <alignment horizontal="center"/>
      <protection locked="0"/>
    </xf>
    <xf numFmtId="187" fontId="101" fillId="0" borderId="0"/>
    <xf numFmtId="187" fontId="99" fillId="24" borderId="38">
      <alignment horizontal="center"/>
      <protection locked="0"/>
    </xf>
    <xf numFmtId="187" fontId="99" fillId="0" borderId="38"/>
    <xf numFmtId="170" fontId="99" fillId="45" borderId="38">
      <protection locked="0"/>
    </xf>
    <xf numFmtId="187" fontId="94" fillId="0" borderId="0"/>
    <xf numFmtId="0" fontId="106" fillId="0" borderId="0">
      <alignment horizontal="center"/>
    </xf>
    <xf numFmtId="170" fontId="105" fillId="0" borderId="38"/>
  </cellStyleXfs>
  <cellXfs count="873">
    <xf numFmtId="0" fontId="0" fillId="0" borderId="0" xfId="0"/>
    <xf numFmtId="0" fontId="2" fillId="0" borderId="0" xfId="0" applyFont="1"/>
    <xf numFmtId="0" fontId="0" fillId="2" borderId="0" xfId="0" applyFill="1"/>
    <xf numFmtId="0" fontId="0" fillId="2" borderId="0" xfId="0" quotePrefix="1" applyFill="1" applyAlignment="1">
      <alignment horizontal="right"/>
    </xf>
    <xf numFmtId="0" fontId="2" fillId="2" borderId="0" xfId="0" applyFont="1" applyFill="1"/>
    <xf numFmtId="0" fontId="3" fillId="3" borderId="1" xfId="0" applyFont="1" applyFill="1" applyBorder="1"/>
    <xf numFmtId="0" fontId="3" fillId="2" borderId="2" xfId="0" applyFont="1" applyFill="1" applyBorder="1"/>
    <xf numFmtId="0" fontId="0" fillId="2" borderId="3" xfId="0" applyFill="1" applyBorder="1"/>
    <xf numFmtId="0" fontId="3" fillId="4" borderId="1" xfId="0" applyFont="1" applyFill="1" applyBorder="1"/>
    <xf numFmtId="0" fontId="3" fillId="5" borderId="1" xfId="0" applyFont="1" applyFill="1" applyBorder="1"/>
    <xf numFmtId="0" fontId="3" fillId="6" borderId="1" xfId="0" applyFont="1" applyFill="1" applyBorder="1"/>
    <xf numFmtId="0" fontId="0" fillId="0" borderId="0" xfId="0" applyAlignment="1">
      <alignment horizontal="left"/>
    </xf>
    <xf numFmtId="0" fontId="2" fillId="2" borderId="0" xfId="0" applyFont="1" applyFill="1" applyAlignment="1">
      <alignment horizontal="left" vertical="top" wrapText="1"/>
    </xf>
    <xf numFmtId="0" fontId="2" fillId="2" borderId="0" xfId="0" applyFont="1" applyFill="1" applyAlignment="1">
      <alignment horizontal="left" vertical="top"/>
    </xf>
    <xf numFmtId="0" fontId="0" fillId="2" borderId="0" xfId="0" applyFill="1" applyAlignment="1">
      <alignment horizontal="left"/>
    </xf>
    <xf numFmtId="14" fontId="0" fillId="2" borderId="0" xfId="0" applyNumberFormat="1" applyFill="1" applyAlignment="1">
      <alignment horizontal="left"/>
    </xf>
    <xf numFmtId="166" fontId="0" fillId="2" borderId="0" xfId="0" applyNumberFormat="1" applyFill="1" applyAlignment="1">
      <alignment horizontal="left"/>
    </xf>
    <xf numFmtId="0" fontId="6" fillId="2" borderId="0" xfId="3" applyFill="1"/>
    <xf numFmtId="0" fontId="7" fillId="2" borderId="0" xfId="0" applyFont="1" applyFill="1"/>
    <xf numFmtId="167" fontId="0" fillId="2" borderId="0" xfId="0" applyNumberFormat="1" applyFill="1"/>
    <xf numFmtId="0" fontId="5" fillId="2" borderId="0" xfId="0" applyFont="1" applyFill="1"/>
    <xf numFmtId="0" fontId="8" fillId="2" borderId="0" xfId="0" applyFont="1" applyFill="1"/>
    <xf numFmtId="168" fontId="0" fillId="2" borderId="0" xfId="0" applyNumberFormat="1" applyFill="1"/>
    <xf numFmtId="0" fontId="0" fillId="2" borderId="0" xfId="0" applyFill="1" applyAlignment="1">
      <alignment horizontal="right"/>
    </xf>
    <xf numFmtId="0" fontId="2" fillId="2" borderId="0" xfId="0" applyFont="1" applyFill="1" applyAlignment="1">
      <alignment horizontal="center"/>
    </xf>
    <xf numFmtId="0" fontId="0" fillId="2" borderId="5" xfId="0" applyFill="1" applyBorder="1"/>
    <xf numFmtId="0" fontId="0" fillId="2" borderId="4" xfId="0" applyFill="1" applyBorder="1"/>
    <xf numFmtId="165" fontId="2" fillId="2" borderId="4" xfId="0" applyNumberFormat="1" applyFont="1" applyFill="1" applyBorder="1" applyAlignment="1">
      <alignment horizontal="right"/>
    </xf>
    <xf numFmtId="167" fontId="0" fillId="2" borderId="4" xfId="0" applyNumberFormat="1" applyFill="1" applyBorder="1"/>
    <xf numFmtId="0" fontId="2" fillId="2" borderId="4" xfId="0" applyFont="1" applyFill="1" applyBorder="1" applyAlignment="1">
      <alignment horizontal="center"/>
    </xf>
    <xf numFmtId="0" fontId="9" fillId="2" borderId="6" xfId="0" applyFont="1" applyFill="1" applyBorder="1"/>
    <xf numFmtId="165" fontId="2" fillId="2" borderId="0" xfId="0" applyNumberFormat="1" applyFont="1" applyFill="1" applyAlignment="1">
      <alignment horizontal="right"/>
    </xf>
    <xf numFmtId="0" fontId="0" fillId="2" borderId="6" xfId="0" applyFill="1" applyBorder="1"/>
    <xf numFmtId="9" fontId="0" fillId="6" borderId="0" xfId="0" applyNumberFormat="1" applyFill="1"/>
    <xf numFmtId="0" fontId="0" fillId="2" borderId="6" xfId="0" applyFill="1" applyBorder="1" applyAlignment="1">
      <alignment horizontal="right"/>
    </xf>
    <xf numFmtId="0" fontId="4" fillId="2" borderId="0" xfId="0" quotePrefix="1" applyFont="1" applyFill="1"/>
    <xf numFmtId="0" fontId="4" fillId="2" borderId="0" xfId="0" applyFont="1" applyFill="1"/>
    <xf numFmtId="169" fontId="0" fillId="2" borderId="6" xfId="0" applyNumberFormat="1" applyFill="1" applyBorder="1"/>
    <xf numFmtId="169" fontId="0" fillId="2" borderId="0" xfId="0" applyNumberFormat="1" applyFill="1"/>
    <xf numFmtId="3" fontId="0" fillId="2" borderId="0" xfId="0" quotePrefix="1" applyNumberFormat="1" applyFill="1"/>
    <xf numFmtId="3" fontId="0" fillId="2" borderId="0" xfId="0" quotePrefix="1" applyNumberFormat="1" applyFill="1" applyAlignment="1">
      <alignment horizontal="right"/>
    </xf>
    <xf numFmtId="169" fontId="2" fillId="2" borderId="6" xfId="0" applyNumberFormat="1" applyFont="1" applyFill="1" applyBorder="1"/>
    <xf numFmtId="0" fontId="2" fillId="2" borderId="0" xfId="0" quotePrefix="1" applyFont="1" applyFill="1" applyAlignment="1">
      <alignment horizontal="right"/>
    </xf>
    <xf numFmtId="169" fontId="2" fillId="2" borderId="0" xfId="0" applyNumberFormat="1" applyFont="1" applyFill="1"/>
    <xf numFmtId="3" fontId="2" fillId="2" borderId="0" xfId="0" applyNumberFormat="1" applyFont="1" applyFill="1"/>
    <xf numFmtId="3" fontId="4" fillId="2" borderId="0" xfId="0" applyNumberFormat="1" applyFont="1" applyFill="1"/>
    <xf numFmtId="3" fontId="0" fillId="2" borderId="0" xfId="0" applyNumberFormat="1" applyFill="1"/>
    <xf numFmtId="3" fontId="10" fillId="7" borderId="0" xfId="0" applyNumberFormat="1" applyFont="1" applyFill="1" applyAlignment="1">
      <alignment horizontal="right"/>
    </xf>
    <xf numFmtId="9" fontId="1" fillId="2" borderId="0" xfId="2" applyFill="1"/>
    <xf numFmtId="167" fontId="0" fillId="2" borderId="0" xfId="0" applyNumberFormat="1" applyFill="1" applyProtection="1">
      <protection hidden="1"/>
    </xf>
    <xf numFmtId="9" fontId="1" fillId="6" borderId="0" xfId="2" applyFill="1"/>
    <xf numFmtId="1" fontId="0" fillId="2" borderId="0" xfId="0" applyNumberFormat="1" applyFill="1"/>
    <xf numFmtId="167" fontId="0" fillId="2" borderId="0" xfId="0" quotePrefix="1" applyNumberFormat="1" applyFill="1" applyAlignment="1" applyProtection="1">
      <alignment horizontal="right"/>
      <protection hidden="1"/>
    </xf>
    <xf numFmtId="9" fontId="1" fillId="2" borderId="0" xfId="2" applyFill="1" applyProtection="1">
      <protection hidden="1"/>
    </xf>
    <xf numFmtId="0" fontId="11" fillId="2" borderId="0" xfId="0" applyFont="1" applyFill="1"/>
    <xf numFmtId="0" fontId="3" fillId="2" borderId="0" xfId="0" applyFont="1" applyFill="1"/>
    <xf numFmtId="170" fontId="1" fillId="2" borderId="0" xfId="4" applyNumberFormat="1" applyFont="1" applyFill="1" applyProtection="1">
      <protection hidden="1"/>
    </xf>
    <xf numFmtId="167" fontId="0" fillId="2" borderId="0" xfId="0" quotePrefix="1" applyNumberFormat="1" applyFill="1" applyProtection="1">
      <protection hidden="1"/>
    </xf>
    <xf numFmtId="1" fontId="0" fillId="2" borderId="0" xfId="0" quotePrefix="1" applyNumberFormat="1" applyFill="1"/>
    <xf numFmtId="0" fontId="0" fillId="8" borderId="0" xfId="0" applyFill="1"/>
    <xf numFmtId="9" fontId="0" fillId="2" borderId="0" xfId="0" applyNumberFormat="1" applyFill="1"/>
    <xf numFmtId="0" fontId="13" fillId="2" borderId="0" xfId="0" applyFont="1" applyFill="1" applyAlignment="1">
      <alignment vertical="top"/>
    </xf>
    <xf numFmtId="0" fontId="13" fillId="2" borderId="0" xfId="0" applyFont="1" applyFill="1" applyAlignment="1">
      <alignment horizontal="right" vertical="top"/>
    </xf>
    <xf numFmtId="167" fontId="13" fillId="2" borderId="0" xfId="0" applyNumberFormat="1" applyFont="1" applyFill="1" applyAlignment="1">
      <alignment vertical="top"/>
    </xf>
    <xf numFmtId="0" fontId="2" fillId="6" borderId="1" xfId="0" applyFont="1" applyFill="1" applyBorder="1" applyAlignment="1">
      <alignment horizontal="center"/>
    </xf>
    <xf numFmtId="0" fontId="0" fillId="2" borderId="0" xfId="0" applyFill="1" applyAlignment="1">
      <alignment horizontal="center"/>
    </xf>
    <xf numFmtId="0" fontId="0" fillId="2" borderId="0" xfId="0" applyFill="1" applyAlignment="1">
      <alignment horizontal="left" indent="2"/>
    </xf>
    <xf numFmtId="9" fontId="2" fillId="6" borderId="1" xfId="0" applyNumberFormat="1" applyFont="1" applyFill="1" applyBorder="1" applyAlignment="1">
      <alignment horizontal="right"/>
    </xf>
    <xf numFmtId="166" fontId="2" fillId="6" borderId="1" xfId="0" applyNumberFormat="1" applyFont="1" applyFill="1" applyBorder="1" applyAlignment="1">
      <alignment horizontal="right"/>
    </xf>
    <xf numFmtId="9" fontId="2" fillId="2" borderId="0" xfId="0" applyNumberFormat="1" applyFont="1" applyFill="1" applyAlignment="1">
      <alignment horizontal="right"/>
    </xf>
    <xf numFmtId="0" fontId="2" fillId="2" borderId="0" xfId="0" applyFont="1" applyFill="1" applyAlignment="1">
      <alignment horizontal="right"/>
    </xf>
    <xf numFmtId="43" fontId="2" fillId="2" borderId="0" xfId="1" applyFont="1" applyFill="1" applyAlignment="1">
      <alignment horizontal="right"/>
    </xf>
    <xf numFmtId="165" fontId="1" fillId="2" borderId="0" xfId="1" applyNumberFormat="1" applyFill="1" applyAlignment="1">
      <alignment horizontal="right"/>
    </xf>
    <xf numFmtId="43" fontId="1" fillId="2" borderId="0" xfId="1" applyFill="1" applyAlignment="1">
      <alignment horizontal="right"/>
    </xf>
    <xf numFmtId="0" fontId="0" fillId="2" borderId="0" xfId="0" applyFill="1" applyAlignment="1">
      <alignment horizontal="left" indent="5"/>
    </xf>
    <xf numFmtId="9" fontId="2" fillId="6" borderId="1" xfId="2" applyFont="1" applyFill="1" applyBorder="1" applyAlignment="1">
      <alignment horizontal="center"/>
    </xf>
    <xf numFmtId="0" fontId="0" fillId="2" borderId="0" xfId="0" applyFill="1" applyAlignment="1">
      <alignment horizontal="right" indent="5"/>
    </xf>
    <xf numFmtId="9" fontId="1" fillId="2" borderId="0" xfId="2" applyFill="1" applyAlignment="1">
      <alignment horizontal="right"/>
    </xf>
    <xf numFmtId="170" fontId="1" fillId="2" borderId="0" xfId="2" applyNumberFormat="1" applyFill="1" applyAlignment="1">
      <alignment horizontal="right"/>
    </xf>
    <xf numFmtId="9" fontId="2" fillId="2" borderId="1" xfId="2" applyFont="1" applyFill="1" applyBorder="1" applyAlignment="1">
      <alignment horizontal="center"/>
    </xf>
    <xf numFmtId="0" fontId="14" fillId="8" borderId="0" xfId="0" applyFont="1" applyFill="1"/>
    <xf numFmtId="0" fontId="0" fillId="8" borderId="0" xfId="0" applyFill="1" applyAlignment="1">
      <alignment horizontal="center"/>
    </xf>
    <xf numFmtId="3" fontId="0" fillId="6" borderId="0" xfId="0" applyNumberFormat="1" applyFill="1"/>
    <xf numFmtId="165" fontId="0" fillId="6" borderId="0" xfId="1" applyNumberFormat="1" applyFont="1" applyFill="1"/>
    <xf numFmtId="43" fontId="0" fillId="6" borderId="0" xfId="1" quotePrefix="1" applyFont="1" applyFill="1" applyAlignment="1">
      <alignment horizontal="right"/>
    </xf>
    <xf numFmtId="43" fontId="0" fillId="6" borderId="0" xfId="1" applyFont="1" applyFill="1" applyAlignment="1">
      <alignment horizontal="right"/>
    </xf>
    <xf numFmtId="43" fontId="3" fillId="6" borderId="0" xfId="1" applyFont="1" applyFill="1" applyAlignment="1">
      <alignment horizontal="right"/>
    </xf>
    <xf numFmtId="165" fontId="0" fillId="2" borderId="0" xfId="1" applyNumberFormat="1" applyFont="1" applyFill="1"/>
    <xf numFmtId="165" fontId="0" fillId="5" borderId="0" xfId="1" applyNumberFormat="1" applyFont="1" applyFill="1"/>
    <xf numFmtId="165" fontId="0" fillId="5" borderId="0" xfId="0" applyNumberFormat="1" applyFill="1"/>
    <xf numFmtId="165" fontId="2" fillId="2" borderId="0" xfId="1" applyNumberFormat="1" applyFont="1" applyFill="1"/>
    <xf numFmtId="165" fontId="2" fillId="2" borderId="0" xfId="1" quotePrefix="1" applyNumberFormat="1" applyFont="1" applyFill="1" applyAlignment="1">
      <alignment horizontal="right"/>
    </xf>
    <xf numFmtId="0" fontId="2" fillId="2" borderId="6" xfId="0" applyFont="1" applyFill="1" applyBorder="1"/>
    <xf numFmtId="0" fontId="15" fillId="2" borderId="0" xfId="0" applyFont="1" applyFill="1"/>
    <xf numFmtId="165" fontId="2" fillId="5" borderId="0" xfId="1" applyNumberFormat="1" applyFont="1" applyFill="1"/>
    <xf numFmtId="165" fontId="0" fillId="2" borderId="0" xfId="1" applyNumberFormat="1" applyFont="1" applyFill="1" applyProtection="1">
      <protection hidden="1"/>
    </xf>
    <xf numFmtId="0" fontId="2" fillId="2" borderId="9" xfId="0" applyFont="1" applyFill="1" applyBorder="1"/>
    <xf numFmtId="0" fontId="2" fillId="2" borderId="10" xfId="0" quotePrefix="1" applyFont="1" applyFill="1" applyBorder="1" applyAlignment="1">
      <alignment horizontal="right"/>
    </xf>
    <xf numFmtId="9" fontId="2" fillId="2" borderId="10" xfId="0" applyNumberFormat="1" applyFont="1" applyFill="1" applyBorder="1"/>
    <xf numFmtId="167" fontId="2" fillId="2" borderId="11" xfId="0" quotePrefix="1" applyNumberFormat="1" applyFont="1" applyFill="1" applyBorder="1" applyProtection="1">
      <protection hidden="1"/>
    </xf>
    <xf numFmtId="0" fontId="2" fillId="2" borderId="12" xfId="0" applyFont="1" applyFill="1" applyBorder="1"/>
    <xf numFmtId="0" fontId="2" fillId="2" borderId="4" xfId="0" applyFont="1" applyFill="1" applyBorder="1" applyAlignment="1">
      <alignment horizontal="right"/>
    </xf>
    <xf numFmtId="0" fontId="2" fillId="2" borderId="4" xfId="0" applyFont="1" applyFill="1" applyBorder="1"/>
    <xf numFmtId="170" fontId="2" fillId="2" borderId="13" xfId="2" applyNumberFormat="1" applyFont="1" applyFill="1" applyBorder="1" applyProtection="1">
      <protection hidden="1"/>
    </xf>
    <xf numFmtId="0" fontId="0" fillId="2" borderId="9" xfId="0" applyFill="1" applyBorder="1"/>
    <xf numFmtId="0" fontId="0" fillId="2" borderId="10" xfId="0" quotePrefix="1" applyFill="1" applyBorder="1" applyAlignment="1">
      <alignment horizontal="right"/>
    </xf>
    <xf numFmtId="9" fontId="0" fillId="2" borderId="10" xfId="0" applyNumberFormat="1" applyFill="1" applyBorder="1"/>
    <xf numFmtId="167" fontId="0" fillId="2" borderId="11" xfId="0" quotePrefix="1" applyNumberFormat="1" applyFill="1" applyBorder="1" applyProtection="1">
      <protection hidden="1"/>
    </xf>
    <xf numFmtId="0" fontId="0" fillId="2" borderId="12" xfId="0" applyFill="1" applyBorder="1"/>
    <xf numFmtId="0" fontId="0" fillId="2" borderId="4" xfId="0" applyFill="1" applyBorder="1" applyAlignment="1">
      <alignment horizontal="right"/>
    </xf>
    <xf numFmtId="170" fontId="1" fillId="2" borderId="13" xfId="2" quotePrefix="1" applyNumberFormat="1" applyFill="1" applyBorder="1" applyProtection="1">
      <protection hidden="1"/>
    </xf>
    <xf numFmtId="169" fontId="0" fillId="2" borderId="5" xfId="0" applyNumberFormat="1" applyFill="1" applyBorder="1"/>
    <xf numFmtId="0" fontId="2" fillId="2" borderId="4" xfId="0" quotePrefix="1" applyFont="1" applyFill="1" applyBorder="1" applyAlignment="1">
      <alignment horizontal="right"/>
    </xf>
    <xf numFmtId="167" fontId="2" fillId="2" borderId="4" xfId="0" applyNumberFormat="1" applyFont="1" applyFill="1" applyBorder="1" applyProtection="1">
      <protection hidden="1"/>
    </xf>
    <xf numFmtId="0" fontId="0" fillId="9" borderId="1" xfId="0" applyFill="1" applyBorder="1"/>
    <xf numFmtId="0" fontId="0" fillId="0" borderId="0" xfId="0" applyAlignment="1">
      <alignment vertical="center"/>
    </xf>
    <xf numFmtId="0" fontId="0" fillId="0" borderId="0" xfId="0" quotePrefix="1"/>
    <xf numFmtId="0" fontId="0" fillId="5" borderId="1" xfId="0" applyFill="1" applyBorder="1"/>
    <xf numFmtId="0" fontId="3" fillId="2" borderId="8" xfId="0" applyFont="1" applyFill="1" applyBorder="1"/>
    <xf numFmtId="9" fontId="0" fillId="6" borderId="0" xfId="2" applyFont="1" applyFill="1"/>
    <xf numFmtId="3" fontId="2" fillId="2" borderId="0" xfId="0" applyNumberFormat="1" applyFont="1" applyFill="1" applyAlignment="1">
      <alignment horizontal="center"/>
    </xf>
    <xf numFmtId="0" fontId="2" fillId="0" borderId="0" xfId="0" applyFont="1" applyAlignment="1">
      <alignment horizontal="center"/>
    </xf>
    <xf numFmtId="0" fontId="0" fillId="0" borderId="0" xfId="0" applyAlignment="1">
      <alignment horizontal="left" vertical="center"/>
    </xf>
    <xf numFmtId="167" fontId="2" fillId="2" borderId="4" xfId="0" applyNumberFormat="1" applyFont="1" applyFill="1" applyBorder="1" applyAlignment="1">
      <alignment horizontal="center"/>
    </xf>
    <xf numFmtId="0" fontId="3" fillId="2" borderId="0" xfId="0" applyFont="1" applyFill="1" applyAlignment="1">
      <alignment horizontal="center"/>
    </xf>
    <xf numFmtId="0" fontId="3" fillId="6" borderId="0" xfId="0" applyFont="1" applyFill="1" applyAlignment="1">
      <alignment horizontal="right"/>
    </xf>
    <xf numFmtId="167" fontId="0" fillId="2" borderId="1" xfId="0" applyNumberFormat="1" applyFill="1" applyBorder="1" applyAlignment="1">
      <alignment horizontal="right"/>
    </xf>
    <xf numFmtId="167" fontId="0" fillId="2" borderId="1" xfId="0" applyNumberFormat="1" applyFill="1" applyBorder="1"/>
    <xf numFmtId="0" fontId="6" fillId="0" borderId="0" xfId="3"/>
    <xf numFmtId="165" fontId="0" fillId="6" borderId="0" xfId="1" quotePrefix="1" applyNumberFormat="1" applyFont="1" applyFill="1" applyAlignment="1">
      <alignment horizontal="right"/>
    </xf>
    <xf numFmtId="1" fontId="2" fillId="2" borderId="0" xfId="1" applyNumberFormat="1" applyFont="1" applyFill="1" applyAlignment="1">
      <alignment horizontal="center"/>
    </xf>
    <xf numFmtId="1" fontId="2" fillId="0" borderId="0" xfId="0" applyNumberFormat="1" applyFont="1" applyAlignment="1">
      <alignment horizontal="center"/>
    </xf>
    <xf numFmtId="3" fontId="2" fillId="2" borderId="0" xfId="0" quotePrefix="1" applyNumberFormat="1" applyFont="1" applyFill="1"/>
    <xf numFmtId="167" fontId="2" fillId="2" borderId="0" xfId="0" applyNumberFormat="1" applyFont="1" applyFill="1" applyProtection="1">
      <protection hidden="1"/>
    </xf>
    <xf numFmtId="165" fontId="0" fillId="6" borderId="0" xfId="1" applyNumberFormat="1" applyFont="1" applyFill="1" applyAlignment="1">
      <alignment horizontal="right"/>
    </xf>
    <xf numFmtId="9" fontId="0" fillId="2" borderId="0" xfId="2" applyFont="1" applyFill="1"/>
    <xf numFmtId="0" fontId="0" fillId="0" borderId="0" xfId="0" applyAlignment="1">
      <alignment horizontal="right"/>
    </xf>
    <xf numFmtId="165" fontId="2" fillId="5" borderId="0" xfId="0" applyNumberFormat="1" applyFont="1" applyFill="1"/>
    <xf numFmtId="0" fontId="5" fillId="0" borderId="0" xfId="0" applyFont="1" applyAlignment="1">
      <alignment horizontal="left"/>
    </xf>
    <xf numFmtId="3" fontId="2" fillId="0" borderId="0" xfId="1" applyNumberFormat="1" applyFont="1" applyAlignment="1">
      <alignment horizontal="left"/>
    </xf>
    <xf numFmtId="9" fontId="2" fillId="0" borderId="0" xfId="2" applyFont="1" applyAlignment="1">
      <alignment horizontal="left"/>
    </xf>
    <xf numFmtId="0" fontId="1" fillId="0" borderId="0" xfId="5" applyFont="1"/>
    <xf numFmtId="0" fontId="2" fillId="0" borderId="0" xfId="5" applyFont="1"/>
    <xf numFmtId="0" fontId="1" fillId="0" borderId="0" xfId="5" applyFont="1" applyAlignment="1">
      <alignment horizontal="center"/>
    </xf>
    <xf numFmtId="0" fontId="2" fillId="0" borderId="0" xfId="5" applyFont="1" applyAlignment="1">
      <alignment horizontal="center"/>
    </xf>
    <xf numFmtId="0" fontId="0" fillId="0" borderId="0" xfId="5" applyFont="1" applyAlignment="1">
      <alignment horizontal="center"/>
    </xf>
    <xf numFmtId="0" fontId="3" fillId="2" borderId="3" xfId="0" applyFont="1" applyFill="1" applyBorder="1"/>
    <xf numFmtId="0" fontId="7" fillId="0" borderId="0" xfId="5" applyFont="1"/>
    <xf numFmtId="0" fontId="0" fillId="10" borderId="1" xfId="0" applyFill="1" applyBorder="1"/>
    <xf numFmtId="0" fontId="2" fillId="0" borderId="0" xfId="5" applyFont="1" applyAlignment="1">
      <alignment horizontal="left"/>
    </xf>
    <xf numFmtId="0" fontId="0" fillId="0" borderId="0" xfId="5" applyFont="1"/>
    <xf numFmtId="10" fontId="0" fillId="0" borderId="0" xfId="0" applyNumberFormat="1"/>
    <xf numFmtId="9" fontId="0" fillId="2" borderId="2" xfId="0" applyNumberFormat="1" applyFill="1" applyBorder="1"/>
    <xf numFmtId="170" fontId="17" fillId="11" borderId="14" xfId="0" applyNumberFormat="1" applyFont="1" applyFill="1" applyBorder="1" applyAlignment="1">
      <alignment horizontal="right"/>
    </xf>
    <xf numFmtId="0" fontId="0" fillId="12" borderId="0" xfId="0" applyFill="1"/>
    <xf numFmtId="167" fontId="18" fillId="11" borderId="0" xfId="0" applyNumberFormat="1" applyFont="1" applyFill="1" applyAlignment="1">
      <alignment horizontal="right"/>
    </xf>
    <xf numFmtId="170" fontId="17" fillId="11" borderId="0" xfId="0" applyNumberFormat="1" applyFont="1" applyFill="1" applyAlignment="1">
      <alignment horizontal="right"/>
    </xf>
    <xf numFmtId="165" fontId="2" fillId="2" borderId="0" xfId="1" applyNumberFormat="1" applyFont="1" applyFill="1" applyAlignment="1">
      <alignment horizontal="center"/>
    </xf>
    <xf numFmtId="167" fontId="0" fillId="6" borderId="0" xfId="0" applyNumberFormat="1" applyFill="1" applyProtection="1">
      <protection hidden="1"/>
    </xf>
    <xf numFmtId="167" fontId="18" fillId="11" borderId="0" xfId="0" quotePrefix="1" applyNumberFormat="1" applyFont="1" applyFill="1" applyAlignment="1">
      <alignment horizontal="right"/>
    </xf>
    <xf numFmtId="167" fontId="2" fillId="2" borderId="0" xfId="0" quotePrefix="1" applyNumberFormat="1" applyFont="1" applyFill="1" applyProtection="1">
      <protection hidden="1"/>
    </xf>
    <xf numFmtId="165" fontId="1" fillId="6" borderId="0" xfId="1" applyNumberFormat="1" applyFill="1"/>
    <xf numFmtId="165" fontId="0" fillId="2" borderId="0" xfId="1" quotePrefix="1" applyNumberFormat="1" applyFont="1" applyFill="1" applyAlignment="1">
      <alignment horizontal="right"/>
    </xf>
    <xf numFmtId="165" fontId="2" fillId="0" borderId="0" xfId="1" applyNumberFormat="1" applyFont="1"/>
    <xf numFmtId="165" fontId="1" fillId="0" borderId="0" xfId="1" applyNumberFormat="1"/>
    <xf numFmtId="0" fontId="2" fillId="0" borderId="0" xfId="5" applyFont="1" applyAlignment="1">
      <alignment horizontal="center" wrapText="1"/>
    </xf>
    <xf numFmtId="2" fontId="0" fillId="6" borderId="0" xfId="2" applyNumberFormat="1" applyFont="1" applyFill="1"/>
    <xf numFmtId="9" fontId="3" fillId="2" borderId="0" xfId="2" applyFont="1" applyFill="1"/>
    <xf numFmtId="0" fontId="19"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vertical="center" wrapText="1"/>
    </xf>
    <xf numFmtId="0" fontId="20" fillId="0" borderId="0" xfId="0" applyFont="1" applyAlignment="1">
      <alignment vertical="center" wrapText="1"/>
    </xf>
    <xf numFmtId="165" fontId="21" fillId="0" borderId="0" xfId="1" applyNumberFormat="1" applyFont="1" applyAlignment="1">
      <alignment horizontal="right" vertical="center" wrapText="1"/>
    </xf>
    <xf numFmtId="0" fontId="20" fillId="0" borderId="0" xfId="0" applyFont="1" applyAlignment="1">
      <alignment horizontal="justify" vertical="center" wrapText="1"/>
    </xf>
    <xf numFmtId="0" fontId="2" fillId="0" borderId="0" xfId="0" applyFont="1" applyAlignment="1">
      <alignment vertical="center" wrapText="1"/>
    </xf>
    <xf numFmtId="3" fontId="19" fillId="0" borderId="0" xfId="0" applyNumberFormat="1" applyFont="1" applyAlignment="1">
      <alignment horizontal="right" vertical="center" wrapText="1"/>
    </xf>
    <xf numFmtId="0" fontId="0" fillId="0" borderId="0" xfId="0" applyAlignment="1">
      <alignment horizontal="center" vertical="center" wrapText="1"/>
    </xf>
    <xf numFmtId="0" fontId="20" fillId="0" borderId="0" xfId="0" applyFont="1"/>
    <xf numFmtId="2" fontId="20" fillId="0" borderId="0" xfId="0" applyNumberFormat="1" applyFont="1"/>
    <xf numFmtId="165" fontId="20" fillId="0" borderId="0" xfId="0" applyNumberFormat="1" applyFont="1"/>
    <xf numFmtId="0" fontId="20" fillId="0" borderId="0" xfId="0" applyFont="1" applyAlignment="1">
      <alignment horizontal="center" vertical="center" wrapText="1"/>
    </xf>
    <xf numFmtId="0" fontId="2" fillId="0" borderId="0" xfId="0" applyFont="1" applyAlignment="1">
      <alignment vertical="center"/>
    </xf>
    <xf numFmtId="3" fontId="10" fillId="0" borderId="0" xfId="0" applyNumberFormat="1" applyFont="1" applyAlignment="1">
      <alignment horizontal="right" vertical="center" wrapText="1"/>
    </xf>
    <xf numFmtId="3" fontId="22" fillId="0" borderId="0" xfId="0" applyNumberFormat="1" applyFont="1" applyAlignment="1">
      <alignment horizontal="right" vertical="center" wrapText="1"/>
    </xf>
    <xf numFmtId="0" fontId="2" fillId="0" borderId="0" xfId="0" applyFont="1" applyAlignment="1">
      <alignment horizontal="center" vertical="center" wrapText="1"/>
    </xf>
    <xf numFmtId="165" fontId="10" fillId="0" borderId="0" xfId="1" applyNumberFormat="1" applyFont="1" applyAlignment="1">
      <alignment horizontal="right" vertical="center" wrapText="1"/>
    </xf>
    <xf numFmtId="165" fontId="22" fillId="0" borderId="0" xfId="1" applyNumberFormat="1" applyFont="1" applyAlignment="1">
      <alignment horizontal="right" vertical="center" wrapText="1"/>
    </xf>
    <xf numFmtId="0" fontId="10" fillId="0" borderId="0" xfId="0" applyFont="1" applyAlignment="1">
      <alignment vertical="center" wrapText="1"/>
    </xf>
    <xf numFmtId="0" fontId="9" fillId="2" borderId="0" xfId="0" applyFont="1" applyFill="1"/>
    <xf numFmtId="165" fontId="10" fillId="6" borderId="0" xfId="1" applyNumberFormat="1" applyFont="1" applyFill="1" applyAlignment="1">
      <alignment horizontal="right" vertical="center" wrapText="1"/>
    </xf>
    <xf numFmtId="165" fontId="10" fillId="2" borderId="0" xfId="1" applyNumberFormat="1" applyFont="1" applyFill="1" applyAlignment="1">
      <alignment horizontal="right" vertical="center" wrapText="1"/>
    </xf>
    <xf numFmtId="0" fontId="19" fillId="0" borderId="0" xfId="0" applyFont="1" applyAlignment="1">
      <alignment vertical="center"/>
    </xf>
    <xf numFmtId="0" fontId="20" fillId="0" borderId="0" xfId="0" applyFont="1" applyAlignment="1">
      <alignment horizontal="center"/>
    </xf>
    <xf numFmtId="165" fontId="20" fillId="6" borderId="0" xfId="0" applyNumberFormat="1" applyFont="1" applyFill="1"/>
    <xf numFmtId="165" fontId="1" fillId="0" borderId="0" xfId="1" applyNumberFormat="1" applyAlignment="1">
      <alignment horizontal="center" vertical="center" wrapText="1"/>
    </xf>
    <xf numFmtId="0" fontId="10" fillId="6" borderId="0" xfId="0" applyFont="1" applyFill="1" applyAlignment="1">
      <alignment horizontal="right" vertical="center" wrapText="1"/>
    </xf>
    <xf numFmtId="0" fontId="0" fillId="6" borderId="0" xfId="0" applyFill="1" applyAlignment="1">
      <alignment horizontal="right" vertical="center" wrapText="1"/>
    </xf>
    <xf numFmtId="165" fontId="0" fillId="6" borderId="0" xfId="1" applyNumberFormat="1" applyFont="1" applyFill="1" applyAlignment="1">
      <alignment horizontal="right" vertical="center" wrapText="1"/>
    </xf>
    <xf numFmtId="0" fontId="2" fillId="0" borderId="0" xfId="0" applyFont="1" applyAlignment="1">
      <alignment horizontal="center" wrapText="1"/>
    </xf>
    <xf numFmtId="0" fontId="2" fillId="0" borderId="0" xfId="0" applyFont="1" applyAlignment="1">
      <alignment horizontal="left" wrapText="1"/>
    </xf>
    <xf numFmtId="165" fontId="20" fillId="2" borderId="0" xfId="0" applyNumberFormat="1" applyFont="1" applyFill="1" applyAlignment="1">
      <alignment horizontal="right"/>
    </xf>
    <xf numFmtId="165" fontId="0" fillId="0" borderId="0" xfId="1" applyNumberFormat="1" applyFont="1" applyAlignment="1">
      <alignment horizontal="right"/>
    </xf>
    <xf numFmtId="3" fontId="0" fillId="6" borderId="0" xfId="0" applyNumberFormat="1" applyFill="1" applyAlignment="1">
      <alignment horizontal="right" vertical="center" wrapText="1"/>
    </xf>
    <xf numFmtId="165" fontId="20" fillId="6" borderId="0" xfId="1" applyNumberFormat="1" applyFont="1" applyFill="1" applyAlignment="1">
      <alignment horizontal="center" vertical="center" wrapText="1"/>
    </xf>
    <xf numFmtId="3" fontId="2" fillId="0" borderId="0" xfId="0" applyNumberFormat="1" applyFont="1"/>
    <xf numFmtId="0" fontId="20" fillId="0" borderId="0" xfId="0" applyFont="1" applyAlignment="1">
      <alignment horizontal="justify" vertical="top"/>
    </xf>
    <xf numFmtId="165" fontId="1" fillId="0" borderId="1" xfId="1" applyNumberFormat="1" applyBorder="1" applyAlignment="1">
      <alignment horizontal="center"/>
    </xf>
    <xf numFmtId="165" fontId="0" fillId="0" borderId="1" xfId="1" applyNumberFormat="1" applyFont="1" applyBorder="1"/>
    <xf numFmtId="165" fontId="0" fillId="2" borderId="1" xfId="1" applyNumberFormat="1" applyFont="1" applyFill="1" applyBorder="1"/>
    <xf numFmtId="165" fontId="1" fillId="0" borderId="1" xfId="1" applyNumberFormat="1" applyBorder="1" applyAlignment="1">
      <alignment horizontal="left" indent="1"/>
    </xf>
    <xf numFmtId="0" fontId="0" fillId="0" borderId="0" xfId="0" applyAlignment="1">
      <alignment horizontal="center"/>
    </xf>
    <xf numFmtId="165" fontId="1" fillId="0" borderId="0" xfId="5" applyNumberFormat="1" applyFont="1"/>
    <xf numFmtId="1" fontId="0" fillId="6" borderId="0" xfId="0" applyNumberFormat="1" applyFill="1" applyAlignment="1">
      <alignment horizontal="right" vertical="center" wrapText="1"/>
    </xf>
    <xf numFmtId="165" fontId="0" fillId="0" borderId="0" xfId="5" applyNumberFormat="1" applyFont="1"/>
    <xf numFmtId="9" fontId="2" fillId="6" borderId="26" xfId="2" applyFont="1" applyFill="1" applyBorder="1" applyAlignment="1">
      <alignment horizontal="center"/>
    </xf>
    <xf numFmtId="0" fontId="59" fillId="2" borderId="0" xfId="0" applyFont="1" applyFill="1"/>
    <xf numFmtId="0" fontId="59" fillId="2" borderId="0" xfId="0" applyFont="1" applyFill="1" applyAlignment="1">
      <alignment horizontal="right"/>
    </xf>
    <xf numFmtId="0" fontId="60" fillId="2" borderId="0" xfId="0" applyFont="1" applyFill="1" applyAlignment="1">
      <alignment horizontal="center"/>
    </xf>
    <xf numFmtId="0" fontId="60" fillId="2" borderId="0" xfId="0" applyFont="1" applyFill="1"/>
    <xf numFmtId="3" fontId="59" fillId="2" borderId="0" xfId="0" applyNumberFormat="1" applyFont="1" applyFill="1"/>
    <xf numFmtId="165" fontId="59" fillId="2" borderId="0" xfId="1" applyNumberFormat="1" applyFont="1" applyFill="1"/>
    <xf numFmtId="0" fontId="60" fillId="2" borderId="0" xfId="0" quotePrefix="1" applyFont="1" applyFill="1" applyAlignment="1">
      <alignment horizontal="right"/>
    </xf>
    <xf numFmtId="169" fontId="60" fillId="2" borderId="0" xfId="0" applyNumberFormat="1" applyFont="1" applyFill="1"/>
    <xf numFmtId="3" fontId="60" fillId="2" borderId="0" xfId="0" quotePrefix="1" applyNumberFormat="1" applyFont="1" applyFill="1"/>
    <xf numFmtId="0" fontId="59" fillId="2" borderId="0" xfId="0" quotePrefix="1" applyFont="1" applyFill="1" applyAlignment="1">
      <alignment horizontal="right"/>
    </xf>
    <xf numFmtId="169" fontId="59" fillId="2" borderId="0" xfId="0" applyNumberFormat="1" applyFont="1" applyFill="1"/>
    <xf numFmtId="3" fontId="60" fillId="2" borderId="0" xfId="0" applyNumberFormat="1" applyFont="1" applyFill="1"/>
    <xf numFmtId="9" fontId="59" fillId="2" borderId="0" xfId="2" applyFont="1" applyFill="1"/>
    <xf numFmtId="3" fontId="59" fillId="2" borderId="0" xfId="0" quotePrefix="1" applyNumberFormat="1" applyFont="1" applyFill="1"/>
    <xf numFmtId="3" fontId="59" fillId="2" borderId="0" xfId="0" quotePrefix="1" applyNumberFormat="1" applyFont="1" applyFill="1" applyAlignment="1">
      <alignment horizontal="right"/>
    </xf>
    <xf numFmtId="167" fontId="59" fillId="2" borderId="0" xfId="0" applyNumberFormat="1" applyFont="1" applyFill="1" applyProtection="1">
      <protection hidden="1"/>
    </xf>
    <xf numFmtId="167" fontId="60" fillId="2" borderId="0" xfId="0" applyNumberFormat="1" applyFont="1" applyFill="1" applyProtection="1">
      <protection hidden="1"/>
    </xf>
    <xf numFmtId="1" fontId="59" fillId="2" borderId="0" xfId="0" applyNumberFormat="1" applyFont="1" applyFill="1"/>
    <xf numFmtId="167" fontId="59" fillId="2" borderId="0" xfId="0" quotePrefix="1" applyNumberFormat="1" applyFont="1" applyFill="1" applyAlignment="1" applyProtection="1">
      <alignment horizontal="right"/>
      <protection hidden="1"/>
    </xf>
    <xf numFmtId="167" fontId="59" fillId="2" borderId="0" xfId="0" applyNumberFormat="1" applyFont="1" applyFill="1"/>
    <xf numFmtId="0" fontId="62" fillId="2" borderId="0" xfId="0" applyFont="1" applyFill="1"/>
    <xf numFmtId="9" fontId="59" fillId="2" borderId="0" xfId="2" applyFont="1" applyFill="1" applyProtection="1">
      <protection hidden="1"/>
    </xf>
    <xf numFmtId="9" fontId="59" fillId="2" borderId="2" xfId="0" applyNumberFormat="1" applyFont="1" applyFill="1" applyBorder="1"/>
    <xf numFmtId="9" fontId="59" fillId="2" borderId="0" xfId="0" applyNumberFormat="1" applyFont="1" applyFill="1"/>
    <xf numFmtId="165" fontId="59" fillId="2" borderId="0" xfId="1" applyNumberFormat="1" applyFont="1" applyFill="1" applyProtection="1">
      <protection hidden="1"/>
    </xf>
    <xf numFmtId="167" fontId="59" fillId="2" borderId="7" xfId="0" applyNumberFormat="1" applyFont="1" applyFill="1" applyBorder="1" applyProtection="1">
      <protection hidden="1"/>
    </xf>
    <xf numFmtId="167" fontId="59" fillId="2" borderId="1" xfId="0" applyNumberFormat="1" applyFont="1" applyFill="1" applyBorder="1" applyProtection="1">
      <protection hidden="1"/>
    </xf>
    <xf numFmtId="167" fontId="59" fillId="2" borderId="2" xfId="0" applyNumberFormat="1" applyFont="1" applyFill="1" applyBorder="1" applyProtection="1">
      <protection hidden="1"/>
    </xf>
    <xf numFmtId="3" fontId="61" fillId="37" borderId="0" xfId="0" applyNumberFormat="1" applyFont="1" applyFill="1" applyAlignment="1">
      <alignment horizontal="right"/>
    </xf>
    <xf numFmtId="167" fontId="59" fillId="2" borderId="26" xfId="0" applyNumberFormat="1" applyFont="1" applyFill="1" applyBorder="1" applyProtection="1">
      <protection hidden="1"/>
    </xf>
    <xf numFmtId="167" fontId="59" fillId="2" borderId="27" xfId="0" applyNumberFormat="1" applyFont="1" applyFill="1" applyBorder="1" applyProtection="1">
      <protection hidden="1"/>
    </xf>
    <xf numFmtId="167" fontId="59" fillId="2" borderId="3" xfId="0" applyNumberFormat="1" applyFont="1" applyFill="1" applyBorder="1" applyProtection="1">
      <protection hidden="1"/>
    </xf>
    <xf numFmtId="0" fontId="63" fillId="0" borderId="0" xfId="0" applyFont="1"/>
    <xf numFmtId="0" fontId="64" fillId="0" borderId="0" xfId="0" applyFont="1"/>
    <xf numFmtId="0" fontId="65" fillId="0" borderId="0" xfId="0" applyFont="1" applyAlignment="1">
      <alignment horizontal="right"/>
    </xf>
    <xf numFmtId="15" fontId="66" fillId="0" borderId="0" xfId="0" applyNumberFormat="1" applyFont="1" applyAlignment="1">
      <alignment horizontal="left"/>
    </xf>
    <xf numFmtId="0" fontId="67" fillId="38" borderId="29" xfId="0" applyFont="1" applyFill="1" applyBorder="1" applyAlignment="1">
      <alignment horizontal="left"/>
    </xf>
    <xf numFmtId="167" fontId="68" fillId="39" borderId="28" xfId="0" applyNumberFormat="1" applyFont="1" applyFill="1" applyBorder="1"/>
    <xf numFmtId="4" fontId="67" fillId="38" borderId="29" xfId="0" applyNumberFormat="1" applyFont="1" applyFill="1" applyBorder="1" applyAlignment="1">
      <alignment horizontal="center" vertical="center" wrapText="1"/>
    </xf>
    <xf numFmtId="4" fontId="67" fillId="38" borderId="29" xfId="0" applyNumberFormat="1" applyFont="1" applyFill="1" applyBorder="1" applyAlignment="1">
      <alignment wrapText="1"/>
    </xf>
    <xf numFmtId="0" fontId="67" fillId="38" borderId="29" xfId="0" applyFont="1" applyFill="1" applyBorder="1" applyAlignment="1">
      <alignment horizontal="center" wrapText="1"/>
    </xf>
    <xf numFmtId="0" fontId="64" fillId="2" borderId="0" xfId="0" applyFont="1" applyFill="1"/>
    <xf numFmtId="0" fontId="67" fillId="38" borderId="30" xfId="0" applyFont="1" applyFill="1" applyBorder="1" applyAlignment="1">
      <alignment horizontal="left"/>
    </xf>
    <xf numFmtId="165" fontId="2" fillId="6" borderId="0" xfId="1" applyNumberFormat="1" applyFont="1" applyFill="1"/>
    <xf numFmtId="0" fontId="2" fillId="2" borderId="0" xfId="0" applyFont="1" applyFill="1" applyAlignment="1">
      <alignment horizontal="center" wrapText="1"/>
    </xf>
    <xf numFmtId="0" fontId="15" fillId="0" borderId="0" xfId="5" applyFont="1"/>
    <xf numFmtId="2" fontId="0" fillId="2" borderId="0" xfId="0" applyNumberFormat="1" applyFill="1"/>
    <xf numFmtId="183" fontId="0" fillId="2" borderId="0" xfId="0" applyNumberFormat="1" applyFill="1"/>
    <xf numFmtId="166" fontId="0" fillId="2" borderId="0" xfId="0" applyNumberFormat="1" applyFill="1"/>
    <xf numFmtId="0" fontId="3" fillId="3" borderId="26" xfId="0" applyFont="1" applyFill="1" applyBorder="1"/>
    <xf numFmtId="0" fontId="3" fillId="2" borderId="26" xfId="0" applyFont="1" applyFill="1" applyBorder="1"/>
    <xf numFmtId="0" fontId="3" fillId="4" borderId="26" xfId="0" applyFont="1" applyFill="1" applyBorder="1"/>
    <xf numFmtId="0" fontId="3" fillId="5" borderId="26" xfId="0" applyFont="1" applyFill="1" applyBorder="1"/>
    <xf numFmtId="0" fontId="3" fillId="6" borderId="26" xfId="0" applyFont="1" applyFill="1" applyBorder="1"/>
    <xf numFmtId="0" fontId="71" fillId="0" borderId="0" xfId="0" applyFont="1"/>
    <xf numFmtId="0" fontId="72" fillId="0" borderId="0" xfId="0" applyFont="1" applyAlignment="1">
      <alignment horizontal="right"/>
    </xf>
    <xf numFmtId="1" fontId="73" fillId="0" borderId="0" xfId="0" applyNumberFormat="1" applyFont="1" applyAlignment="1">
      <alignment horizontal="center"/>
    </xf>
    <xf numFmtId="184" fontId="0" fillId="0" borderId="0" xfId="0" applyNumberFormat="1"/>
    <xf numFmtId="0" fontId="64" fillId="0" borderId="0" xfId="0" applyFont="1" applyAlignment="1">
      <alignment horizontal="right"/>
    </xf>
    <xf numFmtId="0" fontId="67" fillId="38" borderId="26" xfId="0" applyFont="1" applyFill="1" applyBorder="1" applyAlignment="1">
      <alignment horizontal="center" wrapText="1"/>
    </xf>
    <xf numFmtId="0" fontId="74" fillId="0" borderId="26" xfId="0" applyFont="1" applyBorder="1" applyAlignment="1">
      <alignment horizontal="justify" vertical="center" wrapText="1"/>
    </xf>
    <xf numFmtId="185" fontId="0" fillId="0" borderId="26" xfId="0" applyNumberFormat="1" applyBorder="1"/>
    <xf numFmtId="0" fontId="21" fillId="0" borderId="0" xfId="289" applyFont="1"/>
    <xf numFmtId="0" fontId="77" fillId="11" borderId="0" xfId="289" applyFont="1" applyFill="1"/>
    <xf numFmtId="167" fontId="78" fillId="11" borderId="0" xfId="289" applyNumberFormat="1" applyFont="1" applyFill="1" applyAlignment="1">
      <alignment horizontal="right"/>
    </xf>
    <xf numFmtId="167" fontId="78" fillId="11" borderId="0" xfId="289" applyNumberFormat="1" applyFont="1" applyFill="1"/>
    <xf numFmtId="170" fontId="78" fillId="0" borderId="0" xfId="289" applyNumberFormat="1" applyFont="1" applyAlignment="1">
      <alignment horizontal="center" vertical="center"/>
    </xf>
    <xf numFmtId="170" fontId="78" fillId="0" borderId="0" xfId="289" applyNumberFormat="1" applyFont="1"/>
    <xf numFmtId="1" fontId="77" fillId="0" borderId="0" xfId="289" applyNumberFormat="1" applyFont="1"/>
    <xf numFmtId="0" fontId="78" fillId="0" borderId="0" xfId="289" applyFont="1"/>
    <xf numFmtId="0" fontId="77" fillId="41" borderId="29" xfId="289" applyFont="1" applyFill="1" applyBorder="1"/>
    <xf numFmtId="0" fontId="77" fillId="41" borderId="29" xfId="289" applyFont="1" applyFill="1" applyBorder="1" applyAlignment="1">
      <alignment horizontal="left"/>
    </xf>
    <xf numFmtId="2" fontId="78" fillId="41" borderId="29" xfId="289" applyNumberFormat="1" applyFont="1" applyFill="1" applyBorder="1"/>
    <xf numFmtId="167" fontId="78" fillId="42" borderId="28" xfId="289" applyNumberFormat="1" applyFont="1" applyFill="1" applyBorder="1"/>
    <xf numFmtId="4" fontId="77" fillId="41" borderId="29" xfId="289" applyNumberFormat="1" applyFont="1" applyFill="1" applyBorder="1" applyAlignment="1">
      <alignment horizontal="center" vertical="center" wrapText="1"/>
    </xf>
    <xf numFmtId="4" fontId="77" fillId="41" borderId="29" xfId="289" applyNumberFormat="1" applyFont="1" applyFill="1" applyBorder="1" applyAlignment="1">
      <alignment wrapText="1"/>
    </xf>
    <xf numFmtId="0" fontId="77" fillId="41" borderId="29" xfId="289" applyFont="1" applyFill="1" applyBorder="1" applyAlignment="1">
      <alignment horizontal="right" wrapText="1"/>
    </xf>
    <xf numFmtId="0" fontId="78" fillId="41" borderId="29" xfId="289" applyFont="1" applyFill="1" applyBorder="1"/>
    <xf numFmtId="4" fontId="77" fillId="0" borderId="0" xfId="289" applyNumberFormat="1" applyFont="1"/>
    <xf numFmtId="2" fontId="78" fillId="11" borderId="0" xfId="289" applyNumberFormat="1" applyFont="1" applyFill="1"/>
    <xf numFmtId="0" fontId="77" fillId="0" borderId="0" xfId="289" applyFont="1"/>
    <xf numFmtId="4" fontId="77" fillId="0" borderId="0" xfId="289" applyNumberFormat="1" applyFont="1" applyAlignment="1">
      <alignment horizontal="center" vertical="center" wrapText="1"/>
    </xf>
    <xf numFmtId="4" fontId="77" fillId="0" borderId="0" xfId="289" applyNumberFormat="1" applyFont="1" applyAlignment="1">
      <alignment wrapText="1"/>
    </xf>
    <xf numFmtId="0" fontId="78" fillId="11" borderId="0" xfId="289" applyFont="1" applyFill="1" applyAlignment="1">
      <alignment horizontal="center" wrapText="1"/>
    </xf>
    <xf numFmtId="0" fontId="77" fillId="0" borderId="0" xfId="289" applyFont="1" applyAlignment="1">
      <alignment horizontal="right"/>
    </xf>
    <xf numFmtId="4" fontId="77" fillId="0" borderId="0" xfId="289" applyNumberFormat="1" applyFont="1" applyAlignment="1">
      <alignment horizontal="right" vertical="center" wrapText="1"/>
    </xf>
    <xf numFmtId="167" fontId="78" fillId="11" borderId="0" xfId="289" applyNumberFormat="1" applyFont="1" applyFill="1" applyAlignment="1">
      <alignment horizontal="center" wrapText="1"/>
    </xf>
    <xf numFmtId="9" fontId="78" fillId="6" borderId="26" xfId="290" applyFont="1" applyFill="1" applyBorder="1" applyAlignment="1">
      <alignment vertical="center" wrapText="1"/>
    </xf>
    <xf numFmtId="4" fontId="78" fillId="6" borderId="26" xfId="289" applyNumberFormat="1" applyFont="1" applyFill="1" applyBorder="1" applyAlignment="1">
      <alignment wrapText="1"/>
    </xf>
    <xf numFmtId="167" fontId="21" fillId="0" borderId="0" xfId="289" applyNumberFormat="1" applyFont="1"/>
    <xf numFmtId="167" fontId="21" fillId="0" borderId="0" xfId="289" quotePrefix="1" applyNumberFormat="1" applyFont="1" applyAlignment="1">
      <alignment horizontal="right"/>
    </xf>
    <xf numFmtId="4" fontId="77" fillId="0" borderId="0" xfId="0" applyNumberFormat="1" applyFont="1"/>
    <xf numFmtId="0" fontId="77" fillId="0" borderId="0" xfId="0" applyFont="1"/>
    <xf numFmtId="2" fontId="78" fillId="0" borderId="0" xfId="0" applyNumberFormat="1" applyFont="1"/>
    <xf numFmtId="4" fontId="77" fillId="0" borderId="0" xfId="0" applyNumberFormat="1" applyFont="1" applyAlignment="1">
      <alignment horizontal="center" vertical="center" wrapText="1"/>
    </xf>
    <xf numFmtId="4" fontId="77" fillId="0" borderId="0" xfId="0" applyNumberFormat="1" applyFont="1" applyAlignment="1">
      <alignment wrapText="1"/>
    </xf>
    <xf numFmtId="167" fontId="21" fillId="0" borderId="0" xfId="0" applyNumberFormat="1" applyFont="1"/>
    <xf numFmtId="0" fontId="78" fillId="0" borderId="0" xfId="0" applyFont="1"/>
    <xf numFmtId="0" fontId="21" fillId="0" borderId="0" xfId="0" applyFont="1"/>
    <xf numFmtId="167" fontId="21" fillId="0" borderId="0" xfId="0" quotePrefix="1" applyNumberFormat="1" applyFont="1" applyAlignment="1">
      <alignment horizontal="right"/>
    </xf>
    <xf numFmtId="4" fontId="79" fillId="0" borderId="0" xfId="289" applyNumberFormat="1" applyFont="1" applyAlignment="1">
      <alignment horizontal="right" wrapText="1"/>
    </xf>
    <xf numFmtId="167" fontId="75" fillId="0" borderId="0" xfId="289" applyNumberFormat="1" applyFont="1"/>
    <xf numFmtId="167" fontId="21" fillId="41" borderId="35" xfId="289" applyNumberFormat="1" applyFont="1" applyFill="1" applyBorder="1"/>
    <xf numFmtId="167" fontId="78" fillId="11" borderId="0" xfId="289" applyNumberFormat="1" applyFont="1" applyFill="1" applyAlignment="1">
      <alignment wrapText="1"/>
    </xf>
    <xf numFmtId="2" fontId="77" fillId="11" borderId="0" xfId="289" applyNumberFormat="1" applyFont="1" applyFill="1"/>
    <xf numFmtId="4" fontId="80" fillId="0" borderId="0" xfId="289" applyNumberFormat="1" applyFont="1"/>
    <xf numFmtId="0" fontId="80" fillId="11" borderId="0" xfId="289" applyFont="1" applyFill="1"/>
    <xf numFmtId="2" fontId="79" fillId="11" borderId="0" xfId="289" applyNumberFormat="1" applyFont="1" applyFill="1"/>
    <xf numFmtId="0" fontId="80" fillId="0" borderId="0" xfId="289" applyFont="1"/>
    <xf numFmtId="4" fontId="80" fillId="0" borderId="0" xfId="289" applyNumberFormat="1" applyFont="1" applyAlignment="1">
      <alignment horizontal="center" vertical="center" wrapText="1"/>
    </xf>
    <xf numFmtId="4" fontId="79" fillId="0" borderId="0" xfId="289" applyNumberFormat="1" applyFont="1" applyAlignment="1">
      <alignment wrapText="1"/>
    </xf>
    <xf numFmtId="167" fontId="79" fillId="11" borderId="0" xfId="289" applyNumberFormat="1" applyFont="1" applyFill="1" applyAlignment="1">
      <alignment wrapText="1"/>
    </xf>
    <xf numFmtId="0" fontId="79" fillId="0" borderId="0" xfId="289" applyFont="1"/>
    <xf numFmtId="0" fontId="75" fillId="0" borderId="0" xfId="289" applyFont="1"/>
    <xf numFmtId="9" fontId="78" fillId="11" borderId="0" xfId="290" applyFont="1" applyFill="1" applyAlignment="1">
      <alignment wrapText="1"/>
    </xf>
    <xf numFmtId="2" fontId="78" fillId="11" borderId="0" xfId="289" applyNumberFormat="1" applyFont="1" applyFill="1" applyAlignment="1">
      <alignment horizontal="right" wrapText="1"/>
    </xf>
    <xf numFmtId="0" fontId="77" fillId="11" borderId="0" xfId="289" applyFont="1" applyFill="1" applyAlignment="1">
      <alignment wrapText="1"/>
    </xf>
    <xf numFmtId="0" fontId="78" fillId="0" borderId="0" xfId="289" applyFont="1" applyAlignment="1">
      <alignment horizontal="center" vertical="center"/>
    </xf>
    <xf numFmtId="0" fontId="78" fillId="0" borderId="0" xfId="289" applyFont="1" applyAlignment="1">
      <alignment wrapText="1"/>
    </xf>
    <xf numFmtId="0" fontId="19" fillId="2" borderId="0" xfId="289" applyFont="1" applyFill="1"/>
    <xf numFmtId="0" fontId="21" fillId="2" borderId="0" xfId="289" applyFont="1" applyFill="1"/>
    <xf numFmtId="0" fontId="78" fillId="11" borderId="0" xfId="289" applyFont="1" applyFill="1" applyAlignment="1">
      <alignment wrapText="1"/>
    </xf>
    <xf numFmtId="0" fontId="74" fillId="11" borderId="0" xfId="289" applyFont="1" applyFill="1"/>
    <xf numFmtId="0" fontId="78" fillId="11" borderId="0" xfId="289" applyFont="1" applyFill="1" applyAlignment="1">
      <alignment horizontal="center" vertical="center"/>
    </xf>
    <xf numFmtId="0" fontId="78" fillId="11" borderId="0" xfId="289" applyFont="1" applyFill="1"/>
    <xf numFmtId="0" fontId="81" fillId="0" borderId="0" xfId="289" applyFont="1"/>
    <xf numFmtId="0" fontId="74" fillId="41" borderId="35" xfId="289" applyFont="1" applyFill="1" applyBorder="1" applyAlignment="1">
      <alignment horizontal="center"/>
    </xf>
    <xf numFmtId="0" fontId="78" fillId="11" borderId="0" xfId="289" applyFont="1" applyFill="1" applyAlignment="1">
      <alignment horizontal="right"/>
    </xf>
    <xf numFmtId="0" fontId="78" fillId="0" borderId="0" xfId="289" applyFont="1" applyAlignment="1">
      <alignment horizontal="center"/>
    </xf>
    <xf numFmtId="186" fontId="21" fillId="11" borderId="0" xfId="289" applyNumberFormat="1" applyFont="1" applyFill="1" applyAlignment="1">
      <alignment horizontal="right"/>
    </xf>
    <xf numFmtId="167" fontId="82" fillId="43" borderId="36" xfId="289" applyNumberFormat="1" applyFont="1" applyFill="1" applyBorder="1"/>
    <xf numFmtId="167" fontId="82" fillId="43" borderId="33" xfId="289" applyNumberFormat="1" applyFont="1" applyFill="1" applyBorder="1"/>
    <xf numFmtId="167" fontId="83" fillId="43" borderId="33" xfId="289" applyNumberFormat="1" applyFont="1" applyFill="1" applyBorder="1"/>
    <xf numFmtId="167" fontId="83" fillId="43" borderId="34" xfId="289" applyNumberFormat="1" applyFont="1" applyFill="1" applyBorder="1"/>
    <xf numFmtId="167" fontId="83" fillId="43" borderId="37" xfId="289" applyNumberFormat="1" applyFont="1" applyFill="1" applyBorder="1"/>
    <xf numFmtId="167" fontId="83" fillId="43" borderId="0" xfId="289" applyNumberFormat="1" applyFont="1" applyFill="1"/>
    <xf numFmtId="167" fontId="83" fillId="43" borderId="7" xfId="289" applyNumberFormat="1" applyFont="1" applyFill="1" applyBorder="1"/>
    <xf numFmtId="0" fontId="21" fillId="11" borderId="0" xfId="289" applyFont="1" applyFill="1" applyAlignment="1">
      <alignment horizontal="left" indent="1"/>
    </xf>
    <xf numFmtId="9" fontId="74" fillId="41" borderId="35" xfId="289" applyNumberFormat="1" applyFont="1" applyFill="1" applyBorder="1" applyAlignment="1">
      <alignment horizontal="center" vertical="center"/>
    </xf>
    <xf numFmtId="165" fontId="78" fillId="11" borderId="0" xfId="289" applyNumberFormat="1" applyFont="1" applyFill="1"/>
    <xf numFmtId="167" fontId="83" fillId="43" borderId="37" xfId="0" applyNumberFormat="1" applyFont="1" applyFill="1" applyBorder="1"/>
    <xf numFmtId="167" fontId="83" fillId="43" borderId="0" xfId="0" applyNumberFormat="1" applyFont="1" applyFill="1"/>
    <xf numFmtId="167" fontId="83" fillId="43" borderId="7" xfId="0" applyNumberFormat="1" applyFont="1" applyFill="1" applyBorder="1"/>
    <xf numFmtId="166" fontId="74" fillId="41" borderId="35" xfId="289" applyNumberFormat="1" applyFont="1" applyFill="1" applyBorder="1" applyAlignment="1">
      <alignment horizontal="center" vertical="center"/>
    </xf>
    <xf numFmtId="167" fontId="83" fillId="43" borderId="12" xfId="289" applyNumberFormat="1" applyFont="1" applyFill="1" applyBorder="1"/>
    <xf numFmtId="167" fontId="83" fillId="43" borderId="4" xfId="289" applyNumberFormat="1" applyFont="1" applyFill="1" applyBorder="1"/>
    <xf numFmtId="167" fontId="83" fillId="43" borderId="13" xfId="289" applyNumberFormat="1" applyFont="1" applyFill="1" applyBorder="1"/>
    <xf numFmtId="0" fontId="21" fillId="11" borderId="0" xfId="289" applyFont="1" applyFill="1" applyAlignment="1">
      <alignment horizontal="left"/>
    </xf>
    <xf numFmtId="0" fontId="74" fillId="11" borderId="0" xfId="289" applyFont="1" applyFill="1" applyAlignment="1">
      <alignment horizontal="center" vertical="center"/>
    </xf>
    <xf numFmtId="167" fontId="21" fillId="11" borderId="0" xfId="289" applyNumberFormat="1" applyFont="1" applyFill="1" applyAlignment="1">
      <alignment horizontal="right"/>
    </xf>
    <xf numFmtId="167" fontId="84" fillId="11" borderId="0" xfId="289" applyNumberFormat="1" applyFont="1" applyFill="1"/>
    <xf numFmtId="167" fontId="21" fillId="2" borderId="0" xfId="289" applyNumberFormat="1" applyFont="1" applyFill="1"/>
    <xf numFmtId="0" fontId="21" fillId="2" borderId="0" xfId="289" quotePrefix="1" applyFont="1" applyFill="1" applyAlignment="1">
      <alignment horizontal="right"/>
    </xf>
    <xf numFmtId="9" fontId="21" fillId="11" borderId="0" xfId="290" applyFont="1" applyFill="1" applyAlignment="1">
      <alignment horizontal="right"/>
    </xf>
    <xf numFmtId="9" fontId="74" fillId="42" borderId="26" xfId="289" applyNumberFormat="1" applyFont="1" applyFill="1" applyBorder="1" applyAlignment="1">
      <alignment horizontal="right" vertical="center"/>
    </xf>
    <xf numFmtId="0" fontId="21" fillId="11" borderId="0" xfId="289" applyFont="1" applyFill="1"/>
    <xf numFmtId="170" fontId="21" fillId="11" borderId="0" xfId="290" applyNumberFormat="1" applyFont="1" applyFill="1" applyAlignment="1">
      <alignment horizontal="right"/>
    </xf>
    <xf numFmtId="170" fontId="21" fillId="2" borderId="0" xfId="290" applyNumberFormat="1" applyFont="1" applyFill="1"/>
    <xf numFmtId="170" fontId="21" fillId="11" borderId="0" xfId="290" quotePrefix="1" applyNumberFormat="1" applyFont="1" applyFill="1" applyAlignment="1">
      <alignment horizontal="right"/>
    </xf>
    <xf numFmtId="170" fontId="21" fillId="2" borderId="0" xfId="290" quotePrefix="1" applyNumberFormat="1" applyFont="1" applyFill="1" applyAlignment="1">
      <alignment horizontal="right"/>
    </xf>
    <xf numFmtId="170" fontId="21" fillId="2" borderId="0" xfId="290" quotePrefix="1" applyNumberFormat="1" applyFont="1" applyFill="1"/>
    <xf numFmtId="186" fontId="21" fillId="2" borderId="0" xfId="289" applyNumberFormat="1" applyFont="1" applyFill="1"/>
    <xf numFmtId="0" fontId="74" fillId="11" borderId="0" xfId="289" applyFont="1" applyFill="1" applyAlignment="1">
      <alignment vertical="center"/>
    </xf>
    <xf numFmtId="164" fontId="74" fillId="11" borderId="0" xfId="289" applyNumberFormat="1" applyFont="1" applyFill="1"/>
    <xf numFmtId="167" fontId="74" fillId="11" borderId="0" xfId="289" applyNumberFormat="1" applyFont="1" applyFill="1"/>
    <xf numFmtId="186" fontId="74" fillId="11" borderId="0" xfId="289" applyNumberFormat="1" applyFont="1" applyFill="1"/>
    <xf numFmtId="167" fontId="21" fillId="11" borderId="0" xfId="289" applyNumberFormat="1" applyFont="1" applyFill="1"/>
    <xf numFmtId="186" fontId="21" fillId="11" borderId="0" xfId="289" applyNumberFormat="1" applyFont="1" applyFill="1"/>
    <xf numFmtId="170" fontId="21" fillId="11" borderId="0" xfId="290" applyNumberFormat="1" applyFont="1" applyFill="1"/>
    <xf numFmtId="170" fontId="74" fillId="11" borderId="0" xfId="289" applyNumberFormat="1" applyFont="1" applyFill="1" applyAlignment="1">
      <alignment vertical="center"/>
    </xf>
    <xf numFmtId="186" fontId="21" fillId="11" borderId="0" xfId="289" quotePrefix="1" applyNumberFormat="1" applyFont="1" applyFill="1" applyAlignment="1">
      <alignment horizontal="right"/>
    </xf>
    <xf numFmtId="167" fontId="21" fillId="11" borderId="0" xfId="289" quotePrefix="1" applyNumberFormat="1" applyFont="1" applyFill="1" applyAlignment="1">
      <alignment horizontal="right"/>
    </xf>
    <xf numFmtId="186" fontId="74" fillId="11" borderId="0" xfId="289" applyNumberFormat="1" applyFont="1" applyFill="1" applyAlignment="1">
      <alignment horizontal="center" vertical="center"/>
    </xf>
    <xf numFmtId="0" fontId="77" fillId="11" borderId="0" xfId="289" applyFont="1" applyFill="1" applyAlignment="1">
      <alignment horizontal="left"/>
    </xf>
    <xf numFmtId="170" fontId="21" fillId="2" borderId="0" xfId="0" applyNumberFormat="1" applyFont="1" applyFill="1" applyAlignment="1">
      <alignment horizontal="right"/>
    </xf>
    <xf numFmtId="0" fontId="21" fillId="2" borderId="0" xfId="0" applyFont="1" applyFill="1" applyAlignment="1">
      <alignment horizontal="right"/>
    </xf>
    <xf numFmtId="170" fontId="21" fillId="2" borderId="0" xfId="289" applyNumberFormat="1" applyFont="1" applyFill="1"/>
    <xf numFmtId="0" fontId="21" fillId="2" borderId="0" xfId="289" quotePrefix="1" applyFont="1" applyFill="1"/>
    <xf numFmtId="187" fontId="20" fillId="44" borderId="39" xfId="291" applyFont="1" applyFill="1" applyBorder="1">
      <protection hidden="1"/>
    </xf>
    <xf numFmtId="10" fontId="85" fillId="45" borderId="26" xfId="290" applyNumberFormat="1" applyFont="1" applyFill="1" applyBorder="1"/>
    <xf numFmtId="188" fontId="85" fillId="45" borderId="26" xfId="292" applyNumberFormat="1" applyFont="1" applyFill="1" applyBorder="1"/>
    <xf numFmtId="3" fontId="21" fillId="2" borderId="0" xfId="289" applyNumberFormat="1" applyFont="1" applyFill="1"/>
    <xf numFmtId="0" fontId="21" fillId="2" borderId="0" xfId="289" applyFont="1" applyFill="1" applyAlignment="1">
      <alignment horizontal="left" indent="2"/>
    </xf>
    <xf numFmtId="167" fontId="85" fillId="45" borderId="26" xfId="292" applyNumberFormat="1" applyFont="1" applyFill="1" applyBorder="1"/>
    <xf numFmtId="3" fontId="21" fillId="2" borderId="0" xfId="289" quotePrefix="1" applyNumberFormat="1" applyFont="1" applyFill="1"/>
    <xf numFmtId="0" fontId="74" fillId="2" borderId="0" xfId="289" applyFont="1" applyFill="1"/>
    <xf numFmtId="165" fontId="0" fillId="0" borderId="0" xfId="0" applyNumberFormat="1"/>
    <xf numFmtId="4" fontId="77" fillId="8" borderId="0" xfId="289" applyNumberFormat="1" applyFont="1" applyFill="1"/>
    <xf numFmtId="0" fontId="77" fillId="46" borderId="0" xfId="289" applyFont="1" applyFill="1"/>
    <xf numFmtId="2" fontId="78" fillId="46" borderId="0" xfId="289" applyNumberFormat="1" applyFont="1" applyFill="1"/>
    <xf numFmtId="0" fontId="77" fillId="8" borderId="0" xfId="289" applyFont="1" applyFill="1" applyAlignment="1">
      <alignment horizontal="right"/>
    </xf>
    <xf numFmtId="4" fontId="77" fillId="8" borderId="0" xfId="289" applyNumberFormat="1" applyFont="1" applyFill="1" applyAlignment="1">
      <alignment horizontal="right" vertical="center" wrapText="1"/>
    </xf>
    <xf numFmtId="167" fontId="78" fillId="46" borderId="0" xfId="289" applyNumberFormat="1" applyFont="1" applyFill="1" applyAlignment="1">
      <alignment horizontal="center" wrapText="1"/>
    </xf>
    <xf numFmtId="0" fontId="78" fillId="8" borderId="0" xfId="289" applyFont="1" applyFill="1"/>
    <xf numFmtId="0" fontId="21" fillId="8" borderId="0" xfId="289" applyFont="1" applyFill="1"/>
    <xf numFmtId="0" fontId="78" fillId="46" borderId="0" xfId="289" applyFont="1" applyFill="1"/>
    <xf numFmtId="9" fontId="78" fillId="8" borderId="26" xfId="290" applyFont="1" applyFill="1" applyBorder="1" applyAlignment="1">
      <alignment vertical="center" wrapText="1"/>
    </xf>
    <xf numFmtId="4" fontId="78" fillId="8" borderId="26" xfId="289" applyNumberFormat="1" applyFont="1" applyFill="1" applyBorder="1" applyAlignment="1">
      <alignment wrapText="1"/>
    </xf>
    <xf numFmtId="167" fontId="21" fillId="8" borderId="0" xfId="289" applyNumberFormat="1" applyFont="1" applyFill="1"/>
    <xf numFmtId="4" fontId="77" fillId="8" borderId="0" xfId="289" applyNumberFormat="1" applyFont="1" applyFill="1" applyAlignment="1">
      <alignment horizontal="center" vertical="center" wrapText="1"/>
    </xf>
    <xf numFmtId="4" fontId="77" fillId="8" borderId="0" xfId="289" applyNumberFormat="1" applyFont="1" applyFill="1" applyAlignment="1">
      <alignment wrapText="1"/>
    </xf>
    <xf numFmtId="167" fontId="21" fillId="8" borderId="0" xfId="289" quotePrefix="1" applyNumberFormat="1" applyFont="1" applyFill="1" applyAlignment="1">
      <alignment horizontal="right"/>
    </xf>
    <xf numFmtId="4" fontId="77" fillId="8" borderId="0" xfId="0" applyNumberFormat="1" applyFont="1" applyFill="1"/>
    <xf numFmtId="0" fontId="77" fillId="8" borderId="0" xfId="0" applyFont="1" applyFill="1"/>
    <xf numFmtId="0" fontId="78" fillId="8" borderId="0" xfId="0" applyFont="1" applyFill="1"/>
    <xf numFmtId="2" fontId="78" fillId="8" borderId="0" xfId="0" applyNumberFormat="1" applyFont="1" applyFill="1"/>
    <xf numFmtId="4" fontId="77" fillId="8" borderId="0" xfId="0" applyNumberFormat="1" applyFont="1" applyFill="1" applyAlignment="1">
      <alignment horizontal="center" vertical="center" wrapText="1"/>
    </xf>
    <xf numFmtId="4" fontId="77" fillId="8" borderId="0" xfId="0" applyNumberFormat="1" applyFont="1" applyFill="1" applyAlignment="1">
      <alignment wrapText="1"/>
    </xf>
    <xf numFmtId="167" fontId="21" fillId="8" borderId="0" xfId="0" applyNumberFormat="1" applyFont="1" applyFill="1"/>
    <xf numFmtId="0" fontId="21" fillId="8" borderId="0" xfId="0" applyFont="1" applyFill="1"/>
    <xf numFmtId="167" fontId="21" fillId="8" borderId="0" xfId="0" quotePrefix="1" applyNumberFormat="1" applyFont="1" applyFill="1" applyAlignment="1">
      <alignment horizontal="right"/>
    </xf>
    <xf numFmtId="167" fontId="0" fillId="2" borderId="0" xfId="0" quotePrefix="1" applyNumberFormat="1" applyFill="1"/>
    <xf numFmtId="169" fontId="87" fillId="47" borderId="6" xfId="0" applyNumberFormat="1" applyFont="1" applyFill="1" applyBorder="1"/>
    <xf numFmtId="0" fontId="88" fillId="47" borderId="0" xfId="0" applyFont="1" applyFill="1"/>
    <xf numFmtId="0" fontId="87" fillId="47" borderId="0" xfId="0" applyFont="1" applyFill="1"/>
    <xf numFmtId="0" fontId="87" fillId="47" borderId="0" xfId="0" quotePrefix="1" applyFont="1" applyFill="1" applyAlignment="1">
      <alignment horizontal="right"/>
    </xf>
    <xf numFmtId="169" fontId="87" fillId="47" borderId="0" xfId="0" applyNumberFormat="1" applyFont="1" applyFill="1"/>
    <xf numFmtId="167" fontId="87" fillId="47" borderId="0" xfId="0" applyNumberFormat="1" applyFont="1" applyFill="1" applyProtection="1">
      <protection hidden="1"/>
    </xf>
    <xf numFmtId="0" fontId="21" fillId="0" borderId="0" xfId="289" applyFont="1" applyAlignment="1">
      <alignment horizontal="left"/>
    </xf>
    <xf numFmtId="169" fontId="0" fillId="0" borderId="6" xfId="0" applyNumberFormat="1" applyBorder="1"/>
    <xf numFmtId="0" fontId="74" fillId="0" borderId="0" xfId="289" applyFont="1"/>
    <xf numFmtId="165" fontId="78" fillId="11" borderId="0" xfId="1" applyNumberFormat="1" applyFont="1" applyFill="1" applyAlignment="1">
      <alignment horizontal="center" wrapText="1"/>
    </xf>
    <xf numFmtId="43" fontId="0" fillId="0" borderId="0" xfId="0" applyNumberFormat="1"/>
    <xf numFmtId="43" fontId="0" fillId="2" borderId="0" xfId="0" applyNumberFormat="1" applyFill="1"/>
    <xf numFmtId="165" fontId="59" fillId="2" borderId="0" xfId="1" quotePrefix="1" applyNumberFormat="1" applyFont="1" applyFill="1" applyAlignment="1">
      <alignment horizontal="right"/>
    </xf>
    <xf numFmtId="0" fontId="74" fillId="0" borderId="1" xfId="0" applyFont="1" applyBorder="1" applyAlignment="1">
      <alignment horizontal="justify" vertical="center" wrapText="1"/>
    </xf>
    <xf numFmtId="165" fontId="0" fillId="2" borderId="1" xfId="1" quotePrefix="1" applyNumberFormat="1" applyFont="1" applyFill="1" applyBorder="1" applyAlignment="1">
      <alignment horizontal="right"/>
    </xf>
    <xf numFmtId="0" fontId="20" fillId="0" borderId="0" xfId="0" applyFont="1" applyAlignment="1">
      <alignment horizontal="justify" vertical="center"/>
    </xf>
    <xf numFmtId="0" fontId="11" fillId="2" borderId="0" xfId="0" applyFont="1" applyFill="1" applyAlignment="1">
      <alignment horizontal="center"/>
    </xf>
    <xf numFmtId="0" fontId="11" fillId="6" borderId="0" xfId="0" applyFont="1" applyFill="1" applyAlignment="1">
      <alignment horizontal="right"/>
    </xf>
    <xf numFmtId="0" fontId="67" fillId="38" borderId="26" xfId="0" applyFont="1" applyFill="1" applyBorder="1" applyAlignment="1">
      <alignment horizontal="left" wrapText="1"/>
    </xf>
    <xf numFmtId="3" fontId="11" fillId="2" borderId="0" xfId="0" applyNumberFormat="1" applyFont="1" applyFill="1" applyAlignment="1">
      <alignment horizontal="center"/>
    </xf>
    <xf numFmtId="0" fontId="3" fillId="5" borderId="0" xfId="0" applyFont="1" applyFill="1"/>
    <xf numFmtId="0" fontId="3" fillId="5" borderId="0" xfId="0" applyFont="1" applyFill="1" applyAlignment="1">
      <alignment wrapText="1"/>
    </xf>
    <xf numFmtId="0" fontId="11" fillId="5" borderId="0" xfId="0" applyFont="1" applyFill="1" applyAlignment="1">
      <alignment wrapText="1"/>
    </xf>
    <xf numFmtId="0" fontId="3" fillId="5" borderId="0" xfId="0" applyFont="1" applyFill="1" applyAlignment="1">
      <alignment vertical="center" wrapText="1"/>
    </xf>
    <xf numFmtId="3" fontId="3" fillId="5" borderId="0" xfId="0" applyNumberFormat="1" applyFont="1" applyFill="1" applyAlignment="1">
      <alignment wrapText="1"/>
    </xf>
    <xf numFmtId="1" fontId="2" fillId="2" borderId="0" xfId="0" applyNumberFormat="1" applyFont="1" applyFill="1" applyAlignment="1">
      <alignment horizontal="center"/>
    </xf>
    <xf numFmtId="165" fontId="5" fillId="2" borderId="0" xfId="1" applyNumberFormat="1" applyFont="1" applyFill="1" applyAlignment="1">
      <alignment wrapText="1"/>
    </xf>
    <xf numFmtId="43" fontId="5" fillId="2" borderId="0" xfId="1" quotePrefix="1" applyFont="1" applyFill="1" applyAlignment="1">
      <alignment horizontal="right" wrapText="1"/>
    </xf>
    <xf numFmtId="3" fontId="5" fillId="2" borderId="0" xfId="0" applyNumberFormat="1" applyFont="1" applyFill="1" applyAlignment="1">
      <alignment wrapText="1"/>
    </xf>
    <xf numFmtId="1" fontId="89" fillId="2" borderId="0" xfId="0" applyNumberFormat="1" applyFont="1" applyFill="1" applyAlignment="1">
      <alignment horizontal="center" wrapText="1"/>
    </xf>
    <xf numFmtId="0" fontId="5" fillId="2" borderId="0" xfId="0" applyFont="1" applyFill="1" applyAlignment="1">
      <alignment wrapText="1"/>
    </xf>
    <xf numFmtId="9" fontId="0" fillId="6" borderId="0" xfId="2" applyFont="1" applyFill="1" applyAlignment="1">
      <alignment horizontal="center"/>
    </xf>
    <xf numFmtId="3" fontId="0" fillId="6" borderId="0" xfId="0" applyNumberFormat="1" applyFill="1" applyAlignment="1">
      <alignment horizontal="center"/>
    </xf>
    <xf numFmtId="43" fontId="0" fillId="6" borderId="0" xfId="1" applyFont="1" applyFill="1"/>
    <xf numFmtId="9" fontId="0" fillId="0" borderId="0" xfId="2" applyFont="1"/>
    <xf numFmtId="9" fontId="90" fillId="0" borderId="0" xfId="2" applyFont="1"/>
    <xf numFmtId="0" fontId="69" fillId="2" borderId="0" xfId="0" applyFont="1" applyFill="1" applyAlignment="1">
      <alignment horizontal="right"/>
    </xf>
    <xf numFmtId="0" fontId="69" fillId="2" borderId="0" xfId="0" applyFont="1" applyFill="1" applyAlignment="1">
      <alignment horizontal="left" indent="2"/>
    </xf>
    <xf numFmtId="165" fontId="1" fillId="5" borderId="0" xfId="1" applyNumberFormat="1" applyFill="1" applyAlignment="1">
      <alignment horizontal="right"/>
    </xf>
    <xf numFmtId="0" fontId="91" fillId="49" borderId="0" xfId="293" applyFill="1"/>
    <xf numFmtId="0" fontId="92" fillId="49" borderId="0" xfId="0" applyFont="1" applyFill="1" applyAlignment="1">
      <alignment horizontal="left" vertical="center"/>
    </xf>
    <xf numFmtId="0" fontId="57" fillId="49" borderId="0" xfId="0" applyFont="1" applyFill="1"/>
    <xf numFmtId="0" fontId="92" fillId="49" borderId="0" xfId="0" applyFont="1" applyFill="1" applyAlignment="1">
      <alignment horizontal="right" vertical="center"/>
    </xf>
    <xf numFmtId="0" fontId="92" fillId="49" borderId="0" xfId="294" applyFill="1">
      <alignment horizontal="right" vertical="center"/>
    </xf>
    <xf numFmtId="3" fontId="92" fillId="49" borderId="0" xfId="295" applyFill="1">
      <alignment horizontal="right" vertical="center"/>
    </xf>
    <xf numFmtId="189" fontId="92" fillId="49" borderId="0" xfId="296" applyFill="1">
      <alignment horizontal="right" vertical="center"/>
    </xf>
    <xf numFmtId="0" fontId="93" fillId="49" borderId="0" xfId="297" applyFill="1"/>
    <xf numFmtId="186" fontId="92" fillId="49" borderId="0" xfId="1" applyNumberFormat="1" applyFont="1" applyFill="1" applyAlignment="1">
      <alignment horizontal="right" vertical="center"/>
    </xf>
    <xf numFmtId="0" fontId="92" fillId="51" borderId="0" xfId="298" applyFont="1" applyFill="1"/>
    <xf numFmtId="0" fontId="95" fillId="51" borderId="0" xfId="0" applyFont="1" applyFill="1"/>
    <xf numFmtId="0" fontId="93" fillId="0" borderId="0" xfId="0" applyFont="1"/>
    <xf numFmtId="187" fontId="57" fillId="0" borderId="0" xfId="0" applyNumberFormat="1" applyFont="1"/>
    <xf numFmtId="187" fontId="57" fillId="0" borderId="0" xfId="0" applyNumberFormat="1" applyFont="1" applyAlignment="1">
      <alignment horizontal="center"/>
    </xf>
    <xf numFmtId="187" fontId="57" fillId="0" borderId="0" xfId="0" applyNumberFormat="1" applyFont="1" applyAlignment="1">
      <alignment horizontal="right"/>
    </xf>
    <xf numFmtId="0" fontId="57" fillId="0" borderId="0" xfId="0" applyFont="1"/>
    <xf numFmtId="166" fontId="97" fillId="53" borderId="0" xfId="299" applyFont="1" applyFill="1"/>
    <xf numFmtId="0" fontId="98" fillId="53" borderId="0" xfId="0" applyFont="1" applyFill="1"/>
    <xf numFmtId="166" fontId="93" fillId="0" borderId="0" xfId="0" applyNumberFormat="1" applyFont="1"/>
    <xf numFmtId="187" fontId="93" fillId="0" borderId="0" xfId="0" applyNumberFormat="1" applyFont="1"/>
    <xf numFmtId="187" fontId="57" fillId="0" borderId="0" xfId="300"/>
    <xf numFmtId="0" fontId="57" fillId="0" borderId="0" xfId="0" applyFont="1" applyAlignment="1">
      <alignment horizontal="center"/>
    </xf>
    <xf numFmtId="187" fontId="99" fillId="24" borderId="38" xfId="301">
      <protection locked="0"/>
    </xf>
    <xf numFmtId="187" fontId="57" fillId="0" borderId="0" xfId="302">
      <alignment horizontal="center"/>
    </xf>
    <xf numFmtId="0" fontId="57" fillId="0" borderId="0" xfId="0" applyFont="1" applyAlignment="1">
      <alignment horizontal="right"/>
    </xf>
    <xf numFmtId="170" fontId="100" fillId="24" borderId="38" xfId="303">
      <alignment horizontal="center"/>
      <protection locked="0"/>
    </xf>
    <xf numFmtId="187" fontId="101" fillId="0" borderId="0" xfId="304"/>
    <xf numFmtId="187" fontId="93" fillId="0" borderId="0" xfId="0" applyNumberFormat="1" applyFont="1" applyAlignment="1">
      <alignment horizontal="center"/>
    </xf>
    <xf numFmtId="187" fontId="93" fillId="0" borderId="0" xfId="0" applyNumberFormat="1" applyFont="1" applyAlignment="1">
      <alignment horizontal="right"/>
    </xf>
    <xf numFmtId="187" fontId="94" fillId="0" borderId="0" xfId="0" applyNumberFormat="1" applyFont="1"/>
    <xf numFmtId="0" fontId="12" fillId="0" borderId="0" xfId="0" applyFont="1"/>
    <xf numFmtId="187" fontId="12" fillId="0" borderId="0" xfId="0" applyNumberFormat="1" applyFont="1" applyAlignment="1">
      <alignment horizontal="center"/>
    </xf>
    <xf numFmtId="187" fontId="99" fillId="24" borderId="38" xfId="305">
      <alignment horizontal="center"/>
      <protection locked="0"/>
    </xf>
    <xf numFmtId="187" fontId="12" fillId="0" borderId="0" xfId="0" applyNumberFormat="1" applyFont="1" applyAlignment="1">
      <alignment horizontal="right"/>
    </xf>
    <xf numFmtId="187" fontId="102" fillId="0" borderId="0" xfId="0" applyNumberFormat="1" applyFont="1" applyAlignment="1">
      <alignment horizontal="center"/>
    </xf>
    <xf numFmtId="187" fontId="12" fillId="0" borderId="0" xfId="0" applyNumberFormat="1" applyFont="1"/>
    <xf numFmtId="43" fontId="99" fillId="24" borderId="38" xfId="1" applyFont="1" applyFill="1" applyBorder="1" applyProtection="1">
      <protection locked="0"/>
    </xf>
    <xf numFmtId="187" fontId="99" fillId="0" borderId="38" xfId="306"/>
    <xf numFmtId="0" fontId="12" fillId="0" borderId="0" xfId="0" applyFont="1" applyAlignment="1">
      <alignment horizontal="right"/>
    </xf>
    <xf numFmtId="166" fontId="103" fillId="53" borderId="0" xfId="299" applyFont="1" applyFill="1"/>
    <xf numFmtId="0" fontId="104" fillId="53" borderId="0" xfId="0" applyFont="1" applyFill="1"/>
    <xf numFmtId="170" fontId="99" fillId="45" borderId="38" xfId="307">
      <protection locked="0"/>
    </xf>
    <xf numFmtId="9" fontId="100" fillId="0" borderId="0" xfId="2" applyFont="1" applyAlignment="1">
      <alignment horizontal="right"/>
    </xf>
    <xf numFmtId="170" fontId="12" fillId="0" borderId="0" xfId="0" applyNumberFormat="1" applyFont="1" applyAlignment="1">
      <alignment horizontal="center"/>
    </xf>
    <xf numFmtId="187" fontId="94" fillId="0" borderId="0" xfId="0" applyNumberFormat="1" applyFont="1" applyAlignment="1">
      <alignment horizontal="left"/>
    </xf>
    <xf numFmtId="187" fontId="99" fillId="0" borderId="38" xfId="0" applyNumberFormat="1" applyFont="1" applyBorder="1"/>
    <xf numFmtId="187" fontId="94" fillId="0" borderId="0" xfId="308"/>
    <xf numFmtId="187" fontId="105" fillId="0" borderId="38" xfId="0" applyNumberFormat="1" applyFont="1" applyBorder="1"/>
    <xf numFmtId="0" fontId="106" fillId="0" borderId="0" xfId="309">
      <alignment horizontal="center"/>
    </xf>
    <xf numFmtId="0" fontId="12" fillId="0" borderId="0" xfId="0" applyFont="1" applyAlignment="1">
      <alignment horizontal="center"/>
    </xf>
    <xf numFmtId="187" fontId="99" fillId="0" borderId="0" xfId="0" applyNumberFormat="1" applyFont="1"/>
    <xf numFmtId="0" fontId="106" fillId="0" borderId="0" xfId="0" applyFont="1" applyAlignment="1">
      <alignment horizontal="center"/>
    </xf>
    <xf numFmtId="166" fontId="97" fillId="52" borderId="0" xfId="299" applyFont="1"/>
    <xf numFmtId="0" fontId="98" fillId="52" borderId="0" xfId="0" applyFont="1" applyFill="1"/>
    <xf numFmtId="187" fontId="57" fillId="0" borderId="0" xfId="0" applyNumberFormat="1" applyFont="1" applyAlignment="1">
      <alignment horizontal="left"/>
    </xf>
    <xf numFmtId="9" fontId="99" fillId="24" borderId="38" xfId="2" applyFont="1" applyFill="1" applyBorder="1" applyProtection="1">
      <protection locked="0"/>
    </xf>
    <xf numFmtId="187" fontId="102" fillId="0" borderId="0" xfId="0" applyNumberFormat="1" applyFont="1" applyAlignment="1">
      <alignment horizontal="right"/>
    </xf>
    <xf numFmtId="43" fontId="99" fillId="45" borderId="38" xfId="1" applyFont="1" applyFill="1" applyBorder="1" applyProtection="1">
      <protection locked="0"/>
    </xf>
    <xf numFmtId="170" fontId="105" fillId="0" borderId="38" xfId="310"/>
    <xf numFmtId="9" fontId="99" fillId="0" borderId="0" xfId="2" applyFont="1"/>
    <xf numFmtId="191" fontId="102" fillId="0" borderId="0" xfId="0" applyNumberFormat="1" applyFont="1" applyAlignment="1">
      <alignment horizontal="center"/>
    </xf>
    <xf numFmtId="191" fontId="12" fillId="0" borderId="0" xfId="0" applyNumberFormat="1" applyFont="1"/>
    <xf numFmtId="186" fontId="99" fillId="24" borderId="38" xfId="1" applyNumberFormat="1" applyFont="1" applyFill="1" applyBorder="1" applyProtection="1">
      <protection locked="0"/>
    </xf>
    <xf numFmtId="43" fontId="99" fillId="0" borderId="38" xfId="1" applyFont="1" applyBorder="1"/>
    <xf numFmtId="187" fontId="101" fillId="0" borderId="0" xfId="0" applyNumberFormat="1" applyFont="1"/>
    <xf numFmtId="43" fontId="99" fillId="0" borderId="0" xfId="1" applyFont="1"/>
    <xf numFmtId="43" fontId="105" fillId="0" borderId="38" xfId="1" applyFont="1" applyBorder="1"/>
    <xf numFmtId="170" fontId="100" fillId="50" borderId="38" xfId="303" applyFill="1">
      <alignment horizontal="center"/>
      <protection locked="0"/>
    </xf>
    <xf numFmtId="190" fontId="100" fillId="50" borderId="38" xfId="0" applyNumberFormat="1" applyFont="1" applyFill="1" applyBorder="1" applyAlignment="1" applyProtection="1">
      <alignment horizontal="center"/>
      <protection locked="0"/>
    </xf>
    <xf numFmtId="186" fontId="100" fillId="50" borderId="38" xfId="1" applyNumberFormat="1" applyFont="1" applyFill="1" applyBorder="1" applyAlignment="1">
      <alignment horizontal="center"/>
    </xf>
    <xf numFmtId="187" fontId="57" fillId="50" borderId="0" xfId="0" applyNumberFormat="1" applyFont="1" applyFill="1"/>
    <xf numFmtId="187" fontId="99" fillId="50" borderId="38" xfId="301" applyFill="1">
      <protection locked="0"/>
    </xf>
    <xf numFmtId="187" fontId="99" fillId="50" borderId="38" xfId="305" applyFill="1">
      <alignment horizontal="center"/>
      <protection locked="0"/>
    </xf>
    <xf numFmtId="187" fontId="99" fillId="50" borderId="38" xfId="306" applyFill="1"/>
    <xf numFmtId="170" fontId="99" fillId="50" borderId="38" xfId="307" applyFill="1">
      <protection locked="0"/>
    </xf>
    <xf numFmtId="187" fontId="57" fillId="50" borderId="0" xfId="302" applyFill="1">
      <alignment horizontal="center"/>
    </xf>
    <xf numFmtId="43" fontId="0" fillId="6" borderId="0" xfId="1" applyNumberFormat="1" applyFont="1" applyFill="1"/>
    <xf numFmtId="43" fontId="0" fillId="0" borderId="0" xfId="1" applyFont="1" applyFill="1"/>
    <xf numFmtId="0" fontId="0" fillId="0" borderId="0" xfId="0"/>
    <xf numFmtId="0" fontId="0" fillId="0" borderId="0" xfId="0"/>
    <xf numFmtId="43" fontId="0" fillId="5" borderId="0" xfId="1" applyNumberFormat="1" applyFont="1" applyFill="1"/>
    <xf numFmtId="43" fontId="20" fillId="0" borderId="0" xfId="1" applyFont="1"/>
    <xf numFmtId="0" fontId="91" fillId="49" borderId="0" xfId="293" quotePrefix="1" applyFill="1"/>
    <xf numFmtId="0" fontId="0" fillId="0" borderId="0" xfId="0" applyFill="1"/>
    <xf numFmtId="0" fontId="5" fillId="0" borderId="0" xfId="0" applyFont="1" applyFill="1"/>
    <xf numFmtId="2" fontId="0" fillId="0" borderId="0" xfId="0" applyNumberFormat="1" applyFill="1"/>
    <xf numFmtId="0" fontId="2" fillId="0" borderId="0" xfId="0" applyFont="1" applyFill="1"/>
    <xf numFmtId="183" fontId="0" fillId="0" borderId="0" xfId="0" applyNumberFormat="1" applyFill="1"/>
    <xf numFmtId="166" fontId="0" fillId="0" borderId="0" xfId="0" applyNumberFormat="1" applyFill="1"/>
    <xf numFmtId="167" fontId="0" fillId="0" borderId="0" xfId="0" applyNumberFormat="1" applyFill="1"/>
    <xf numFmtId="0" fontId="0" fillId="0" borderId="0" xfId="0" applyFill="1" applyAlignment="1">
      <alignment horizontal="right"/>
    </xf>
    <xf numFmtId="0" fontId="2" fillId="0" borderId="0" xfId="0" applyFont="1" applyFill="1" applyAlignment="1">
      <alignment horizontal="center"/>
    </xf>
    <xf numFmtId="0" fontId="0" fillId="0" borderId="4" xfId="0" applyFill="1" applyBorder="1"/>
    <xf numFmtId="0" fontId="2" fillId="0" borderId="4" xfId="0" applyFont="1" applyFill="1" applyBorder="1"/>
    <xf numFmtId="9" fontId="0" fillId="0" borderId="0" xfId="0" applyNumberFormat="1" applyFill="1"/>
    <xf numFmtId="0" fontId="4" fillId="0" borderId="0" xfId="0" applyFont="1" applyFill="1"/>
    <xf numFmtId="165" fontId="0" fillId="0" borderId="0" xfId="1" applyNumberFormat="1" applyFont="1" applyFill="1"/>
    <xf numFmtId="169" fontId="0" fillId="0" borderId="6" xfId="0" applyNumberFormat="1" applyFill="1" applyBorder="1"/>
    <xf numFmtId="0" fontId="0" fillId="0" borderId="0" xfId="0" quotePrefix="1" applyFill="1" applyAlignment="1">
      <alignment horizontal="right"/>
    </xf>
    <xf numFmtId="169" fontId="0" fillId="0" borderId="0" xfId="0" applyNumberFormat="1" applyFill="1"/>
    <xf numFmtId="3" fontId="0" fillId="0" borderId="0" xfId="0" quotePrefix="1" applyNumberFormat="1" applyFill="1" applyAlignment="1">
      <alignment horizontal="right"/>
    </xf>
    <xf numFmtId="0" fontId="2" fillId="0" borderId="0" xfId="0" applyFont="1" applyFill="1" applyAlignment="1">
      <alignment horizontal="right"/>
    </xf>
    <xf numFmtId="3" fontId="0" fillId="0" borderId="0" xfId="0" applyNumberFormat="1" applyFill="1"/>
    <xf numFmtId="3" fontId="10" fillId="0" borderId="0" xfId="0" applyNumberFormat="1" applyFont="1" applyFill="1" applyAlignment="1">
      <alignment horizontal="right"/>
    </xf>
    <xf numFmtId="3" fontId="2" fillId="0" borderId="0" xfId="0" applyNumberFormat="1" applyFont="1" applyFill="1"/>
    <xf numFmtId="3" fontId="2" fillId="0" borderId="0" xfId="0" quotePrefix="1" applyNumberFormat="1" applyFont="1" applyFill="1"/>
    <xf numFmtId="3" fontId="0" fillId="0" borderId="0" xfId="0" quotePrefix="1" applyNumberFormat="1" applyFill="1"/>
    <xf numFmtId="167" fontId="0" fillId="0" borderId="0" xfId="0" applyNumberFormat="1" applyFill="1" applyProtection="1">
      <protection hidden="1"/>
    </xf>
    <xf numFmtId="1" fontId="0" fillId="0" borderId="0" xfId="0" applyNumberFormat="1" applyFill="1"/>
    <xf numFmtId="167" fontId="0" fillId="0" borderId="0" xfId="0" quotePrefix="1" applyNumberFormat="1" applyFill="1" applyAlignment="1" applyProtection="1">
      <alignment horizontal="right"/>
      <protection hidden="1"/>
    </xf>
    <xf numFmtId="0" fontId="87" fillId="0" borderId="0" xfId="0" applyFont="1" applyFill="1"/>
    <xf numFmtId="167" fontId="0" fillId="0" borderId="0" xfId="0" quotePrefix="1" applyNumberFormat="1" applyFill="1" applyProtection="1">
      <protection hidden="1"/>
    </xf>
    <xf numFmtId="0" fontId="3" fillId="0" borderId="0" xfId="0" applyFont="1" applyFill="1"/>
    <xf numFmtId="169" fontId="0" fillId="0" borderId="5" xfId="0" applyNumberFormat="1" applyFill="1" applyBorder="1"/>
    <xf numFmtId="0" fontId="0" fillId="0" borderId="9" xfId="0" applyFill="1" applyBorder="1"/>
    <xf numFmtId="0" fontId="0" fillId="0" borderId="10" xfId="0" quotePrefix="1" applyFill="1" applyBorder="1" applyAlignment="1">
      <alignment horizontal="right"/>
    </xf>
    <xf numFmtId="9" fontId="0" fillId="0" borderId="10" xfId="0" applyNumberFormat="1" applyFill="1" applyBorder="1"/>
    <xf numFmtId="167" fontId="0" fillId="0" borderId="11" xfId="0" quotePrefix="1" applyNumberFormat="1" applyFill="1" applyBorder="1" applyProtection="1">
      <protection hidden="1"/>
    </xf>
    <xf numFmtId="0" fontId="0" fillId="0" borderId="12" xfId="0" applyFill="1" applyBorder="1"/>
    <xf numFmtId="0" fontId="0" fillId="0" borderId="4" xfId="0" applyFill="1" applyBorder="1" applyAlignment="1">
      <alignment horizontal="right"/>
    </xf>
    <xf numFmtId="170" fontId="1" fillId="0" borderId="13" xfId="2" quotePrefix="1" applyNumberFormat="1" applyFill="1" applyBorder="1" applyProtection="1">
      <protection hidden="1"/>
    </xf>
    <xf numFmtId="1" fontId="0" fillId="0" borderId="0" xfId="0" quotePrefix="1" applyNumberFormat="1" applyFill="1"/>
    <xf numFmtId="0" fontId="2" fillId="0" borderId="9" xfId="0" applyFont="1" applyFill="1" applyBorder="1"/>
    <xf numFmtId="0" fontId="2" fillId="0" borderId="10" xfId="0" quotePrefix="1" applyFont="1" applyFill="1" applyBorder="1" applyAlignment="1">
      <alignment horizontal="right"/>
    </xf>
    <xf numFmtId="9" fontId="2" fillId="0" borderId="10" xfId="0" applyNumberFormat="1" applyFont="1" applyFill="1" applyBorder="1"/>
    <xf numFmtId="167" fontId="2" fillId="0" borderId="11" xfId="0" quotePrefix="1" applyNumberFormat="1" applyFont="1" applyFill="1" applyBorder="1" applyProtection="1">
      <protection hidden="1"/>
    </xf>
    <xf numFmtId="0" fontId="2" fillId="0" borderId="12" xfId="0" applyFont="1" applyFill="1" applyBorder="1"/>
    <xf numFmtId="0" fontId="2" fillId="0" borderId="4" xfId="0" applyFont="1" applyFill="1" applyBorder="1" applyAlignment="1">
      <alignment horizontal="right"/>
    </xf>
    <xf numFmtId="170" fontId="2" fillId="0" borderId="13" xfId="2" applyNumberFormat="1" applyFont="1" applyFill="1" applyBorder="1" applyProtection="1">
      <protection hidden="1"/>
    </xf>
    <xf numFmtId="0" fontId="13" fillId="0" borderId="0" xfId="0" applyFont="1" applyFill="1" applyAlignment="1">
      <alignment vertical="top"/>
    </xf>
    <xf numFmtId="0" fontId="13" fillId="0" borderId="0" xfId="0" applyFont="1" applyFill="1" applyAlignment="1">
      <alignment horizontal="right" vertical="top"/>
    </xf>
    <xf numFmtId="167" fontId="13" fillId="0" borderId="0" xfId="0" applyNumberFormat="1" applyFont="1" applyFill="1" applyAlignment="1">
      <alignment vertical="top"/>
    </xf>
    <xf numFmtId="0" fontId="2" fillId="0" borderId="1" xfId="0" applyFont="1" applyFill="1" applyBorder="1" applyAlignment="1">
      <alignment horizontal="center"/>
    </xf>
    <xf numFmtId="0" fontId="0" fillId="0" borderId="0" xfId="0" applyFill="1" applyAlignment="1">
      <alignment horizontal="center"/>
    </xf>
    <xf numFmtId="0" fontId="0" fillId="0" borderId="0" xfId="0" applyFill="1" applyAlignment="1">
      <alignment horizontal="left" indent="2"/>
    </xf>
    <xf numFmtId="9" fontId="2" fillId="0" borderId="1" xfId="0" applyNumberFormat="1" applyFont="1" applyFill="1" applyBorder="1" applyAlignment="1">
      <alignment horizontal="right"/>
    </xf>
    <xf numFmtId="166" fontId="2" fillId="0" borderId="1" xfId="0" applyNumberFormat="1" applyFont="1" applyFill="1" applyBorder="1" applyAlignment="1">
      <alignment horizontal="right"/>
    </xf>
    <xf numFmtId="9" fontId="2" fillId="0" borderId="0" xfId="0" applyNumberFormat="1" applyFont="1" applyFill="1" applyAlignment="1">
      <alignment horizontal="right"/>
    </xf>
    <xf numFmtId="43" fontId="2" fillId="0" borderId="0" xfId="1" applyFont="1" applyFill="1" applyAlignment="1">
      <alignment horizontal="right"/>
    </xf>
    <xf numFmtId="165" fontId="1" fillId="0" borderId="0" xfId="1" applyNumberFormat="1" applyFill="1" applyAlignment="1">
      <alignment horizontal="right"/>
    </xf>
    <xf numFmtId="43" fontId="1" fillId="0" borderId="0" xfId="1" applyFill="1" applyAlignment="1">
      <alignment horizontal="right"/>
    </xf>
    <xf numFmtId="0" fontId="0" fillId="0" borderId="0" xfId="0" applyFill="1" applyAlignment="1">
      <alignment horizontal="left" indent="5"/>
    </xf>
    <xf numFmtId="9" fontId="2" fillId="0" borderId="1" xfId="2" applyFont="1" applyFill="1" applyBorder="1" applyAlignment="1">
      <alignment horizontal="center"/>
    </xf>
    <xf numFmtId="0" fontId="0" fillId="0" borderId="0" xfId="0" applyFill="1" applyAlignment="1">
      <alignment horizontal="right" indent="5"/>
    </xf>
    <xf numFmtId="165" fontId="2" fillId="0" borderId="0" xfId="1" applyNumberFormat="1" applyFont="1" applyFill="1" applyAlignment="1">
      <alignment horizontal="center"/>
    </xf>
    <xf numFmtId="9" fontId="2" fillId="0" borderId="26" xfId="2" applyFont="1" applyFill="1" applyBorder="1" applyAlignment="1">
      <alignment horizontal="center"/>
    </xf>
    <xf numFmtId="170" fontId="1" fillId="0" borderId="0" xfId="2" applyNumberFormat="1" applyFill="1" applyAlignment="1">
      <alignment horizontal="right"/>
    </xf>
    <xf numFmtId="9" fontId="1" fillId="0" borderId="0" xfId="2" applyFill="1" applyAlignment="1">
      <alignment horizontal="right"/>
    </xf>
    <xf numFmtId="167" fontId="2" fillId="0" borderId="0" xfId="0" quotePrefix="1" applyNumberFormat="1" applyFont="1" applyFill="1" applyProtection="1">
      <protection hidden="1"/>
    </xf>
    <xf numFmtId="167" fontId="18" fillId="0" borderId="0" xfId="0" applyNumberFormat="1" applyFont="1" applyFill="1" applyAlignment="1">
      <alignment horizontal="right"/>
    </xf>
    <xf numFmtId="170" fontId="17" fillId="0" borderId="14" xfId="0" applyNumberFormat="1" applyFont="1" applyFill="1" applyBorder="1" applyAlignment="1">
      <alignment horizontal="right"/>
    </xf>
    <xf numFmtId="170" fontId="17" fillId="0" borderId="0" xfId="0" applyNumberFormat="1" applyFont="1" applyFill="1" applyAlignment="1">
      <alignment horizontal="right"/>
    </xf>
    <xf numFmtId="167" fontId="18" fillId="0" borderId="0" xfId="0" quotePrefix="1" applyNumberFormat="1" applyFont="1" applyFill="1" applyAlignment="1">
      <alignment horizontal="right"/>
    </xf>
    <xf numFmtId="0" fontId="14" fillId="0" borderId="0" xfId="0" applyFont="1" applyFill="1"/>
    <xf numFmtId="0" fontId="0" fillId="0" borderId="0" xfId="0" applyFont="1" applyFill="1"/>
    <xf numFmtId="3" fontId="0" fillId="0" borderId="0" xfId="0" quotePrefix="1" applyNumberFormat="1" applyFont="1" applyFill="1" applyAlignment="1">
      <alignment horizontal="right"/>
    </xf>
    <xf numFmtId="3" fontId="0" fillId="0" borderId="0" xfId="0" applyNumberFormat="1" applyFont="1" applyFill="1"/>
    <xf numFmtId="3" fontId="0" fillId="0" borderId="0" xfId="0" quotePrefix="1" applyNumberFormat="1" applyFont="1" applyFill="1"/>
    <xf numFmtId="3" fontId="1" fillId="0" borderId="0" xfId="1" applyNumberFormat="1" applyFont="1" applyFill="1"/>
    <xf numFmtId="3" fontId="1" fillId="0" borderId="0" xfId="1" quotePrefix="1" applyNumberFormat="1" applyFont="1" applyFill="1" applyAlignment="1">
      <alignment horizontal="right"/>
    </xf>
    <xf numFmtId="3" fontId="2" fillId="0" borderId="0" xfId="1" applyNumberFormat="1" applyFont="1" applyFill="1"/>
    <xf numFmtId="3" fontId="0" fillId="0" borderId="0" xfId="1" applyNumberFormat="1" applyFont="1" applyFill="1"/>
    <xf numFmtId="3" fontId="2" fillId="0" borderId="0" xfId="0" applyNumberFormat="1" applyFont="1" applyFill="1" applyAlignment="1">
      <alignment horizontal="center"/>
    </xf>
    <xf numFmtId="3" fontId="0" fillId="0" borderId="0" xfId="1" quotePrefix="1" applyNumberFormat="1" applyFont="1" applyFill="1" applyAlignment="1">
      <alignment horizontal="right"/>
    </xf>
    <xf numFmtId="3" fontId="3" fillId="0" borderId="0" xfId="1" applyNumberFormat="1" applyFont="1" applyFill="1" applyAlignment="1">
      <alignment horizontal="right"/>
    </xf>
    <xf numFmtId="3" fontId="1" fillId="0" borderId="0" xfId="2" applyNumberFormat="1" applyFill="1"/>
    <xf numFmtId="3" fontId="0" fillId="0" borderId="0" xfId="0" applyNumberFormat="1" applyFill="1" applyProtection="1">
      <protection hidden="1"/>
    </xf>
    <xf numFmtId="3" fontId="2" fillId="0" borderId="0" xfId="0" applyNumberFormat="1" applyFont="1" applyFill="1" applyProtection="1">
      <protection hidden="1"/>
    </xf>
    <xf numFmtId="3" fontId="0" fillId="0" borderId="0" xfId="0" quotePrefix="1" applyNumberFormat="1" applyFill="1" applyAlignment="1" applyProtection="1">
      <alignment horizontal="right"/>
      <protection hidden="1"/>
    </xf>
    <xf numFmtId="3" fontId="87" fillId="0" borderId="0" xfId="0" applyNumberFormat="1" applyFont="1" applyFill="1" applyProtection="1">
      <protection hidden="1"/>
    </xf>
    <xf numFmtId="3" fontId="1" fillId="0" borderId="0" xfId="2" applyNumberFormat="1" applyFill="1" applyProtection="1">
      <protection hidden="1"/>
    </xf>
    <xf numFmtId="3" fontId="0" fillId="0" borderId="0" xfId="0" quotePrefix="1" applyNumberFormat="1" applyFill="1" applyProtection="1">
      <protection hidden="1"/>
    </xf>
    <xf numFmtId="3" fontId="0" fillId="0" borderId="0" xfId="1" applyNumberFormat="1" applyFont="1" applyFill="1" applyProtection="1">
      <protection hidden="1"/>
    </xf>
    <xf numFmtId="3" fontId="1" fillId="0" borderId="0" xfId="4" applyNumberFormat="1" applyFont="1" applyFill="1" applyProtection="1">
      <protection hidden="1"/>
    </xf>
    <xf numFmtId="0" fontId="0" fillId="54" borderId="0" xfId="0" applyFill="1"/>
    <xf numFmtId="0" fontId="2" fillId="54" borderId="0" xfId="0" applyFont="1" applyFill="1" applyAlignment="1">
      <alignment horizontal="center"/>
    </xf>
    <xf numFmtId="0" fontId="0" fillId="54" borderId="4" xfId="0" applyFill="1" applyBorder="1"/>
    <xf numFmtId="0" fontId="2" fillId="54" borderId="4" xfId="0" applyFont="1" applyFill="1" applyBorder="1"/>
    <xf numFmtId="165" fontId="2" fillId="54" borderId="4" xfId="0" applyNumberFormat="1" applyFont="1" applyFill="1" applyBorder="1" applyAlignment="1">
      <alignment horizontal="right"/>
    </xf>
    <xf numFmtId="167" fontId="0" fillId="54" borderId="4" xfId="0" applyNumberFormat="1" applyFill="1" applyBorder="1"/>
    <xf numFmtId="0" fontId="2" fillId="54" borderId="4" xfId="0" applyFont="1" applyFill="1" applyBorder="1" applyAlignment="1">
      <alignment horizontal="center"/>
    </xf>
    <xf numFmtId="3" fontId="21" fillId="55" borderId="0" xfId="0" applyNumberFormat="1" applyFont="1" applyFill="1" applyAlignment="1">
      <alignment horizontal="right" vertical="center" wrapText="1"/>
    </xf>
    <xf numFmtId="3" fontId="21" fillId="55" borderId="0" xfId="0" applyNumberFormat="1" applyFont="1" applyFill="1" applyAlignment="1">
      <alignment horizontal="justify" vertical="center" wrapText="1"/>
    </xf>
    <xf numFmtId="165" fontId="4" fillId="2" borderId="0" xfId="0" quotePrefix="1" applyNumberFormat="1" applyFont="1" applyFill="1"/>
    <xf numFmtId="9" fontId="57" fillId="0" borderId="0" xfId="2" applyFont="1"/>
    <xf numFmtId="0" fontId="74" fillId="56" borderId="27" xfId="0" applyFont="1" applyFill="1" applyBorder="1" applyAlignment="1">
      <alignment horizontal="center" vertical="top" wrapText="1"/>
    </xf>
    <xf numFmtId="0" fontId="74" fillId="56" borderId="26" xfId="0" applyFont="1" applyFill="1" applyBorder="1" applyAlignment="1">
      <alignment horizontal="center" vertical="top" wrapText="1"/>
    </xf>
    <xf numFmtId="0" fontId="74" fillId="56" borderId="13" xfId="0" applyFont="1" applyFill="1" applyBorder="1" applyAlignment="1">
      <alignment horizontal="center" vertical="top" wrapText="1"/>
    </xf>
    <xf numFmtId="0" fontId="21" fillId="56" borderId="13" xfId="0" applyFont="1" applyFill="1" applyBorder="1" applyAlignment="1">
      <alignment horizontal="center" vertical="top" wrapText="1"/>
    </xf>
    <xf numFmtId="0" fontId="0" fillId="0" borderId="26" xfId="0" applyBorder="1"/>
    <xf numFmtId="3" fontId="21" fillId="56" borderId="13" xfId="0" applyNumberFormat="1" applyFont="1" applyFill="1" applyBorder="1" applyAlignment="1">
      <alignment horizontal="right" vertical="top"/>
    </xf>
    <xf numFmtId="0" fontId="21" fillId="56" borderId="13" xfId="0" applyFont="1" applyFill="1" applyBorder="1" applyAlignment="1">
      <alignment vertical="top"/>
    </xf>
    <xf numFmtId="0" fontId="21" fillId="56" borderId="26" xfId="0" applyFont="1" applyFill="1" applyBorder="1" applyAlignment="1">
      <alignment vertical="top"/>
    </xf>
    <xf numFmtId="0" fontId="59" fillId="0" borderId="0" xfId="0" applyFont="1" applyAlignment="1">
      <alignment vertical="top" wrapText="1"/>
    </xf>
    <xf numFmtId="0" fontId="59" fillId="0" borderId="0" xfId="0" applyFont="1" applyAlignment="1">
      <alignment vertical="top"/>
    </xf>
    <xf numFmtId="0" fontId="59" fillId="0" borderId="26" xfId="0" applyFont="1" applyBorder="1" applyAlignment="1">
      <alignment horizontal="right" vertical="top" wrapText="1"/>
    </xf>
    <xf numFmtId="0" fontId="59" fillId="0" borderId="0" xfId="0" applyFont="1" applyAlignment="1">
      <alignment horizontal="center" vertical="top"/>
    </xf>
    <xf numFmtId="0" fontId="60" fillId="0" borderId="26" xfId="0" applyFont="1" applyBorder="1" applyAlignment="1">
      <alignment horizontal="center" vertical="top"/>
    </xf>
    <xf numFmtId="0" fontId="59" fillId="0" borderId="26" xfId="0" applyFont="1" applyBorder="1" applyAlignment="1">
      <alignment horizontal="justify" vertical="top" wrapText="1"/>
    </xf>
    <xf numFmtId="0" fontId="60" fillId="6" borderId="26" xfId="0" applyFont="1" applyFill="1" applyBorder="1" applyAlignment="1">
      <alignment vertical="top" wrapText="1"/>
    </xf>
    <xf numFmtId="0" fontId="59" fillId="6" borderId="26" xfId="0" applyFont="1" applyFill="1" applyBorder="1" applyAlignment="1">
      <alignment vertical="top"/>
    </xf>
    <xf numFmtId="0" fontId="60" fillId="6" borderId="26" xfId="0" applyFont="1" applyFill="1" applyBorder="1" applyAlignment="1">
      <alignment horizontal="justify" vertical="top" wrapText="1"/>
    </xf>
    <xf numFmtId="0" fontId="59" fillId="6" borderId="26" xfId="0" applyFont="1" applyFill="1" applyBorder="1" applyAlignment="1">
      <alignment vertical="top" wrapText="1"/>
    </xf>
    <xf numFmtId="0" fontId="59" fillId="0" borderId="26" xfId="0" applyFont="1" applyBorder="1" applyAlignment="1">
      <alignment vertical="top"/>
    </xf>
    <xf numFmtId="165" fontId="59" fillId="0" borderId="26" xfId="1" applyNumberFormat="1" applyFont="1" applyBorder="1" applyAlignment="1">
      <alignment horizontal="right" vertical="top" wrapText="1"/>
    </xf>
    <xf numFmtId="165" fontId="60" fillId="6" borderId="26" xfId="1" applyNumberFormat="1" applyFont="1" applyFill="1" applyBorder="1" applyAlignment="1">
      <alignment horizontal="right" vertical="top"/>
    </xf>
    <xf numFmtId="165" fontId="59" fillId="0" borderId="26" xfId="1" applyNumberFormat="1" applyFont="1" applyBorder="1" applyAlignment="1">
      <alignment horizontal="right" vertical="top"/>
    </xf>
    <xf numFmtId="165" fontId="59" fillId="6" borderId="26" xfId="1" applyNumberFormat="1" applyFont="1" applyFill="1" applyBorder="1" applyAlignment="1">
      <alignment vertical="top" wrapText="1"/>
    </xf>
    <xf numFmtId="165" fontId="59" fillId="6" borderId="26" xfId="1" applyNumberFormat="1" applyFont="1" applyFill="1" applyBorder="1" applyAlignment="1">
      <alignment vertical="top"/>
    </xf>
    <xf numFmtId="43" fontId="59" fillId="0" borderId="0" xfId="0" applyNumberFormat="1" applyFont="1" applyAlignment="1">
      <alignment vertical="top"/>
    </xf>
    <xf numFmtId="165" fontId="3" fillId="57" borderId="0" xfId="1" applyNumberFormat="1" applyFont="1" applyFill="1"/>
    <xf numFmtId="165" fontId="0" fillId="57" borderId="0" xfId="1" applyNumberFormat="1" applyFont="1" applyFill="1"/>
    <xf numFmtId="165" fontId="2" fillId="57" borderId="0" xfId="1" applyNumberFormat="1" applyFont="1" applyFill="1"/>
    <xf numFmtId="3" fontId="2" fillId="57" borderId="0" xfId="0" applyNumberFormat="1" applyFont="1" applyFill="1"/>
    <xf numFmtId="0" fontId="3" fillId="57" borderId="1" xfId="0" applyFont="1" applyFill="1" applyBorder="1"/>
    <xf numFmtId="43" fontId="4" fillId="2" borderId="0" xfId="1" applyFont="1" applyFill="1" applyAlignment="1">
      <alignment wrapText="1"/>
    </xf>
    <xf numFmtId="165" fontId="4" fillId="2" borderId="0" xfId="1" applyNumberFormat="1" applyFont="1" applyFill="1" applyAlignment="1">
      <alignment wrapText="1"/>
    </xf>
    <xf numFmtId="14" fontId="0" fillId="0" borderId="0" xfId="0" applyNumberFormat="1"/>
    <xf numFmtId="3" fontId="0" fillId="0" borderId="4" xfId="0" applyNumberFormat="1" applyFill="1" applyBorder="1"/>
    <xf numFmtId="0" fontId="0" fillId="54" borderId="33" xfId="0" applyFill="1" applyBorder="1"/>
    <xf numFmtId="0" fontId="2" fillId="54" borderId="33" xfId="0" applyFont="1" applyFill="1" applyBorder="1" applyAlignment="1">
      <alignment horizontal="center"/>
    </xf>
    <xf numFmtId="9" fontId="0" fillId="0" borderId="0" xfId="0" applyNumberFormat="1" applyFill="1" applyAlignment="1">
      <alignment horizontal="right"/>
    </xf>
    <xf numFmtId="0" fontId="0" fillId="54" borderId="46" xfId="0" applyFill="1" applyBorder="1"/>
    <xf numFmtId="0" fontId="0" fillId="54" borderId="47" xfId="0" applyFill="1" applyBorder="1"/>
    <xf numFmtId="0" fontId="0" fillId="54" borderId="47" xfId="0" applyFill="1" applyBorder="1" applyAlignment="1">
      <alignment horizontal="right"/>
    </xf>
    <xf numFmtId="0" fontId="2" fillId="54" borderId="47" xfId="0" applyFont="1" applyFill="1" applyBorder="1" applyAlignment="1">
      <alignment horizontal="center"/>
    </xf>
    <xf numFmtId="0" fontId="2" fillId="54" borderId="48" xfId="0" applyFont="1" applyFill="1" applyBorder="1" applyAlignment="1">
      <alignment horizontal="center"/>
    </xf>
    <xf numFmtId="0" fontId="0" fillId="54" borderId="12" xfId="0" applyFill="1" applyBorder="1"/>
    <xf numFmtId="0" fontId="2" fillId="54" borderId="13" xfId="0" applyFont="1" applyFill="1" applyBorder="1" applyAlignment="1">
      <alignment horizontal="center"/>
    </xf>
    <xf numFmtId="0" fontId="61" fillId="0" borderId="49" xfId="0" applyFont="1" applyBorder="1" applyAlignment="1">
      <alignment vertical="center" wrapText="1"/>
    </xf>
    <xf numFmtId="0" fontId="61" fillId="0" borderId="50" xfId="0" applyFont="1" applyBorder="1" applyAlignment="1">
      <alignment vertical="center" wrapText="1"/>
    </xf>
    <xf numFmtId="0" fontId="61" fillId="0" borderId="49" xfId="0" applyFont="1" applyBorder="1" applyAlignment="1">
      <alignment horizontal="right" vertical="center" wrapText="1"/>
    </xf>
    <xf numFmtId="0" fontId="61" fillId="0" borderId="50" xfId="0" applyFont="1" applyBorder="1" applyAlignment="1">
      <alignment horizontal="right" vertical="center" wrapText="1"/>
    </xf>
    <xf numFmtId="0" fontId="61" fillId="0" borderId="51" xfId="0" applyFont="1" applyBorder="1" applyAlignment="1">
      <alignment horizontal="right" vertical="center" wrapText="1"/>
    </xf>
    <xf numFmtId="0" fontId="59" fillId="0" borderId="52" xfId="0" applyFont="1" applyBorder="1" applyAlignment="1">
      <alignment vertical="center" wrapText="1"/>
    </xf>
    <xf numFmtId="0" fontId="59" fillId="0" borderId="50" xfId="0" applyFont="1" applyBorder="1" applyAlignment="1">
      <alignment vertical="center" wrapText="1"/>
    </xf>
    <xf numFmtId="0" fontId="59" fillId="0" borderId="53" xfId="0" applyFont="1" applyBorder="1" applyAlignment="1">
      <alignment vertical="center" wrapText="1"/>
    </xf>
    <xf numFmtId="3" fontId="59" fillId="0" borderId="53" xfId="0" applyNumberFormat="1" applyFont="1" applyBorder="1" applyAlignment="1">
      <alignment vertical="center" wrapText="1"/>
    </xf>
    <xf numFmtId="169" fontId="0" fillId="0" borderId="0" xfId="0" applyNumberFormat="1" applyFill="1" applyBorder="1"/>
    <xf numFmtId="0" fontId="2" fillId="0" borderId="0" xfId="0" applyFont="1" applyFill="1" applyBorder="1"/>
    <xf numFmtId="0" fontId="2" fillId="0" borderId="0" xfId="0" quotePrefix="1" applyFont="1" applyFill="1" applyBorder="1" applyAlignment="1">
      <alignment horizontal="right"/>
    </xf>
    <xf numFmtId="0" fontId="0" fillId="0" borderId="0" xfId="0" applyFill="1" applyBorder="1"/>
    <xf numFmtId="3" fontId="2" fillId="0" borderId="0" xfId="0" applyNumberFormat="1" applyFont="1" applyFill="1" applyBorder="1" applyProtection="1">
      <protection hidden="1"/>
    </xf>
    <xf numFmtId="0" fontId="0" fillId="2" borderId="0" xfId="0" applyFill="1" applyAlignment="1">
      <alignment horizontal="left" vertical="top" wrapText="1"/>
    </xf>
    <xf numFmtId="0" fontId="3" fillId="2" borderId="2" xfId="0" applyFont="1" applyFill="1" applyBorder="1" applyAlignment="1">
      <alignment horizontal="left"/>
    </xf>
    <xf numFmtId="0" fontId="3" fillId="2" borderId="8" xfId="0" applyFont="1" applyFill="1" applyBorder="1" applyAlignment="1">
      <alignment horizontal="left"/>
    </xf>
    <xf numFmtId="0" fontId="3" fillId="2" borderId="3" xfId="0" applyFont="1" applyFill="1" applyBorder="1" applyAlignment="1">
      <alignment horizontal="left"/>
    </xf>
    <xf numFmtId="187" fontId="99" fillId="50" borderId="40" xfId="301" applyFill="1" applyBorder="1">
      <protection locked="0"/>
    </xf>
    <xf numFmtId="187" fontId="99" fillId="50" borderId="41" xfId="301" applyFill="1" applyBorder="1">
      <protection locked="0"/>
    </xf>
    <xf numFmtId="187" fontId="99" fillId="50" borderId="39" xfId="301" applyFill="1" applyBorder="1">
      <protection locked="0"/>
    </xf>
    <xf numFmtId="187" fontId="99" fillId="50" borderId="40" xfId="301" quotePrefix="1" applyFill="1" applyBorder="1">
      <protection locked="0"/>
    </xf>
    <xf numFmtId="0" fontId="2" fillId="8" borderId="31" xfId="0" applyFont="1" applyFill="1" applyBorder="1" applyAlignment="1">
      <alignment horizontal="center"/>
    </xf>
    <xf numFmtId="0" fontId="2" fillId="8" borderId="28" xfId="0" applyFont="1" applyFill="1" applyBorder="1" applyAlignment="1">
      <alignment horizontal="center"/>
    </xf>
    <xf numFmtId="0" fontId="2" fillId="8" borderId="27" xfId="0" applyFont="1" applyFill="1" applyBorder="1" applyAlignment="1">
      <alignment horizontal="center"/>
    </xf>
    <xf numFmtId="0" fontId="22" fillId="0" borderId="0" xfId="0" applyFont="1" applyAlignment="1">
      <alignment horizontal="right" vertical="center" wrapText="1"/>
    </xf>
    <xf numFmtId="0" fontId="74" fillId="56" borderId="42" xfId="0" applyFont="1" applyFill="1" applyBorder="1" applyAlignment="1">
      <alignment horizontal="center" vertical="top" wrapText="1"/>
    </xf>
    <xf numFmtId="0" fontId="74" fillId="56" borderId="15" xfId="0" applyFont="1" applyFill="1" applyBorder="1" applyAlignment="1">
      <alignment horizontal="center" vertical="top" wrapText="1"/>
    </xf>
    <xf numFmtId="0" fontId="107" fillId="56" borderId="42" xfId="0" applyFont="1" applyFill="1" applyBorder="1" applyAlignment="1">
      <alignment horizontal="center" vertical="top" wrapText="1"/>
    </xf>
    <xf numFmtId="0" fontId="107" fillId="56" borderId="44" xfId="0" applyFont="1" applyFill="1" applyBorder="1" applyAlignment="1">
      <alignment horizontal="center" vertical="top" wrapText="1"/>
    </xf>
    <xf numFmtId="0" fontId="107" fillId="56" borderId="15" xfId="0" applyFont="1" applyFill="1" applyBorder="1" applyAlignment="1">
      <alignment horizontal="center" vertical="top" wrapText="1"/>
    </xf>
    <xf numFmtId="0" fontId="107" fillId="56" borderId="42" xfId="0" applyFont="1" applyFill="1" applyBorder="1" applyAlignment="1">
      <alignment vertical="top" wrapText="1"/>
    </xf>
    <xf numFmtId="0" fontId="107" fillId="56" borderId="45" xfId="0" applyFont="1" applyFill="1" applyBorder="1" applyAlignment="1">
      <alignment vertical="top" wrapText="1"/>
    </xf>
    <xf numFmtId="0" fontId="21" fillId="56" borderId="42" xfId="0" applyFont="1" applyFill="1" applyBorder="1" applyAlignment="1">
      <alignment horizontal="center" vertical="top" wrapText="1"/>
    </xf>
    <xf numFmtId="0" fontId="21" fillId="56" borderId="15" xfId="0" applyFont="1" applyFill="1" applyBorder="1" applyAlignment="1">
      <alignment horizontal="center" vertical="top" wrapText="1"/>
    </xf>
    <xf numFmtId="0" fontId="21" fillId="56" borderId="42" xfId="0" applyFont="1" applyFill="1" applyBorder="1" applyAlignment="1">
      <alignment horizontal="center" vertical="top"/>
    </xf>
    <xf numFmtId="0" fontId="21" fillId="56" borderId="15" xfId="0" applyFont="1" applyFill="1" applyBorder="1" applyAlignment="1">
      <alignment horizontal="center" vertical="top"/>
    </xf>
    <xf numFmtId="0" fontId="74" fillId="56" borderId="26" xfId="0" applyFont="1" applyFill="1" applyBorder="1" applyAlignment="1">
      <alignment horizontal="center" vertical="top" wrapText="1"/>
    </xf>
    <xf numFmtId="0" fontId="74" fillId="56" borderId="31" xfId="0" applyFont="1" applyFill="1" applyBorder="1" applyAlignment="1">
      <alignment horizontal="center" vertical="top" wrapText="1"/>
    </xf>
    <xf numFmtId="0" fontId="74" fillId="56" borderId="43" xfId="0" applyFont="1" applyFill="1" applyBorder="1" applyAlignment="1">
      <alignment horizontal="center" vertical="top" wrapText="1"/>
    </xf>
    <xf numFmtId="0" fontId="74" fillId="56" borderId="27" xfId="0" applyFont="1" applyFill="1" applyBorder="1" applyAlignment="1">
      <alignment horizontal="center" vertical="top" wrapText="1"/>
    </xf>
    <xf numFmtId="0" fontId="60" fillId="50" borderId="31" xfId="0" applyFont="1" applyFill="1" applyBorder="1" applyAlignment="1">
      <alignment horizontal="center" vertical="top" wrapText="1"/>
    </xf>
    <xf numFmtId="0" fontId="60" fillId="50" borderId="28" xfId="0" applyFont="1" applyFill="1" applyBorder="1" applyAlignment="1">
      <alignment horizontal="center" vertical="top" wrapText="1"/>
    </xf>
    <xf numFmtId="0" fontId="60" fillId="50" borderId="27" xfId="0" applyFont="1" applyFill="1" applyBorder="1" applyAlignment="1">
      <alignment horizontal="center" vertical="top" wrapText="1"/>
    </xf>
    <xf numFmtId="0" fontId="60" fillId="0" borderId="26" xfId="0" applyFont="1" applyBorder="1" applyAlignment="1">
      <alignment horizontal="left" vertical="top" wrapText="1"/>
    </xf>
    <xf numFmtId="0" fontId="60" fillId="0" borderId="6" xfId="0" applyFont="1" applyBorder="1" applyAlignment="1">
      <alignment horizontal="center" vertical="top" wrapText="1"/>
    </xf>
    <xf numFmtId="0" fontId="60" fillId="0" borderId="0" xfId="0" applyFont="1" applyAlignment="1">
      <alignment horizontal="center" vertical="top" wrapText="1"/>
    </xf>
    <xf numFmtId="0" fontId="60" fillId="0" borderId="42" xfId="0" applyFont="1" applyBorder="1" applyAlignment="1">
      <alignment horizontal="center" vertical="top" wrapText="1"/>
    </xf>
    <xf numFmtId="0" fontId="60" fillId="0" borderId="15" xfId="0" applyFont="1" applyBorder="1" applyAlignment="1">
      <alignment horizontal="center" vertical="top" wrapText="1"/>
    </xf>
    <xf numFmtId="0" fontId="60" fillId="0" borderId="42" xfId="0" applyFont="1" applyBorder="1" applyAlignment="1">
      <alignment horizontal="center" vertical="top"/>
    </xf>
    <xf numFmtId="0" fontId="60" fillId="0" borderId="15" xfId="0" applyFont="1" applyBorder="1" applyAlignment="1">
      <alignment horizontal="center" vertical="top"/>
    </xf>
    <xf numFmtId="0" fontId="60" fillId="0" borderId="26" xfId="0" applyFont="1" applyBorder="1" applyAlignment="1">
      <alignment horizontal="center" vertical="top"/>
    </xf>
    <xf numFmtId="0" fontId="60" fillId="50" borderId="31" xfId="0" applyFont="1" applyFill="1" applyBorder="1" applyAlignment="1">
      <alignment horizontal="left" vertical="top" wrapText="1"/>
    </xf>
    <xf numFmtId="0" fontId="60" fillId="50" borderId="28" xfId="0" applyFont="1" applyFill="1" applyBorder="1" applyAlignment="1">
      <alignment horizontal="left" vertical="top" wrapText="1"/>
    </xf>
    <xf numFmtId="0" fontId="60" fillId="50" borderId="27" xfId="0" applyFont="1" applyFill="1" applyBorder="1" applyAlignment="1">
      <alignment horizontal="left" vertical="top" wrapText="1"/>
    </xf>
    <xf numFmtId="15" fontId="66" fillId="0" borderId="0" xfId="0" applyNumberFormat="1" applyFont="1" applyAlignment="1">
      <alignment horizontal="left"/>
    </xf>
    <xf numFmtId="43" fontId="59" fillId="0" borderId="0" xfId="1" applyFont="1" applyAlignment="1">
      <alignment vertical="top"/>
    </xf>
    <xf numFmtId="0" fontId="7" fillId="0" borderId="46" xfId="0" applyFont="1" applyFill="1" applyBorder="1"/>
    <xf numFmtId="0" fontId="0" fillId="0" borderId="47" xfId="0" applyFill="1" applyBorder="1"/>
    <xf numFmtId="167" fontId="0" fillId="0" borderId="26" xfId="0" applyNumberFormat="1" applyFill="1" applyBorder="1" applyAlignment="1">
      <alignment horizontal="right"/>
    </xf>
    <xf numFmtId="167" fontId="0" fillId="0" borderId="26" xfId="0" applyNumberFormat="1" applyFill="1" applyBorder="1"/>
    <xf numFmtId="0" fontId="5" fillId="0" borderId="47" xfId="0" applyFont="1" applyFill="1" applyBorder="1"/>
    <xf numFmtId="0" fontId="5" fillId="0" borderId="48" xfId="0" applyFont="1" applyFill="1" applyBorder="1"/>
    <xf numFmtId="0" fontId="7" fillId="0" borderId="37" xfId="0" applyFont="1" applyFill="1" applyBorder="1"/>
    <xf numFmtId="0" fontId="8" fillId="0" borderId="0" xfId="0" applyFont="1" applyFill="1" applyBorder="1"/>
    <xf numFmtId="187" fontId="57" fillId="0" borderId="0" xfId="300" applyFill="1" applyBorder="1"/>
    <xf numFmtId="2" fontId="0" fillId="0" borderId="0" xfId="0" applyNumberFormat="1" applyFill="1" applyBorder="1"/>
    <xf numFmtId="2" fontId="0" fillId="0" borderId="7" xfId="0" applyNumberFormat="1" applyFill="1" applyBorder="1"/>
    <xf numFmtId="0" fontId="2" fillId="0" borderId="37" xfId="0" applyFont="1" applyFill="1" applyBorder="1"/>
    <xf numFmtId="183" fontId="0" fillId="0" borderId="0" xfId="0" applyNumberFormat="1" applyFill="1" applyBorder="1"/>
    <xf numFmtId="183" fontId="0" fillId="0" borderId="7" xfId="0" applyNumberFormat="1" applyFill="1" applyBorder="1"/>
    <xf numFmtId="0" fontId="3" fillId="0" borderId="26" xfId="0" applyFont="1" applyFill="1" applyBorder="1"/>
    <xf numFmtId="0" fontId="3" fillId="0" borderId="31" xfId="0" applyFont="1" applyFill="1" applyBorder="1"/>
    <xf numFmtId="0" fontId="3" fillId="0" borderId="28" xfId="0" applyFont="1" applyFill="1" applyBorder="1"/>
    <xf numFmtId="0" fontId="0" fillId="0" borderId="27" xfId="0" applyFill="1" applyBorder="1"/>
    <xf numFmtId="166" fontId="0" fillId="0" borderId="0" xfId="0" applyNumberFormat="1" applyFill="1" applyBorder="1"/>
    <xf numFmtId="166" fontId="0" fillId="0" borderId="7" xfId="0" applyNumberFormat="1" applyFill="1" applyBorder="1"/>
    <xf numFmtId="167" fontId="0" fillId="0" borderId="0" xfId="0" applyNumberFormat="1" applyFill="1" applyBorder="1"/>
    <xf numFmtId="167" fontId="0" fillId="0" borderId="7" xfId="0" applyNumberFormat="1" applyFill="1" applyBorder="1"/>
    <xf numFmtId="0" fontId="3" fillId="0" borderId="31" xfId="0" applyFont="1" applyFill="1" applyBorder="1" applyAlignment="1">
      <alignment horizontal="left"/>
    </xf>
    <xf numFmtId="0" fontId="3" fillId="0" borderId="28" xfId="0" applyFont="1" applyFill="1" applyBorder="1" applyAlignment="1">
      <alignment horizontal="left"/>
    </xf>
    <xf numFmtId="0" fontId="3" fillId="0" borderId="27" xfId="0" applyFont="1" applyFill="1" applyBorder="1" applyAlignment="1">
      <alignment horizontal="left"/>
    </xf>
    <xf numFmtId="0" fontId="0" fillId="0" borderId="37" xfId="0" applyFill="1" applyBorder="1"/>
    <xf numFmtId="0" fontId="0" fillId="54" borderId="37" xfId="0" applyFill="1" applyBorder="1"/>
    <xf numFmtId="0" fontId="0" fillId="54" borderId="0" xfId="0" applyFill="1" applyBorder="1"/>
    <xf numFmtId="0" fontId="0" fillId="54" borderId="0" xfId="0" applyFill="1" applyBorder="1" applyAlignment="1">
      <alignment horizontal="right"/>
    </xf>
    <xf numFmtId="0" fontId="2" fillId="54" borderId="0" xfId="0" applyFont="1" applyFill="1" applyBorder="1" applyAlignment="1">
      <alignment horizontal="center"/>
    </xf>
    <xf numFmtId="0" fontId="2" fillId="54" borderId="7" xfId="0" applyFont="1" applyFill="1" applyBorder="1" applyAlignment="1">
      <alignment horizontal="center"/>
    </xf>
    <xf numFmtId="0" fontId="0" fillId="0" borderId="0" xfId="0" applyFill="1" applyBorder="1" applyAlignment="1">
      <alignment horizontal="right"/>
    </xf>
    <xf numFmtId="0" fontId="0" fillId="0" borderId="7" xfId="0" applyFill="1" applyBorder="1"/>
    <xf numFmtId="9" fontId="0" fillId="0" borderId="0" xfId="0" applyNumberFormat="1" applyFill="1" applyBorder="1"/>
    <xf numFmtId="9" fontId="0" fillId="0" borderId="7" xfId="0" applyNumberFormat="1" applyFill="1" applyBorder="1"/>
    <xf numFmtId="0" fontId="0" fillId="0" borderId="37" xfId="0" applyFill="1" applyBorder="1" applyAlignment="1">
      <alignment horizontal="right"/>
    </xf>
    <xf numFmtId="0" fontId="4" fillId="0" borderId="0" xfId="0" quotePrefix="1" applyFont="1" applyFill="1" applyBorder="1"/>
    <xf numFmtId="0" fontId="4" fillId="0" borderId="0" xfId="0" applyFont="1" applyFill="1" applyBorder="1"/>
    <xf numFmtId="165" fontId="0" fillId="0" borderId="0" xfId="1" applyNumberFormat="1" applyFont="1" applyFill="1" applyBorder="1"/>
    <xf numFmtId="165" fontId="0" fillId="0" borderId="7" xfId="1" applyNumberFormat="1" applyFont="1" applyFill="1" applyBorder="1"/>
    <xf numFmtId="169" fontId="0" fillId="0" borderId="37" xfId="0" applyNumberFormat="1" applyFill="1" applyBorder="1"/>
    <xf numFmtId="0" fontId="0" fillId="0" borderId="0" xfId="0" quotePrefix="1" applyFill="1" applyBorder="1" applyAlignment="1">
      <alignment horizontal="right"/>
    </xf>
    <xf numFmtId="3" fontId="0" fillId="0" borderId="0" xfId="0" quotePrefix="1" applyNumberFormat="1" applyFill="1" applyBorder="1" applyAlignment="1">
      <alignment horizontal="right"/>
    </xf>
    <xf numFmtId="3" fontId="0" fillId="0" borderId="7" xfId="0" quotePrefix="1" applyNumberFormat="1" applyFill="1" applyBorder="1" applyAlignment="1">
      <alignment horizontal="right"/>
    </xf>
    <xf numFmtId="0" fontId="0" fillId="0" borderId="37" xfId="0" applyFont="1" applyFill="1" applyBorder="1"/>
    <xf numFmtId="0" fontId="0" fillId="0" borderId="0" xfId="0" applyFont="1" applyFill="1" applyBorder="1"/>
    <xf numFmtId="0" fontId="0" fillId="0" borderId="0" xfId="0" applyFont="1" applyFill="1" applyBorder="1" applyAlignment="1">
      <alignment horizontal="right"/>
    </xf>
    <xf numFmtId="3" fontId="1" fillId="0" borderId="0" xfId="1" applyNumberFormat="1" applyFont="1" applyFill="1" applyBorder="1"/>
    <xf numFmtId="3" fontId="1" fillId="0" borderId="7" xfId="1" applyNumberFormat="1" applyFont="1" applyFill="1" applyBorder="1"/>
    <xf numFmtId="3" fontId="0" fillId="0" borderId="0" xfId="0" applyNumberFormat="1" applyFont="1" applyFill="1" applyBorder="1"/>
    <xf numFmtId="3" fontId="0" fillId="0" borderId="7" xfId="0" applyNumberFormat="1" applyFont="1" applyFill="1" applyBorder="1"/>
    <xf numFmtId="169" fontId="0" fillId="0" borderId="37" xfId="0" applyNumberFormat="1" applyFont="1" applyFill="1" applyBorder="1"/>
    <xf numFmtId="0" fontId="0" fillId="0" borderId="0" xfId="0" quotePrefix="1" applyFont="1" applyFill="1" applyBorder="1" applyAlignment="1">
      <alignment horizontal="right"/>
    </xf>
    <xf numFmtId="169" fontId="0" fillId="0" borderId="0" xfId="0" applyNumberFormat="1" applyFont="1" applyFill="1" applyBorder="1"/>
    <xf numFmtId="3" fontId="0" fillId="0" borderId="0" xfId="0" quotePrefix="1" applyNumberFormat="1" applyFont="1" applyFill="1" applyBorder="1" applyAlignment="1">
      <alignment horizontal="right"/>
    </xf>
    <xf numFmtId="3" fontId="0" fillId="0" borderId="7" xfId="0" quotePrefix="1" applyNumberFormat="1" applyFont="1" applyFill="1" applyBorder="1" applyAlignment="1">
      <alignment horizontal="right"/>
    </xf>
    <xf numFmtId="3" fontId="1" fillId="0" borderId="0" xfId="1" quotePrefix="1" applyNumberFormat="1" applyFont="1" applyFill="1" applyBorder="1" applyAlignment="1">
      <alignment horizontal="right"/>
    </xf>
    <xf numFmtId="3" fontId="1" fillId="0" borderId="7" xfId="1" quotePrefix="1" applyNumberFormat="1" applyFont="1" applyFill="1" applyBorder="1" applyAlignment="1">
      <alignment horizontal="right"/>
    </xf>
    <xf numFmtId="169" fontId="2" fillId="0" borderId="37" xfId="0" applyNumberFormat="1" applyFont="1" applyFill="1" applyBorder="1"/>
    <xf numFmtId="169" fontId="2" fillId="0" borderId="0" xfId="0" applyNumberFormat="1" applyFont="1" applyFill="1" applyBorder="1"/>
    <xf numFmtId="3" fontId="2" fillId="0" borderId="0" xfId="1" applyNumberFormat="1" applyFont="1" applyFill="1" applyBorder="1"/>
    <xf numFmtId="3" fontId="2" fillId="0" borderId="7" xfId="1" applyNumberFormat="1" applyFont="1" applyFill="1" applyBorder="1"/>
    <xf numFmtId="3" fontId="4" fillId="0" borderId="0" xfId="0" applyNumberFormat="1" applyFont="1" applyFill="1" applyBorder="1"/>
    <xf numFmtId="3" fontId="0" fillId="0" borderId="0" xfId="0" applyNumberFormat="1" applyFill="1" applyBorder="1"/>
    <xf numFmtId="3" fontId="0" fillId="0" borderId="7" xfId="0" applyNumberFormat="1" applyFill="1" applyBorder="1"/>
    <xf numFmtId="3" fontId="0" fillId="0" borderId="0" xfId="1" applyNumberFormat="1" applyFont="1" applyFill="1" applyBorder="1"/>
    <xf numFmtId="3" fontId="0" fillId="0" borderId="7" xfId="1" applyNumberFormat="1" applyFont="1" applyFill="1" applyBorder="1"/>
    <xf numFmtId="3" fontId="10" fillId="0" borderId="0" xfId="0" applyNumberFormat="1" applyFont="1" applyFill="1" applyBorder="1" applyAlignment="1">
      <alignment horizontal="right"/>
    </xf>
    <xf numFmtId="3" fontId="10" fillId="0" borderId="7" xfId="0" applyNumberFormat="1" applyFont="1" applyFill="1" applyBorder="1" applyAlignment="1">
      <alignment horizontal="right"/>
    </xf>
    <xf numFmtId="3" fontId="2" fillId="0" borderId="0" xfId="0" applyNumberFormat="1" applyFont="1" applyFill="1" applyBorder="1"/>
    <xf numFmtId="3" fontId="2" fillId="0" borderId="7" xfId="0" applyNumberFormat="1" applyFont="1" applyFill="1" applyBorder="1"/>
    <xf numFmtId="3" fontId="2" fillId="0" borderId="0" xfId="1" applyNumberFormat="1" applyFont="1" applyFill="1" applyBorder="1" applyAlignment="1">
      <alignment horizontal="center"/>
    </xf>
    <xf numFmtId="3" fontId="2" fillId="0" borderId="0" xfId="0" applyNumberFormat="1" applyFont="1" applyFill="1" applyBorder="1" applyAlignment="1">
      <alignment horizontal="center"/>
    </xf>
    <xf numFmtId="3" fontId="2" fillId="0" borderId="7" xfId="0" applyNumberFormat="1" applyFont="1" applyFill="1" applyBorder="1" applyAlignment="1">
      <alignment horizontal="center"/>
    </xf>
    <xf numFmtId="0" fontId="2" fillId="0" borderId="0" xfId="0" applyFont="1" applyFill="1" applyBorder="1" applyAlignment="1">
      <alignment horizontal="center"/>
    </xf>
    <xf numFmtId="3" fontId="0" fillId="0" borderId="0" xfId="1" quotePrefix="1" applyNumberFormat="1" applyFont="1" applyFill="1" applyBorder="1" applyAlignment="1">
      <alignment horizontal="right"/>
    </xf>
    <xf numFmtId="3" fontId="0" fillId="0" borderId="7" xfId="1" quotePrefix="1" applyNumberFormat="1" applyFont="1" applyFill="1" applyBorder="1" applyAlignment="1">
      <alignment horizontal="right"/>
    </xf>
    <xf numFmtId="3" fontId="0" fillId="0" borderId="0" xfId="1" applyNumberFormat="1" applyFont="1" applyFill="1" applyBorder="1" applyAlignment="1">
      <alignment horizontal="right"/>
    </xf>
    <xf numFmtId="3" fontId="3" fillId="0" borderId="0" xfId="1" applyNumberFormat="1" applyFont="1" applyFill="1" applyBorder="1" applyAlignment="1">
      <alignment horizontal="right"/>
    </xf>
    <xf numFmtId="3" fontId="3" fillId="0" borderId="7" xfId="1" applyNumberFormat="1" applyFont="1" applyFill="1" applyBorder="1" applyAlignment="1">
      <alignment horizontal="right"/>
    </xf>
    <xf numFmtId="0" fontId="69" fillId="0" borderId="0" xfId="0" applyFont="1" applyFill="1" applyBorder="1" applyAlignment="1">
      <alignment horizontal="left" indent="2"/>
    </xf>
    <xf numFmtId="3" fontId="2" fillId="0" borderId="0" xfId="0" quotePrefix="1" applyNumberFormat="1" applyFont="1" applyFill="1" applyBorder="1"/>
    <xf numFmtId="3" fontId="2" fillId="0" borderId="7" xfId="0" quotePrefix="1" applyNumberFormat="1" applyFont="1" applyFill="1" applyBorder="1"/>
    <xf numFmtId="3" fontId="1" fillId="0" borderId="0" xfId="2" applyNumberFormat="1" applyFill="1" applyBorder="1"/>
    <xf numFmtId="3" fontId="1" fillId="0" borderId="7" xfId="2" applyNumberFormat="1" applyFill="1" applyBorder="1"/>
    <xf numFmtId="3" fontId="0" fillId="0" borderId="0" xfId="0" quotePrefix="1" applyNumberFormat="1" applyFont="1" applyFill="1" applyBorder="1"/>
    <xf numFmtId="3" fontId="0" fillId="0" borderId="7" xfId="0" quotePrefix="1" applyNumberFormat="1" applyFont="1" applyFill="1" applyBorder="1"/>
    <xf numFmtId="3" fontId="0" fillId="0" borderId="0" xfId="0" quotePrefix="1" applyNumberFormat="1" applyFill="1" applyBorder="1"/>
    <xf numFmtId="3" fontId="0" fillId="0" borderId="7" xfId="0" quotePrefix="1" applyNumberFormat="1" applyFill="1" applyBorder="1"/>
    <xf numFmtId="3" fontId="0" fillId="0" borderId="0" xfId="0" applyNumberFormat="1" applyFill="1" applyBorder="1" applyProtection="1">
      <protection hidden="1"/>
    </xf>
    <xf numFmtId="3" fontId="0" fillId="0" borderId="7" xfId="0" applyNumberFormat="1" applyFill="1" applyBorder="1" applyProtection="1">
      <protection hidden="1"/>
    </xf>
    <xf numFmtId="3" fontId="2" fillId="0" borderId="7" xfId="0" applyNumberFormat="1" applyFont="1" applyFill="1" applyBorder="1" applyProtection="1">
      <protection hidden="1"/>
    </xf>
    <xf numFmtId="9" fontId="1" fillId="0" borderId="0" xfId="2" applyFill="1" applyBorder="1"/>
    <xf numFmtId="169" fontId="0" fillId="0" borderId="12" xfId="0" applyNumberFormat="1" applyFill="1" applyBorder="1"/>
    <xf numFmtId="0" fontId="0" fillId="0" borderId="4" xfId="0" quotePrefix="1" applyFill="1" applyBorder="1" applyAlignment="1">
      <alignment horizontal="right"/>
    </xf>
    <xf numFmtId="169" fontId="0" fillId="0" borderId="4" xfId="0" applyNumberFormat="1" applyFill="1" applyBorder="1"/>
    <xf numFmtId="3" fontId="0" fillId="0" borderId="4" xfId="0" applyNumberFormat="1" applyFill="1" applyBorder="1" applyProtection="1">
      <protection hidden="1"/>
    </xf>
    <xf numFmtId="3" fontId="0" fillId="0" borderId="13" xfId="0" applyNumberFormat="1" applyFill="1" applyBorder="1" applyProtection="1">
      <protection hidden="1"/>
    </xf>
    <xf numFmtId="3" fontId="0" fillId="0" borderId="0" xfId="0" quotePrefix="1" applyNumberFormat="1" applyFill="1" applyBorder="1" applyAlignment="1" applyProtection="1">
      <alignment horizontal="right"/>
      <protection hidden="1"/>
    </xf>
    <xf numFmtId="3" fontId="0" fillId="0" borderId="7" xfId="0" quotePrefix="1" applyNumberFormat="1" applyFill="1" applyBorder="1" applyAlignment="1" applyProtection="1">
      <alignment horizontal="right"/>
      <protection hidden="1"/>
    </xf>
    <xf numFmtId="169" fontId="87" fillId="0" borderId="37" xfId="0" applyNumberFormat="1" applyFont="1" applyFill="1" applyBorder="1"/>
    <xf numFmtId="0" fontId="88" fillId="0" borderId="0" xfId="0" applyFont="1" applyFill="1" applyBorder="1"/>
    <xf numFmtId="0" fontId="87" fillId="0" borderId="0" xfId="0" applyFont="1" applyFill="1" applyBorder="1"/>
    <xf numFmtId="0" fontId="87" fillId="0" borderId="0" xfId="0" quotePrefix="1" applyFont="1" applyFill="1" applyBorder="1" applyAlignment="1">
      <alignment horizontal="right"/>
    </xf>
    <xf numFmtId="169" fontId="87" fillId="0" borderId="0" xfId="0" applyNumberFormat="1" applyFont="1" applyFill="1" applyBorder="1"/>
    <xf numFmtId="3" fontId="87" fillId="0" borderId="0" xfId="0" applyNumberFormat="1" applyFont="1" applyFill="1" applyBorder="1" applyProtection="1">
      <protection hidden="1"/>
    </xf>
    <xf numFmtId="3" fontId="87" fillId="0" borderId="7" xfId="0" applyNumberFormat="1" applyFont="1" applyFill="1" applyBorder="1" applyProtection="1">
      <protection hidden="1"/>
    </xf>
    <xf numFmtId="3" fontId="0" fillId="0" borderId="0" xfId="0" quotePrefix="1" applyNumberFormat="1" applyFill="1" applyBorder="1" applyProtection="1">
      <protection hidden="1"/>
    </xf>
    <xf numFmtId="167" fontId="0" fillId="0" borderId="0" xfId="0" applyNumberFormat="1" applyFill="1" applyBorder="1" applyProtection="1">
      <protection hidden="1"/>
    </xf>
    <xf numFmtId="3" fontId="0" fillId="0" borderId="7" xfId="0" quotePrefix="1" applyNumberFormat="1" applyFill="1" applyBorder="1" applyProtection="1">
      <protection hidden="1"/>
    </xf>
    <xf numFmtId="9" fontId="0" fillId="0" borderId="31" xfId="0" applyNumberFormat="1" applyFill="1" applyBorder="1"/>
    <xf numFmtId="3" fontId="0" fillId="0" borderId="0" xfId="1" applyNumberFormat="1" applyFont="1" applyFill="1" applyBorder="1" applyProtection="1">
      <protection hidden="1"/>
    </xf>
    <xf numFmtId="3" fontId="0" fillId="0" borderId="7" xfId="1" applyNumberFormat="1" applyFont="1" applyFill="1" applyBorder="1" applyProtection="1">
      <protection hidden="1"/>
    </xf>
    <xf numFmtId="3" fontId="1" fillId="0" borderId="0" xfId="2" applyNumberFormat="1" applyFill="1" applyBorder="1" applyProtection="1">
      <protection hidden="1"/>
    </xf>
    <xf numFmtId="0" fontId="11" fillId="0" borderId="0" xfId="0" applyFont="1" applyFill="1" applyBorder="1"/>
    <xf numFmtId="0" fontId="3" fillId="0" borderId="0" xfId="0" applyFont="1" applyFill="1" applyBorder="1"/>
    <xf numFmtId="3" fontId="1" fillId="0" borderId="0" xfId="4" applyNumberFormat="1" applyFont="1" applyFill="1" applyBorder="1" applyProtection="1">
      <protection hidden="1"/>
    </xf>
    <xf numFmtId="3" fontId="1" fillId="0" borderId="7" xfId="4" applyNumberFormat="1" applyFont="1" applyFill="1" applyBorder="1" applyProtection="1">
      <protection hidden="1"/>
    </xf>
    <xf numFmtId="0" fontId="2" fillId="0" borderId="4" xfId="0" quotePrefix="1" applyFont="1" applyFill="1" applyBorder="1" applyAlignment="1">
      <alignment horizontal="right"/>
    </xf>
    <xf numFmtId="3" fontId="2" fillId="0" borderId="4" xfId="0" applyNumberFormat="1" applyFont="1" applyFill="1" applyBorder="1" applyProtection="1">
      <protection hidden="1"/>
    </xf>
    <xf numFmtId="3" fontId="2" fillId="0" borderId="13" xfId="0" applyNumberFormat="1" applyFont="1" applyFill="1" applyBorder="1" applyProtection="1">
      <protection hidden="1"/>
    </xf>
  </cellXfs>
  <cellStyles count="311">
    <cellStyle name="%" xfId="6" xr:uid="{00000000-0005-0000-0000-000000000000}"/>
    <cellStyle name="20% - Accent1 2" xfId="7" xr:uid="{00000000-0005-0000-0000-000001000000}"/>
    <cellStyle name="20% - Accent1 2 2" xfId="8" xr:uid="{00000000-0005-0000-0000-000002000000}"/>
    <cellStyle name="20% - Accent1 2 2 2" xfId="9" xr:uid="{00000000-0005-0000-0000-000003000000}"/>
    <cellStyle name="20% - Accent1 2 2 3" xfId="10" xr:uid="{00000000-0005-0000-0000-000004000000}"/>
    <cellStyle name="20% - Accent2 2" xfId="11" xr:uid="{00000000-0005-0000-0000-000005000000}"/>
    <cellStyle name="20% - Accent2 2 2" xfId="12" xr:uid="{00000000-0005-0000-0000-000006000000}"/>
    <cellStyle name="20% - Accent2 2 2 2" xfId="13" xr:uid="{00000000-0005-0000-0000-000007000000}"/>
    <cellStyle name="20% - Accent2 2 2 3" xfId="14" xr:uid="{00000000-0005-0000-0000-000008000000}"/>
    <cellStyle name="20% - Accent3 2" xfId="15" xr:uid="{00000000-0005-0000-0000-000009000000}"/>
    <cellStyle name="20% - Accent3 2 2" xfId="16" xr:uid="{00000000-0005-0000-0000-00000A000000}"/>
    <cellStyle name="20% - Accent3 2 2 2" xfId="17" xr:uid="{00000000-0005-0000-0000-00000B000000}"/>
    <cellStyle name="20% - Accent3 2 2 3" xfId="18" xr:uid="{00000000-0005-0000-0000-00000C000000}"/>
    <cellStyle name="20% - Accent4 2" xfId="19" xr:uid="{00000000-0005-0000-0000-00000D000000}"/>
    <cellStyle name="20% - Accent4 2 2" xfId="20" xr:uid="{00000000-0005-0000-0000-00000E000000}"/>
    <cellStyle name="20% - Accent4 2 2 2" xfId="21" xr:uid="{00000000-0005-0000-0000-00000F000000}"/>
    <cellStyle name="20% - Accent4 2 2 3" xfId="22" xr:uid="{00000000-0005-0000-0000-000010000000}"/>
    <cellStyle name="20% - Accent5 2" xfId="23" xr:uid="{00000000-0005-0000-0000-000011000000}"/>
    <cellStyle name="20% - Accent5 2 2" xfId="24" xr:uid="{00000000-0005-0000-0000-000012000000}"/>
    <cellStyle name="20% - Accent5 2 2 2" xfId="25" xr:uid="{00000000-0005-0000-0000-000013000000}"/>
    <cellStyle name="20% - Accent5 2 2 3" xfId="26" xr:uid="{00000000-0005-0000-0000-000014000000}"/>
    <cellStyle name="20% - Accent6 2" xfId="27" xr:uid="{00000000-0005-0000-0000-000015000000}"/>
    <cellStyle name="20% - Accent6 2 2" xfId="28" xr:uid="{00000000-0005-0000-0000-000016000000}"/>
    <cellStyle name="20% - Accent6 2 2 2" xfId="29" xr:uid="{00000000-0005-0000-0000-000017000000}"/>
    <cellStyle name="20% - Accent6 2 2 3" xfId="30" xr:uid="{00000000-0005-0000-0000-000018000000}"/>
    <cellStyle name="40% - Accent1 2" xfId="31" xr:uid="{00000000-0005-0000-0000-000019000000}"/>
    <cellStyle name="40% - Accent1 2 2" xfId="32" xr:uid="{00000000-0005-0000-0000-00001A000000}"/>
    <cellStyle name="40% - Accent1 2 2 2" xfId="33" xr:uid="{00000000-0005-0000-0000-00001B000000}"/>
    <cellStyle name="40% - Accent1 2 2 3" xfId="34" xr:uid="{00000000-0005-0000-0000-00001C000000}"/>
    <cellStyle name="40% - Accent2 2" xfId="35" xr:uid="{00000000-0005-0000-0000-00001D000000}"/>
    <cellStyle name="40% - Accent2 2 2" xfId="36" xr:uid="{00000000-0005-0000-0000-00001E000000}"/>
    <cellStyle name="40% - Accent2 2 2 2" xfId="37" xr:uid="{00000000-0005-0000-0000-00001F000000}"/>
    <cellStyle name="40% - Accent2 2 2 3" xfId="38" xr:uid="{00000000-0005-0000-0000-000020000000}"/>
    <cellStyle name="40% - Accent3 2" xfId="39" xr:uid="{00000000-0005-0000-0000-000021000000}"/>
    <cellStyle name="40% - Accent3 2 2" xfId="40" xr:uid="{00000000-0005-0000-0000-000022000000}"/>
    <cellStyle name="40% - Accent3 2 2 2" xfId="41" xr:uid="{00000000-0005-0000-0000-000023000000}"/>
    <cellStyle name="40% - Accent3 2 2 3" xfId="42" xr:uid="{00000000-0005-0000-0000-000024000000}"/>
    <cellStyle name="40% - Accent4 2" xfId="43" xr:uid="{00000000-0005-0000-0000-000025000000}"/>
    <cellStyle name="40% - Accent4 2 2" xfId="44" xr:uid="{00000000-0005-0000-0000-000026000000}"/>
    <cellStyle name="40% - Accent4 2 2 2" xfId="45" xr:uid="{00000000-0005-0000-0000-000027000000}"/>
    <cellStyle name="40% - Accent4 2 2 3" xfId="46" xr:uid="{00000000-0005-0000-0000-000028000000}"/>
    <cellStyle name="40% - Accent5 2" xfId="47" xr:uid="{00000000-0005-0000-0000-000029000000}"/>
    <cellStyle name="40% - Accent5 2 2" xfId="48" xr:uid="{00000000-0005-0000-0000-00002A000000}"/>
    <cellStyle name="40% - Accent5 2 2 2" xfId="49" xr:uid="{00000000-0005-0000-0000-00002B000000}"/>
    <cellStyle name="40% - Accent5 2 2 3" xfId="50" xr:uid="{00000000-0005-0000-0000-00002C000000}"/>
    <cellStyle name="40% - Accent6 2" xfId="51" xr:uid="{00000000-0005-0000-0000-00002D000000}"/>
    <cellStyle name="40% - Accent6 2 2" xfId="52" xr:uid="{00000000-0005-0000-0000-00002E000000}"/>
    <cellStyle name="40% - Accent6 2 2 2" xfId="53" xr:uid="{00000000-0005-0000-0000-00002F000000}"/>
    <cellStyle name="40% - Accent6 2 2 3" xfId="54" xr:uid="{00000000-0005-0000-0000-000030000000}"/>
    <cellStyle name="5x indented GHG Textfiels" xfId="55" xr:uid="{00000000-0005-0000-0000-000031000000}"/>
    <cellStyle name="60% - Accent1 2" xfId="56" xr:uid="{00000000-0005-0000-0000-000032000000}"/>
    <cellStyle name="60% - Accent1 2 2" xfId="57" xr:uid="{00000000-0005-0000-0000-000033000000}"/>
    <cellStyle name="60% - Accent1 2 2 2" xfId="58" xr:uid="{00000000-0005-0000-0000-000034000000}"/>
    <cellStyle name="60% - Accent1 2 2 3" xfId="59" xr:uid="{00000000-0005-0000-0000-000035000000}"/>
    <cellStyle name="60% - Accent2 2" xfId="60" xr:uid="{00000000-0005-0000-0000-000036000000}"/>
    <cellStyle name="60% - Accent2 2 2" xfId="61" xr:uid="{00000000-0005-0000-0000-000037000000}"/>
    <cellStyle name="60% - Accent2 2 2 2" xfId="62" xr:uid="{00000000-0005-0000-0000-000038000000}"/>
    <cellStyle name="60% - Accent2 2 2 3" xfId="63" xr:uid="{00000000-0005-0000-0000-000039000000}"/>
    <cellStyle name="60% - Accent3 2" xfId="64" xr:uid="{00000000-0005-0000-0000-00003A000000}"/>
    <cellStyle name="60% - Accent3 2 2" xfId="65" xr:uid="{00000000-0005-0000-0000-00003B000000}"/>
    <cellStyle name="60% - Accent3 2 2 2" xfId="66" xr:uid="{00000000-0005-0000-0000-00003C000000}"/>
    <cellStyle name="60% - Accent3 2 2 3" xfId="67" xr:uid="{00000000-0005-0000-0000-00003D000000}"/>
    <cellStyle name="60% - Accent4 2" xfId="68" xr:uid="{00000000-0005-0000-0000-00003E000000}"/>
    <cellStyle name="60% - Accent4 2 2" xfId="69" xr:uid="{00000000-0005-0000-0000-00003F000000}"/>
    <cellStyle name="60% - Accent4 2 2 2" xfId="70" xr:uid="{00000000-0005-0000-0000-000040000000}"/>
    <cellStyle name="60% - Accent4 2 2 3" xfId="71" xr:uid="{00000000-0005-0000-0000-000041000000}"/>
    <cellStyle name="60% - Accent5 2" xfId="72" xr:uid="{00000000-0005-0000-0000-000042000000}"/>
    <cellStyle name="60% - Accent5 2 2" xfId="73" xr:uid="{00000000-0005-0000-0000-000043000000}"/>
    <cellStyle name="60% - Accent5 2 2 2" xfId="74" xr:uid="{00000000-0005-0000-0000-000044000000}"/>
    <cellStyle name="60% - Accent5 2 2 3" xfId="75" xr:uid="{00000000-0005-0000-0000-000045000000}"/>
    <cellStyle name="60% - Accent6 2" xfId="76" xr:uid="{00000000-0005-0000-0000-000046000000}"/>
    <cellStyle name="60% - Accent6 2 2" xfId="77" xr:uid="{00000000-0005-0000-0000-000047000000}"/>
    <cellStyle name="60% - Accent6 2 2 2" xfId="78" xr:uid="{00000000-0005-0000-0000-000048000000}"/>
    <cellStyle name="60% - Accent6 2 2 3" xfId="79" xr:uid="{00000000-0005-0000-0000-000049000000}"/>
    <cellStyle name="Accent1 2" xfId="80" xr:uid="{00000000-0005-0000-0000-00004A000000}"/>
    <cellStyle name="Accent1 2 2" xfId="81" xr:uid="{00000000-0005-0000-0000-00004B000000}"/>
    <cellStyle name="Accent1 2 2 2" xfId="82" xr:uid="{00000000-0005-0000-0000-00004C000000}"/>
    <cellStyle name="Accent1 2 2 3" xfId="83" xr:uid="{00000000-0005-0000-0000-00004D000000}"/>
    <cellStyle name="Accent2 2" xfId="84" xr:uid="{00000000-0005-0000-0000-00004E000000}"/>
    <cellStyle name="Accent2 2 2" xfId="85" xr:uid="{00000000-0005-0000-0000-00004F000000}"/>
    <cellStyle name="Accent2 2 2 2" xfId="86" xr:uid="{00000000-0005-0000-0000-000050000000}"/>
    <cellStyle name="Accent2 2 2 3" xfId="87" xr:uid="{00000000-0005-0000-0000-000051000000}"/>
    <cellStyle name="Accent3 2" xfId="88" xr:uid="{00000000-0005-0000-0000-000052000000}"/>
    <cellStyle name="Accent3 2 2" xfId="89" xr:uid="{00000000-0005-0000-0000-000053000000}"/>
    <cellStyle name="Accent3 2 2 2" xfId="90" xr:uid="{00000000-0005-0000-0000-000054000000}"/>
    <cellStyle name="Accent3 2 2 3" xfId="91" xr:uid="{00000000-0005-0000-0000-000055000000}"/>
    <cellStyle name="Accent4 2" xfId="92" xr:uid="{00000000-0005-0000-0000-000056000000}"/>
    <cellStyle name="Accent4 2 2" xfId="93" xr:uid="{00000000-0005-0000-0000-000057000000}"/>
    <cellStyle name="Accent4 2 2 2" xfId="94" xr:uid="{00000000-0005-0000-0000-000058000000}"/>
    <cellStyle name="Accent4 2 2 3" xfId="95" xr:uid="{00000000-0005-0000-0000-000059000000}"/>
    <cellStyle name="Accent5 2" xfId="96" xr:uid="{00000000-0005-0000-0000-00005A000000}"/>
    <cellStyle name="Accent5 2 2" xfId="97" xr:uid="{00000000-0005-0000-0000-00005B000000}"/>
    <cellStyle name="Accent5 2 2 2" xfId="98" xr:uid="{00000000-0005-0000-0000-00005C000000}"/>
    <cellStyle name="Accent5 2 2 3" xfId="99" xr:uid="{00000000-0005-0000-0000-00005D000000}"/>
    <cellStyle name="Accent6 2" xfId="100" xr:uid="{00000000-0005-0000-0000-00005E000000}"/>
    <cellStyle name="Accent6 2 2" xfId="101" xr:uid="{00000000-0005-0000-0000-00005F000000}"/>
    <cellStyle name="Accent6 2 2 2" xfId="102" xr:uid="{00000000-0005-0000-0000-000060000000}"/>
    <cellStyle name="Accent6 2 2 3" xfId="103" xr:uid="{00000000-0005-0000-0000-000061000000}"/>
    <cellStyle name="AggblueCels_1x" xfId="104" xr:uid="{00000000-0005-0000-0000-000062000000}"/>
    <cellStyle name="Bad 2" xfId="105" xr:uid="{00000000-0005-0000-0000-000063000000}"/>
    <cellStyle name="Bad 2 2" xfId="106" xr:uid="{00000000-0005-0000-0000-000064000000}"/>
    <cellStyle name="Bad 2 2 2" xfId="107" xr:uid="{00000000-0005-0000-0000-000065000000}"/>
    <cellStyle name="Bad 2 2 3" xfId="108" xr:uid="{00000000-0005-0000-0000-000066000000}"/>
    <cellStyle name="Blank" xfId="291" xr:uid="{00000000-0005-0000-0000-000067000000}"/>
    <cellStyle name="Bold GHG Numbers (0.00)" xfId="109" xr:uid="{00000000-0005-0000-0000-000068000000}"/>
    <cellStyle name="Calc general" xfId="306" xr:uid="{2CCCDA86-536D-4CB3-B750-45D73CF5297B}"/>
    <cellStyle name="Calc percent" xfId="310" xr:uid="{F4BBF986-2038-474A-8FE1-AC11FD028D7A}"/>
    <cellStyle name="Calculation 2" xfId="110" xr:uid="{00000000-0005-0000-0000-000069000000}"/>
    <cellStyle name="Calculation 2 2" xfId="111" xr:uid="{00000000-0005-0000-0000-00006A000000}"/>
    <cellStyle name="Calculation 2 2 2" xfId="112" xr:uid="{00000000-0005-0000-0000-00006B000000}"/>
    <cellStyle name="Calculation 2 2 2 2" xfId="113" xr:uid="{00000000-0005-0000-0000-00006C000000}"/>
    <cellStyle name="Calculation 2 2 2 3" xfId="114" xr:uid="{00000000-0005-0000-0000-00006D000000}"/>
    <cellStyle name="Calculation 2 3" xfId="115" xr:uid="{00000000-0005-0000-0000-00006E000000}"/>
    <cellStyle name="Calculation 2 3 2" xfId="116" xr:uid="{00000000-0005-0000-0000-00006F000000}"/>
    <cellStyle name="Calculation 2 3 2 2" xfId="117" xr:uid="{00000000-0005-0000-0000-000070000000}"/>
    <cellStyle name="Calculation 2 3 2 3" xfId="118" xr:uid="{00000000-0005-0000-0000-000071000000}"/>
    <cellStyle name="Calculation 2 4" xfId="119" xr:uid="{00000000-0005-0000-0000-000072000000}"/>
    <cellStyle name="Calculation 2 4 2" xfId="120" xr:uid="{00000000-0005-0000-0000-000073000000}"/>
    <cellStyle name="Calculation 2 4 3" xfId="121" xr:uid="{00000000-0005-0000-0000-000074000000}"/>
    <cellStyle name="Check" xfId="309" xr:uid="{79927552-CD22-4A2D-9ABD-2D7EB51AC1D5}"/>
    <cellStyle name="Check Cell 2" xfId="122" xr:uid="{00000000-0005-0000-0000-000075000000}"/>
    <cellStyle name="Check Cell 2 2" xfId="123" xr:uid="{00000000-0005-0000-0000-000076000000}"/>
    <cellStyle name="Check Cell 2 2 2" xfId="124" xr:uid="{00000000-0005-0000-0000-000077000000}"/>
    <cellStyle name="Check Cell 2 2 3" xfId="125" xr:uid="{00000000-0005-0000-0000-000078000000}"/>
    <cellStyle name="Comma" xfId="1" builtinId="3"/>
    <cellStyle name="Comma 2" xfId="127" xr:uid="{00000000-0005-0000-0000-00007A000000}"/>
    <cellStyle name="Comma 2 2" xfId="128" xr:uid="{00000000-0005-0000-0000-00007B000000}"/>
    <cellStyle name="Comma 2 3" xfId="129" xr:uid="{00000000-0005-0000-0000-00007C000000}"/>
    <cellStyle name="Comma 2 4" xfId="130" xr:uid="{00000000-0005-0000-0000-00007D000000}"/>
    <cellStyle name="Comma 3" xfId="131" xr:uid="{00000000-0005-0000-0000-00007E000000}"/>
    <cellStyle name="Comma 4" xfId="126" xr:uid="{00000000-0005-0000-0000-00007F000000}"/>
    <cellStyle name="Cover" xfId="132" xr:uid="{00000000-0005-0000-0000-000080000000}"/>
    <cellStyle name="Dezimal [0]_Tfz-Anzahl" xfId="133" xr:uid="{00000000-0005-0000-0000-000081000000}"/>
    <cellStyle name="Dezimal_Tfz-Anzahl" xfId="134" xr:uid="{00000000-0005-0000-0000-000082000000}"/>
    <cellStyle name="Euro" xfId="135" xr:uid="{00000000-0005-0000-0000-000083000000}"/>
    <cellStyle name="Euro 2" xfId="136" xr:uid="{00000000-0005-0000-0000-000084000000}"/>
    <cellStyle name="Explanatory Text 2" xfId="137" xr:uid="{00000000-0005-0000-0000-000085000000}"/>
    <cellStyle name="Good 2" xfId="138" xr:uid="{00000000-0005-0000-0000-000086000000}"/>
    <cellStyle name="Good 2 2" xfId="139" xr:uid="{00000000-0005-0000-0000-000087000000}"/>
    <cellStyle name="Good 2 2 2" xfId="140" xr:uid="{00000000-0005-0000-0000-000088000000}"/>
    <cellStyle name="Good 2 2 3" xfId="141" xr:uid="{00000000-0005-0000-0000-000089000000}"/>
    <cellStyle name="Header check" xfId="297" xr:uid="{61B5A34B-1863-46D7-8D7D-90A5ACDD8575}"/>
    <cellStyle name="Header date" xfId="296" xr:uid="{BBBEA88A-1471-45F0-B25C-244E0D9BB024}"/>
    <cellStyle name="Header general" xfId="293" xr:uid="{BBCCE6F4-6AB4-46FA-972C-37C91A378A4E}"/>
    <cellStyle name="Header general 2" xfId="294" xr:uid="{9F8289F1-A49E-4CA6-8B14-8C695A7B78E1}"/>
    <cellStyle name="Header num" xfId="295" xr:uid="{9FA5910F-F768-4F68-9DFF-B4828F36708E}"/>
    <cellStyle name="Heading" xfId="142" xr:uid="{00000000-0005-0000-0000-00008A000000}"/>
    <cellStyle name="Heading 1 2" xfId="143" xr:uid="{00000000-0005-0000-0000-00008B000000}"/>
    <cellStyle name="Heading 2 2" xfId="144" xr:uid="{00000000-0005-0000-0000-00008C000000}"/>
    <cellStyle name="Heading 3 2" xfId="145" xr:uid="{00000000-0005-0000-0000-00008D000000}"/>
    <cellStyle name="Heading 4 2" xfId="146" xr:uid="{00000000-0005-0000-0000-00008E000000}"/>
    <cellStyle name="Heading1" xfId="298" xr:uid="{A27BD02D-9A33-4E8E-9101-429D05495AC6}"/>
    <cellStyle name="Heading2" xfId="299" xr:uid="{53875800-1006-447C-88FE-88D098E09F4A}"/>
    <cellStyle name="Hyperlink" xfId="3" builtinId="8"/>
    <cellStyle name="Hyperlink 2" xfId="148" xr:uid="{00000000-0005-0000-0000-000090000000}"/>
    <cellStyle name="Hyperlink 3" xfId="149" xr:uid="{00000000-0005-0000-0000-000091000000}"/>
    <cellStyle name="Hyperlink 4" xfId="150" xr:uid="{00000000-0005-0000-0000-000092000000}"/>
    <cellStyle name="Hyperlink 5" xfId="151" xr:uid="{00000000-0005-0000-0000-000093000000}"/>
    <cellStyle name="Hyperlink 6" xfId="147" xr:uid="{00000000-0005-0000-0000-000094000000}"/>
    <cellStyle name="Input 2" xfId="152" xr:uid="{00000000-0005-0000-0000-000095000000}"/>
    <cellStyle name="Input 2 2" xfId="153" xr:uid="{00000000-0005-0000-0000-000096000000}"/>
    <cellStyle name="Input 2 2 2" xfId="154" xr:uid="{00000000-0005-0000-0000-000097000000}"/>
    <cellStyle name="Input 2 2 2 2" xfId="155" xr:uid="{00000000-0005-0000-0000-000098000000}"/>
    <cellStyle name="Input 2 2 2 3" xfId="156" xr:uid="{00000000-0005-0000-0000-000099000000}"/>
    <cellStyle name="Input 2 3" xfId="157" xr:uid="{00000000-0005-0000-0000-00009A000000}"/>
    <cellStyle name="Input 2 3 2" xfId="158" xr:uid="{00000000-0005-0000-0000-00009B000000}"/>
    <cellStyle name="Input 2 3 2 2" xfId="159" xr:uid="{00000000-0005-0000-0000-00009C000000}"/>
    <cellStyle name="Input 2 3 2 3" xfId="160" xr:uid="{00000000-0005-0000-0000-00009D000000}"/>
    <cellStyle name="Input 2 4" xfId="161" xr:uid="{00000000-0005-0000-0000-00009E000000}"/>
    <cellStyle name="Input 2 4 2" xfId="162" xr:uid="{00000000-0005-0000-0000-00009F000000}"/>
    <cellStyle name="Input 2 4 3" xfId="163" xr:uid="{00000000-0005-0000-0000-0000A0000000}"/>
    <cellStyle name="Input 2 5" xfId="292" xr:uid="{00000000-0005-0000-0000-0000A1000000}"/>
    <cellStyle name="Input General" xfId="301" xr:uid="{C64395AB-7490-40AA-8B01-ACE6DA28CA16}"/>
    <cellStyle name="Input percent" xfId="307" xr:uid="{A73D8D95-EDB3-4A73-8FC0-952FD9318CB8}"/>
    <cellStyle name="Input Unit" xfId="305" xr:uid="{053E06FA-583A-4F18-A9C7-88B820AD33C0}"/>
    <cellStyle name="Input unit percent" xfId="303" xr:uid="{0DD85F9C-BD45-45D7-B13A-7CCDCC4FFC87}"/>
    <cellStyle name="InputCells12_BBorder_CRFReport-template" xfId="164" xr:uid="{00000000-0005-0000-0000-0000A2000000}"/>
    <cellStyle name="Label1" xfId="304" xr:uid="{D99C4A71-FE14-4EC0-A39A-B5E9FDAD7A81}"/>
    <cellStyle name="Linked Cell 2" xfId="165" xr:uid="{00000000-0005-0000-0000-0000A3000000}"/>
    <cellStyle name="Menu" xfId="166" xr:uid="{00000000-0005-0000-0000-0000A4000000}"/>
    <cellStyle name="Milliers [0]_03tabmat" xfId="167" xr:uid="{00000000-0005-0000-0000-0000A5000000}"/>
    <cellStyle name="Milliers_03tabmat" xfId="168" xr:uid="{00000000-0005-0000-0000-0000A6000000}"/>
    <cellStyle name="Monétaire [0]_03tabmat" xfId="169" xr:uid="{00000000-0005-0000-0000-0000A7000000}"/>
    <cellStyle name="Monétaire_03tabmat" xfId="170" xr:uid="{00000000-0005-0000-0000-0000A8000000}"/>
    <cellStyle name="Neutral 2" xfId="171" xr:uid="{00000000-0005-0000-0000-0000A9000000}"/>
    <cellStyle name="Neutral 2 2" xfId="172" xr:uid="{00000000-0005-0000-0000-0000AA000000}"/>
    <cellStyle name="Neutral 2 2 2" xfId="173" xr:uid="{00000000-0005-0000-0000-0000AB000000}"/>
    <cellStyle name="Neutral 2 2 3" xfId="174" xr:uid="{00000000-0005-0000-0000-0000AC000000}"/>
    <cellStyle name="Normal" xfId="0" builtinId="0"/>
    <cellStyle name="Normal 10" xfId="175" xr:uid="{00000000-0005-0000-0000-0000AE000000}"/>
    <cellStyle name="Normal 10 2" xfId="176" xr:uid="{00000000-0005-0000-0000-0000AF000000}"/>
    <cellStyle name="Normal 10 2 2" xfId="177" xr:uid="{00000000-0005-0000-0000-0000B0000000}"/>
    <cellStyle name="Normal 10 3" xfId="178" xr:uid="{00000000-0005-0000-0000-0000B1000000}"/>
    <cellStyle name="Normal 10 3 2" xfId="179" xr:uid="{00000000-0005-0000-0000-0000B2000000}"/>
    <cellStyle name="Normal 10 4" xfId="180" xr:uid="{00000000-0005-0000-0000-0000B3000000}"/>
    <cellStyle name="Normal 11" xfId="181" xr:uid="{00000000-0005-0000-0000-0000B4000000}"/>
    <cellStyle name="Normal 11 2" xfId="182" xr:uid="{00000000-0005-0000-0000-0000B5000000}"/>
    <cellStyle name="Normal 12" xfId="183" xr:uid="{00000000-0005-0000-0000-0000B6000000}"/>
    <cellStyle name="Normal 13" xfId="184" xr:uid="{00000000-0005-0000-0000-0000B7000000}"/>
    <cellStyle name="Normal 13 2" xfId="185" xr:uid="{00000000-0005-0000-0000-0000B8000000}"/>
    <cellStyle name="Normal 13 3" xfId="186" xr:uid="{00000000-0005-0000-0000-0000B9000000}"/>
    <cellStyle name="Normal 14" xfId="187" xr:uid="{00000000-0005-0000-0000-0000BA000000}"/>
    <cellStyle name="Normal 14 2 2 2" xfId="188" xr:uid="{00000000-0005-0000-0000-0000BB000000}"/>
    <cellStyle name="Normal 15" xfId="189" xr:uid="{00000000-0005-0000-0000-0000BC000000}"/>
    <cellStyle name="Normal 15 2 2 2" xfId="190" xr:uid="{00000000-0005-0000-0000-0000BD000000}"/>
    <cellStyle name="Normal 16" xfId="191" xr:uid="{00000000-0005-0000-0000-0000BE000000}"/>
    <cellStyle name="Normal 17" xfId="192" xr:uid="{00000000-0005-0000-0000-0000BF000000}"/>
    <cellStyle name="Normal 18" xfId="193" xr:uid="{00000000-0005-0000-0000-0000C0000000}"/>
    <cellStyle name="Normal 2" xfId="5" xr:uid="{00000000-0005-0000-0000-0000C1000000}"/>
    <cellStyle name="Normal 2 2" xfId="195" xr:uid="{00000000-0005-0000-0000-0000C2000000}"/>
    <cellStyle name="Normal 2 3" xfId="196" xr:uid="{00000000-0005-0000-0000-0000C3000000}"/>
    <cellStyle name="Normal 2 4" xfId="194" xr:uid="{00000000-0005-0000-0000-0000C4000000}"/>
    <cellStyle name="Normal 2 5" xfId="289" xr:uid="{00000000-0005-0000-0000-0000C5000000}"/>
    <cellStyle name="Normal 209 2" xfId="197" xr:uid="{00000000-0005-0000-0000-0000C6000000}"/>
    <cellStyle name="Normal 21" xfId="198" xr:uid="{00000000-0005-0000-0000-0000C7000000}"/>
    <cellStyle name="Normal 22" xfId="199" xr:uid="{00000000-0005-0000-0000-0000C8000000}"/>
    <cellStyle name="Normal 3" xfId="200" xr:uid="{00000000-0005-0000-0000-0000C9000000}"/>
    <cellStyle name="Normal 3 2" xfId="201" xr:uid="{00000000-0005-0000-0000-0000CA000000}"/>
    <cellStyle name="Normal 3 3" xfId="202" xr:uid="{00000000-0005-0000-0000-0000CB000000}"/>
    <cellStyle name="Normal 3 4" xfId="203" xr:uid="{00000000-0005-0000-0000-0000CC000000}"/>
    <cellStyle name="Normal 4" xfId="204" xr:uid="{00000000-0005-0000-0000-0000CD000000}"/>
    <cellStyle name="Normal 4 2" xfId="205" xr:uid="{00000000-0005-0000-0000-0000CE000000}"/>
    <cellStyle name="Normal 4 2 2" xfId="206" xr:uid="{00000000-0005-0000-0000-0000CF000000}"/>
    <cellStyle name="Normal 4 3" xfId="207" xr:uid="{00000000-0005-0000-0000-0000D0000000}"/>
    <cellStyle name="Normal 4 3 2" xfId="208" xr:uid="{00000000-0005-0000-0000-0000D1000000}"/>
    <cellStyle name="Normal 4 4" xfId="209" xr:uid="{00000000-0005-0000-0000-0000D2000000}"/>
    <cellStyle name="Normal 4 5" xfId="210" xr:uid="{00000000-0005-0000-0000-0000D3000000}"/>
    <cellStyle name="Normal 5" xfId="211" xr:uid="{00000000-0005-0000-0000-0000D4000000}"/>
    <cellStyle name="Normal 6" xfId="212" xr:uid="{00000000-0005-0000-0000-0000D5000000}"/>
    <cellStyle name="Normal 7" xfId="213" xr:uid="{00000000-0005-0000-0000-0000D6000000}"/>
    <cellStyle name="Normal 8" xfId="214" xr:uid="{00000000-0005-0000-0000-0000D7000000}"/>
    <cellStyle name="Normal 9" xfId="215" xr:uid="{00000000-0005-0000-0000-0000D8000000}"/>
    <cellStyle name="Normal GHG-Shade" xfId="216" xr:uid="{00000000-0005-0000-0000-0000D9000000}"/>
    <cellStyle name="Normal1" xfId="300" xr:uid="{A6EA4FC4-1AD0-4EFF-9B70-FB5D934AD198}"/>
    <cellStyle name="Note 2" xfId="217" xr:uid="{00000000-0005-0000-0000-0000DA000000}"/>
    <cellStyle name="Note 2 2" xfId="218" xr:uid="{00000000-0005-0000-0000-0000DB000000}"/>
    <cellStyle name="Note 2 2 2" xfId="219" xr:uid="{00000000-0005-0000-0000-0000DC000000}"/>
    <cellStyle name="Note 2 2 2 2" xfId="220" xr:uid="{00000000-0005-0000-0000-0000DD000000}"/>
    <cellStyle name="Note 2 2 2 3" xfId="221" xr:uid="{00000000-0005-0000-0000-0000DE000000}"/>
    <cellStyle name="Note 2 3" xfId="222" xr:uid="{00000000-0005-0000-0000-0000DF000000}"/>
    <cellStyle name="Note 2 3 2" xfId="223" xr:uid="{00000000-0005-0000-0000-0000E0000000}"/>
    <cellStyle name="Note 2 3 3" xfId="224" xr:uid="{00000000-0005-0000-0000-0000E1000000}"/>
    <cellStyle name="Output 2" xfId="225" xr:uid="{00000000-0005-0000-0000-0000E2000000}"/>
    <cellStyle name="Output 2 2" xfId="226" xr:uid="{00000000-0005-0000-0000-0000E3000000}"/>
    <cellStyle name="Output 2 2 2" xfId="227" xr:uid="{00000000-0005-0000-0000-0000E4000000}"/>
    <cellStyle name="Output 2 2 2 2" xfId="228" xr:uid="{00000000-0005-0000-0000-0000E5000000}"/>
    <cellStyle name="Output 2 2 2 3" xfId="229" xr:uid="{00000000-0005-0000-0000-0000E6000000}"/>
    <cellStyle name="Output 2 3" xfId="230" xr:uid="{00000000-0005-0000-0000-0000E7000000}"/>
    <cellStyle name="Output 2 3 2" xfId="231" xr:uid="{00000000-0005-0000-0000-0000E8000000}"/>
    <cellStyle name="Output 2 3 3" xfId="232" xr:uid="{00000000-0005-0000-0000-0000E9000000}"/>
    <cellStyle name="Percent" xfId="2" builtinId="5"/>
    <cellStyle name="Percent 10" xfId="233" xr:uid="{00000000-0005-0000-0000-0000EB000000}"/>
    <cellStyle name="Percent 10 2" xfId="234" xr:uid="{00000000-0005-0000-0000-0000EC000000}"/>
    <cellStyle name="Percent 10 3" xfId="235" xr:uid="{00000000-0005-0000-0000-0000ED000000}"/>
    <cellStyle name="Percent 2" xfId="236" xr:uid="{00000000-0005-0000-0000-0000EE000000}"/>
    <cellStyle name="Percent 2 2" xfId="237" xr:uid="{00000000-0005-0000-0000-0000EF000000}"/>
    <cellStyle name="Percent 2 3" xfId="238" xr:uid="{00000000-0005-0000-0000-0000F0000000}"/>
    <cellStyle name="Percent 2 4" xfId="290" xr:uid="{00000000-0005-0000-0000-0000F1000000}"/>
    <cellStyle name="Percent 3" xfId="4" xr:uid="{00000000-0005-0000-0000-0000F2000000}"/>
    <cellStyle name="Percent 3 2" xfId="239" xr:uid="{00000000-0005-0000-0000-0000F3000000}"/>
    <cellStyle name="Percent 4" xfId="240" xr:uid="{00000000-0005-0000-0000-0000F4000000}"/>
    <cellStyle name="Percent 5" xfId="241" xr:uid="{00000000-0005-0000-0000-0000F5000000}"/>
    <cellStyle name="Percent 5 2" xfId="242" xr:uid="{00000000-0005-0000-0000-0000F6000000}"/>
    <cellStyle name="Percent 6" xfId="243" xr:uid="{00000000-0005-0000-0000-0000F7000000}"/>
    <cellStyle name="Percent 7" xfId="244" xr:uid="{00000000-0005-0000-0000-0000F8000000}"/>
    <cellStyle name="Percent 8" xfId="245" xr:uid="{00000000-0005-0000-0000-0000F9000000}"/>
    <cellStyle name="Percent 9" xfId="246" xr:uid="{00000000-0005-0000-0000-0000FA000000}"/>
    <cellStyle name="Publication_style" xfId="247" xr:uid="{00000000-0005-0000-0000-0000FB000000}"/>
    <cellStyle name="Refdb standard" xfId="248" xr:uid="{00000000-0005-0000-0000-0000FC000000}"/>
    <cellStyle name="Refdb standard 2" xfId="249" xr:uid="{00000000-0005-0000-0000-0000FD000000}"/>
    <cellStyle name="Shade" xfId="250" xr:uid="{00000000-0005-0000-0000-0000FE000000}"/>
    <cellStyle name="Shade 2" xfId="251" xr:uid="{00000000-0005-0000-0000-0000FF000000}"/>
    <cellStyle name="Shade 3" xfId="252" xr:uid="{00000000-0005-0000-0000-000000010000}"/>
    <cellStyle name="Source" xfId="253" xr:uid="{00000000-0005-0000-0000-000001010000}"/>
    <cellStyle name="Source Hed" xfId="254" xr:uid="{00000000-0005-0000-0000-000002010000}"/>
    <cellStyle name="Source Text" xfId="255" xr:uid="{00000000-0005-0000-0000-000003010000}"/>
    <cellStyle name="Standard_E00seit45" xfId="256" xr:uid="{00000000-0005-0000-0000-000004010000}"/>
    <cellStyle name="Style 21" xfId="257" xr:uid="{00000000-0005-0000-0000-000005010000}"/>
    <cellStyle name="Style 21 2" xfId="258" xr:uid="{00000000-0005-0000-0000-000006010000}"/>
    <cellStyle name="Style 22" xfId="259" xr:uid="{00000000-0005-0000-0000-000007010000}"/>
    <cellStyle name="Style 22 2" xfId="260" xr:uid="{00000000-0005-0000-0000-000008010000}"/>
    <cellStyle name="Style 23" xfId="261" xr:uid="{00000000-0005-0000-0000-000009010000}"/>
    <cellStyle name="Style 23 2" xfId="262" xr:uid="{00000000-0005-0000-0000-00000A010000}"/>
    <cellStyle name="Style 24" xfId="263" xr:uid="{00000000-0005-0000-0000-00000B010000}"/>
    <cellStyle name="Style 24 2" xfId="264" xr:uid="{00000000-0005-0000-0000-00000C010000}"/>
    <cellStyle name="Style 29" xfId="265" xr:uid="{00000000-0005-0000-0000-00000D010000}"/>
    <cellStyle name="Style 29 2" xfId="266" xr:uid="{00000000-0005-0000-0000-00000E010000}"/>
    <cellStyle name="Style 30" xfId="267" xr:uid="{00000000-0005-0000-0000-00000F010000}"/>
    <cellStyle name="Style 30 2" xfId="268" xr:uid="{00000000-0005-0000-0000-000010010000}"/>
    <cellStyle name="Style 31" xfId="269" xr:uid="{00000000-0005-0000-0000-000011010000}"/>
    <cellStyle name="Style 31 2" xfId="270" xr:uid="{00000000-0005-0000-0000-000012010000}"/>
    <cellStyle name="Style 32" xfId="271" xr:uid="{00000000-0005-0000-0000-000013010000}"/>
    <cellStyle name="Style 32 2" xfId="272" xr:uid="{00000000-0005-0000-0000-000014010000}"/>
    <cellStyle name="Title 2" xfId="273" xr:uid="{00000000-0005-0000-0000-000015010000}"/>
    <cellStyle name="Title-1" xfId="274" xr:uid="{00000000-0005-0000-0000-000016010000}"/>
    <cellStyle name="Title-2" xfId="275" xr:uid="{00000000-0005-0000-0000-000017010000}"/>
    <cellStyle name="Titre ligne" xfId="276" xr:uid="{00000000-0005-0000-0000-000018010000}"/>
    <cellStyle name="Total 2" xfId="277" xr:uid="{00000000-0005-0000-0000-000019010000}"/>
    <cellStyle name="Total 2 2" xfId="278" xr:uid="{00000000-0005-0000-0000-00001A010000}"/>
    <cellStyle name="Total intermediaire" xfId="279" xr:uid="{00000000-0005-0000-0000-00001B010000}"/>
    <cellStyle name="Total1" xfId="308" xr:uid="{E6D17CCA-D01F-4158-B14F-3F4ACA053E72}"/>
    <cellStyle name="Tusenskille [0]_rob4-mon.xls Diagram 1" xfId="280" xr:uid="{00000000-0005-0000-0000-00001C010000}"/>
    <cellStyle name="Tusenskille_rob4-mon.xls Diagram 1" xfId="281" xr:uid="{00000000-0005-0000-0000-00001D010000}"/>
    <cellStyle name="Unit" xfId="302" xr:uid="{BAC57E04-2324-4E00-87AC-152272767DF0}"/>
    <cellStyle name="Valuta [0]_rob4-mon.xls Diagram 1" xfId="282" xr:uid="{00000000-0005-0000-0000-00001E010000}"/>
    <cellStyle name="Valuta_rob4-mon.xls Diagram 1" xfId="283" xr:uid="{00000000-0005-0000-0000-00001F010000}"/>
    <cellStyle name="Währung [0]_Excel2" xfId="284" xr:uid="{00000000-0005-0000-0000-000020010000}"/>
    <cellStyle name="Währung_Excel2" xfId="285" xr:uid="{00000000-0005-0000-0000-000021010000}"/>
    <cellStyle name="Warning Text 2" xfId="286" xr:uid="{00000000-0005-0000-0000-000022010000}"/>
    <cellStyle name="Year" xfId="287" xr:uid="{00000000-0005-0000-0000-000023010000}"/>
    <cellStyle name="Обычный_2++_CRFReport-template" xfId="288" xr:uid="{00000000-0005-0000-0000-000024010000}"/>
  </cellStyles>
  <dxfs count="335">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patternType="solid">
          <fgColor rgb="FFD6E3BC"/>
          <bgColor rgb="FFD6E3BC"/>
        </patternFill>
      </fill>
      <border>
        <left/>
        <right/>
        <top/>
        <bottom/>
      </border>
    </dxf>
    <dxf>
      <fill>
        <patternFill>
          <bgColor theme="4" tint="0.59996337778862885"/>
        </patternFill>
      </fill>
    </dxf>
    <dxf>
      <fill>
        <patternFill>
          <bgColor theme="4" tint="0.59996337778862885"/>
        </patternFill>
      </fill>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patternType="solid">
          <fgColor rgb="FFD6E3BC"/>
          <bgColor rgb="FFD6E3BC"/>
        </patternFill>
      </fill>
      <border>
        <left/>
        <right/>
        <top/>
        <bottom/>
      </border>
    </dxf>
    <dxf>
      <fill>
        <patternFill>
          <fgColor indexed="64"/>
          <bgColor theme="9" tint="0.79995117038483843"/>
        </patternFill>
      </fill>
    </dxf>
    <dxf>
      <fill>
        <patternFill>
          <fgColor indexed="64"/>
          <bgColor theme="9" tint="0.79995117038483843"/>
        </patternFill>
      </fill>
    </dxf>
    <dxf>
      <fill>
        <patternFill patternType="solid">
          <fgColor rgb="FFD6E3BC"/>
          <bgColor rgb="FFD6E3BC"/>
        </patternFill>
      </fill>
      <border>
        <left/>
        <right/>
        <top/>
        <bottom/>
      </border>
    </dxf>
    <dxf>
      <font>
        <color rgb="FF003366"/>
      </font>
    </dxf>
    <dxf>
      <font>
        <color rgb="FFFF0000"/>
      </font>
    </dxf>
    <dxf>
      <font>
        <color rgb="FF003366"/>
      </font>
    </dxf>
    <dxf>
      <font>
        <color rgb="FFFF0000"/>
      </font>
    </dxf>
    <dxf>
      <font>
        <color rgb="FF003366"/>
      </font>
    </dxf>
    <dxf>
      <font>
        <color rgb="FFFF0000"/>
      </font>
    </dxf>
    <dxf>
      <font>
        <color rgb="FF003366"/>
      </font>
    </dxf>
    <dxf>
      <font>
        <color rgb="FFFF0000"/>
      </font>
    </dxf>
    <dxf>
      <font>
        <color rgb="FF003366"/>
      </font>
    </dxf>
    <dxf>
      <font>
        <color rgb="FFFF0000"/>
      </font>
    </dxf>
    <dxf>
      <font>
        <color rgb="FF003366"/>
      </font>
    </dxf>
    <dxf>
      <font>
        <color rgb="FFFF0000"/>
      </font>
    </dxf>
    <dxf>
      <font>
        <color rgb="FF003366"/>
      </font>
    </dxf>
    <dxf>
      <font>
        <color rgb="FFFF0000"/>
      </font>
    </dxf>
    <dxf>
      <font>
        <color rgb="FF003366"/>
      </font>
    </dxf>
    <dxf>
      <font>
        <color rgb="FFFF0000"/>
      </font>
    </dxf>
    <dxf>
      <font>
        <color theme="3" tint="0.79998168889431442"/>
      </font>
    </dxf>
    <dxf>
      <font>
        <color rgb="FFFF0000"/>
      </font>
    </dxf>
    <dxf>
      <font>
        <color rgb="FF003366"/>
      </font>
    </dxf>
    <dxf>
      <font>
        <color rgb="FFFF0000"/>
      </font>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149679</xdr:colOff>
      <xdr:row>0</xdr:row>
      <xdr:rowOff>149678</xdr:rowOff>
    </xdr:from>
    <xdr:to>
      <xdr:col>2</xdr:col>
      <xdr:colOff>454926</xdr:colOff>
      <xdr:row>2</xdr:row>
      <xdr:rowOff>291694</xdr:rowOff>
    </xdr:to>
    <xdr:pic>
      <xdr:nvPicPr>
        <xdr:cNvPr id="3" name="image1.jpeg">
          <a:extLst>
            <a:ext uri="{FF2B5EF4-FFF2-40B4-BE49-F238E27FC236}">
              <a16:creationId xmlns:a16="http://schemas.microsoft.com/office/drawing/2014/main" id="{FFFA902B-84AB-4AF9-913A-819CA42062B3}"/>
            </a:ext>
          </a:extLst>
        </xdr:cNvPr>
        <xdr:cNvPicPr>
          <a:picLocks noChangeAspect="1"/>
        </xdr:cNvPicPr>
      </xdr:nvPicPr>
      <xdr:blipFill>
        <a:blip xmlns:r="http://schemas.openxmlformats.org/officeDocument/2006/relationships" r:embed="rId1"/>
        <a:srcRect l="3078" r="3078"/>
        <a:stretch>
          <a:fillRect/>
        </a:stretch>
      </xdr:blipFill>
      <xdr:spPr>
        <a:xfrm>
          <a:off x="149679" y="149678"/>
          <a:ext cx="2822568" cy="604659"/>
        </a:xfrm>
        <a:prstGeom prst="rect">
          <a:avLst/>
        </a:prstGeom>
        <a:ln w="12700">
          <a:miter lim="400000"/>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1571625</xdr:colOff>
      <xdr:row>69</xdr:row>
      <xdr:rowOff>0</xdr:rowOff>
    </xdr:to>
    <xdr:sp macro="" textlink="">
      <xdr:nvSpPr>
        <xdr:cNvPr id="2" name="AutoShape 3">
          <a:extLst>
            <a:ext uri="{FF2B5EF4-FFF2-40B4-BE49-F238E27FC236}">
              <a16:creationId xmlns:a16="http://schemas.microsoft.com/office/drawing/2014/main" id="{A232BE2A-FB54-44CF-B285-CF94BE9C7B17}"/>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1571625</xdr:colOff>
      <xdr:row>69</xdr:row>
      <xdr:rowOff>0</xdr:rowOff>
    </xdr:to>
    <xdr:sp macro="" textlink="">
      <xdr:nvSpPr>
        <xdr:cNvPr id="3" name="AutoShape 3">
          <a:extLst>
            <a:ext uri="{FF2B5EF4-FFF2-40B4-BE49-F238E27FC236}">
              <a16:creationId xmlns:a16="http://schemas.microsoft.com/office/drawing/2014/main" id="{E5DE1DD7-1FCC-49FB-AB29-7612BBA86CDF}"/>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1193800</xdr:colOff>
      <xdr:row>69</xdr:row>
      <xdr:rowOff>0</xdr:rowOff>
    </xdr:to>
    <xdr:sp macro="" textlink="">
      <xdr:nvSpPr>
        <xdr:cNvPr id="4" name="AutoShape 3">
          <a:extLst>
            <a:ext uri="{FF2B5EF4-FFF2-40B4-BE49-F238E27FC236}">
              <a16:creationId xmlns:a16="http://schemas.microsoft.com/office/drawing/2014/main" id="{15A6C0D5-4620-4C0B-AA25-1B2103AD7A6C}"/>
            </a:ext>
          </a:extLst>
        </xdr:cNvPr>
        <xdr:cNvSpPr>
          <a:spLocks noChangeArrowheads="1"/>
        </xdr:cNvSpPr>
      </xdr:nvSpPr>
      <xdr:spPr bwMode="auto">
        <a:xfrm>
          <a:off x="0" y="0"/>
          <a:ext cx="6213475"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1193800</xdr:colOff>
      <xdr:row>69</xdr:row>
      <xdr:rowOff>0</xdr:rowOff>
    </xdr:to>
    <xdr:sp macro="" textlink="">
      <xdr:nvSpPr>
        <xdr:cNvPr id="5" name="AutoShape 3">
          <a:extLst>
            <a:ext uri="{FF2B5EF4-FFF2-40B4-BE49-F238E27FC236}">
              <a16:creationId xmlns:a16="http://schemas.microsoft.com/office/drawing/2014/main" id="{68A03D80-A90C-4623-84FF-A5BDCD739CC1}"/>
            </a:ext>
          </a:extLst>
        </xdr:cNvPr>
        <xdr:cNvSpPr>
          <a:spLocks noChangeArrowheads="1"/>
        </xdr:cNvSpPr>
      </xdr:nvSpPr>
      <xdr:spPr bwMode="auto">
        <a:xfrm>
          <a:off x="0" y="0"/>
          <a:ext cx="6213475"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1193800</xdr:colOff>
      <xdr:row>69</xdr:row>
      <xdr:rowOff>0</xdr:rowOff>
    </xdr:to>
    <xdr:sp macro="" textlink="">
      <xdr:nvSpPr>
        <xdr:cNvPr id="6" name="AutoShape 3">
          <a:extLst>
            <a:ext uri="{FF2B5EF4-FFF2-40B4-BE49-F238E27FC236}">
              <a16:creationId xmlns:a16="http://schemas.microsoft.com/office/drawing/2014/main" id="{49F6EF72-9E68-4744-9D35-90D72C23C846}"/>
            </a:ext>
          </a:extLst>
        </xdr:cNvPr>
        <xdr:cNvSpPr>
          <a:spLocks noChangeArrowheads="1"/>
        </xdr:cNvSpPr>
      </xdr:nvSpPr>
      <xdr:spPr bwMode="auto">
        <a:xfrm>
          <a:off x="0" y="0"/>
          <a:ext cx="6213475"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1193800</xdr:colOff>
      <xdr:row>69</xdr:row>
      <xdr:rowOff>0</xdr:rowOff>
    </xdr:to>
    <xdr:sp macro="" textlink="">
      <xdr:nvSpPr>
        <xdr:cNvPr id="7" name="AutoShape 3">
          <a:extLst>
            <a:ext uri="{FF2B5EF4-FFF2-40B4-BE49-F238E27FC236}">
              <a16:creationId xmlns:a16="http://schemas.microsoft.com/office/drawing/2014/main" id="{15CF3BF7-8958-44D0-A6C8-D96C241E1A02}"/>
            </a:ext>
          </a:extLst>
        </xdr:cNvPr>
        <xdr:cNvSpPr>
          <a:spLocks noChangeArrowheads="1"/>
        </xdr:cNvSpPr>
      </xdr:nvSpPr>
      <xdr:spPr bwMode="auto">
        <a:xfrm>
          <a:off x="0" y="0"/>
          <a:ext cx="6213475"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1193800</xdr:colOff>
      <xdr:row>69</xdr:row>
      <xdr:rowOff>0</xdr:rowOff>
    </xdr:to>
    <xdr:sp macro="" textlink="">
      <xdr:nvSpPr>
        <xdr:cNvPr id="8" name="AutoShape 3">
          <a:extLst>
            <a:ext uri="{FF2B5EF4-FFF2-40B4-BE49-F238E27FC236}">
              <a16:creationId xmlns:a16="http://schemas.microsoft.com/office/drawing/2014/main" id="{529C4EFA-7197-41FF-93E4-9EDBA8DF9527}"/>
            </a:ext>
          </a:extLst>
        </xdr:cNvPr>
        <xdr:cNvSpPr>
          <a:spLocks noChangeArrowheads="1"/>
        </xdr:cNvSpPr>
      </xdr:nvSpPr>
      <xdr:spPr bwMode="auto">
        <a:xfrm>
          <a:off x="0" y="0"/>
          <a:ext cx="6213475"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9" name="AutoShape 3">
          <a:extLst>
            <a:ext uri="{FF2B5EF4-FFF2-40B4-BE49-F238E27FC236}">
              <a16:creationId xmlns:a16="http://schemas.microsoft.com/office/drawing/2014/main" id="{162CA652-E8BF-4976-A894-72F137EF4B77}"/>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0" name="AutoShape 3">
          <a:extLst>
            <a:ext uri="{FF2B5EF4-FFF2-40B4-BE49-F238E27FC236}">
              <a16:creationId xmlns:a16="http://schemas.microsoft.com/office/drawing/2014/main" id="{780DE41E-527B-4890-B148-C86E94FD4C83}"/>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1" name="AutoShape 3">
          <a:extLst>
            <a:ext uri="{FF2B5EF4-FFF2-40B4-BE49-F238E27FC236}">
              <a16:creationId xmlns:a16="http://schemas.microsoft.com/office/drawing/2014/main" id="{B6ED3073-1042-42F3-ABA3-F6D92951AF3C}"/>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2" name="AutoShape 3">
          <a:extLst>
            <a:ext uri="{FF2B5EF4-FFF2-40B4-BE49-F238E27FC236}">
              <a16:creationId xmlns:a16="http://schemas.microsoft.com/office/drawing/2014/main" id="{BA74A53C-7B24-4725-A043-06F312D17FD5}"/>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3" name="AutoShape 3">
          <a:extLst>
            <a:ext uri="{FF2B5EF4-FFF2-40B4-BE49-F238E27FC236}">
              <a16:creationId xmlns:a16="http://schemas.microsoft.com/office/drawing/2014/main" id="{5F67FCDF-BBA5-429E-9862-D20F13071583}"/>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4" name="AutoShape 3">
          <a:extLst>
            <a:ext uri="{FF2B5EF4-FFF2-40B4-BE49-F238E27FC236}">
              <a16:creationId xmlns:a16="http://schemas.microsoft.com/office/drawing/2014/main" id="{5AF688CB-63C5-4747-BD30-A97E89BB3271}"/>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5" name="AutoShape 3">
          <a:extLst>
            <a:ext uri="{FF2B5EF4-FFF2-40B4-BE49-F238E27FC236}">
              <a16:creationId xmlns:a16="http://schemas.microsoft.com/office/drawing/2014/main" id="{E4FC2CE5-5CDE-4FC6-AE60-EEF0953DF346}"/>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6" name="AutoShape 3">
          <a:extLst>
            <a:ext uri="{FF2B5EF4-FFF2-40B4-BE49-F238E27FC236}">
              <a16:creationId xmlns:a16="http://schemas.microsoft.com/office/drawing/2014/main" id="{46F006AD-C871-4F6C-A1F0-33024965307F}"/>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7" name="AutoShape 3">
          <a:extLst>
            <a:ext uri="{FF2B5EF4-FFF2-40B4-BE49-F238E27FC236}">
              <a16:creationId xmlns:a16="http://schemas.microsoft.com/office/drawing/2014/main" id="{018DBA84-03BE-4DF4-8A37-09156AA33411}"/>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18" name="AutoShape 3">
          <a:extLst>
            <a:ext uri="{FF2B5EF4-FFF2-40B4-BE49-F238E27FC236}">
              <a16:creationId xmlns:a16="http://schemas.microsoft.com/office/drawing/2014/main" id="{9AF555D7-79B9-41B1-A101-96C7E694BEF0}"/>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1193800</xdr:colOff>
      <xdr:row>69</xdr:row>
      <xdr:rowOff>0</xdr:rowOff>
    </xdr:to>
    <xdr:sp macro="" textlink="">
      <xdr:nvSpPr>
        <xdr:cNvPr id="19" name="AutoShape 3">
          <a:extLst>
            <a:ext uri="{FF2B5EF4-FFF2-40B4-BE49-F238E27FC236}">
              <a16:creationId xmlns:a16="http://schemas.microsoft.com/office/drawing/2014/main" id="{46D4BCB6-0C76-42EE-A937-491EAE53A61C}"/>
            </a:ext>
          </a:extLst>
        </xdr:cNvPr>
        <xdr:cNvSpPr>
          <a:spLocks noChangeArrowheads="1"/>
        </xdr:cNvSpPr>
      </xdr:nvSpPr>
      <xdr:spPr bwMode="auto">
        <a:xfrm>
          <a:off x="0" y="0"/>
          <a:ext cx="6213475" cy="114490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1790700</xdr:colOff>
      <xdr:row>69</xdr:row>
      <xdr:rowOff>0</xdr:rowOff>
    </xdr:to>
    <xdr:sp macro="" textlink="">
      <xdr:nvSpPr>
        <xdr:cNvPr id="20" name="AutoShape 3">
          <a:extLst>
            <a:ext uri="{FF2B5EF4-FFF2-40B4-BE49-F238E27FC236}">
              <a16:creationId xmlns:a16="http://schemas.microsoft.com/office/drawing/2014/main" id="{61CC88A7-83DB-494B-8FF8-0F630803F612}"/>
            </a:ext>
          </a:extLst>
        </xdr:cNvPr>
        <xdr:cNvSpPr>
          <a:spLocks noChangeArrowheads="1"/>
        </xdr:cNvSpPr>
      </xdr:nvSpPr>
      <xdr:spPr bwMode="auto">
        <a:xfrm>
          <a:off x="0" y="0"/>
          <a:ext cx="6210300" cy="11449050"/>
        </a:xfrm>
        <a:custGeom>
          <a:avLst/>
          <a:gdLst/>
          <a:ahLst/>
          <a:cxnLst/>
          <a:rect l="0" t="0" r="0" b="0"/>
          <a:pathLst/>
        </a:custGeom>
        <a:solidFill>
          <a:srgbClr val="FFFFFF"/>
        </a:solidFill>
        <a:ln w="9525">
          <a:solidFill>
            <a:srgbClr val="000000"/>
          </a:solidFill>
          <a:round/>
          <a:headEnd/>
          <a:tailEnd/>
        </a:ln>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lastair/Dropbox%20(Irbaris)/Africa%20Power/Sida%20Zambia/160320%20-%20Financial%20Model%20-%20Base%20case%20for%20Concept%20no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lasdair/Desktop/GTL%20economic%20model.14021318v2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David%20Hampton/Documents/!irbaris/!!!!!AfricaPower/!!Zambia/AfricaPower.EconomicAssessment.v1031%20(Ho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Alasdair/Documents/Irbaris/Sectors/Telecoms/Africa%20Power/Drip-feed%20Irrigation/Project%20projections%20($15m)%20v4.1.ARG.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Alasdair/Desktop/GTL%20economic%20model.140318v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User Guide"/>
      <sheetName val="Settings"/>
      <sheetName val="Financial Inputs"/>
      <sheetName val="Development Inputs"/>
      <sheetName val="Calculations"/>
      <sheetName val="Workplan"/>
      <sheetName val="Fixed Assets"/>
      <sheetName val="Balance Sheet"/>
      <sheetName val="P&amp;L Statement"/>
      <sheetName val="Cash Flow"/>
      <sheetName val="Quarterly Schedule"/>
      <sheetName val="Financial KPIs"/>
      <sheetName val="Development KPIs"/>
      <sheetName val="Checks"/>
      <sheetName val="AfricaPowerModel&gt;&gt;"/>
      <sheetName val="Intro"/>
      <sheetName val="Inputs"/>
      <sheetName val="System Costs"/>
      <sheetName val="Salaries &amp; operating costs"/>
      <sheetName val="Portfolio-INFRACO"/>
      <sheetName val="Financing-INFRACO"/>
      <sheetName val="TransitionToREACT"/>
      <sheetName val="InfraCo graphs"/>
      <sheetName val="TimeLines"/>
      <sheetName val="InfraCo Financing Outputs"/>
      <sheetName val="Template"/>
    </sheetNames>
    <sheetDataSet>
      <sheetData sheetId="0" refreshError="1"/>
      <sheetData sheetId="1" refreshError="1"/>
      <sheetData sheetId="2" refreshError="1">
        <row r="13">
          <cell r="G13" t="str">
            <v>USD</v>
          </cell>
        </row>
        <row r="14">
          <cell r="G14">
            <v>1E-3</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PT outputs"/>
      <sheetName val="Outputs"/>
      <sheetName val="Outputs - Africa"/>
      <sheetName val="GII_FO Africa"/>
      <sheetName val="Version Control"/>
      <sheetName val="Input"/>
      <sheetName val="Base_FO"/>
      <sheetName val="Base_VA"/>
      <sheetName val="GII_FO"/>
      <sheetName val="GII_VA"/>
      <sheetName val="GIII_FO"/>
      <sheetName val="GII_FO_PwrImp"/>
      <sheetName val="Base_FO_mCCS"/>
      <sheetName val="Base_VA_mCCS"/>
      <sheetName val="GII_FO_mCCS"/>
      <sheetName val="GII_VA_mCCS"/>
      <sheetName val="CCS summary"/>
      <sheetName val="GII_FO-GII_FO_PwrImp"/>
      <sheetName val="Base Case FO-mCCS"/>
      <sheetName val="Base Case VA-mCCS"/>
      <sheetName val="GII_FO-mCCS"/>
      <sheetName val="GII_VA-mCCS"/>
      <sheetName val="Irbaris controls"/>
      <sheetName val="Sensitivities"/>
      <sheetName val="Assumptions"/>
      <sheetName val="Group Assumptions Carbon"/>
      <sheetName val="Group Assumptions Products"/>
      <sheetName val="Group Assumptions Macroeconomic"/>
      <sheetName val="Chemicals Prices"/>
      <sheetName val="Increment prices"/>
    </sheetNames>
    <sheetDataSet>
      <sheetData sheetId="0"/>
      <sheetData sheetId="1"/>
      <sheetData sheetId="2"/>
      <sheetData sheetId="3"/>
      <sheetData sheetId="4"/>
      <sheetData sheetId="5">
        <row r="6">
          <cell r="H6">
            <v>1</v>
          </cell>
          <cell r="I6">
            <v>2</v>
          </cell>
          <cell r="J6">
            <v>3</v>
          </cell>
          <cell r="K6">
            <v>4</v>
          </cell>
          <cell r="L6">
            <v>5</v>
          </cell>
          <cell r="M6">
            <v>6</v>
          </cell>
          <cell r="N6">
            <v>7</v>
          </cell>
          <cell r="O6">
            <v>8</v>
          </cell>
          <cell r="P6">
            <v>9</v>
          </cell>
          <cell r="Q6">
            <v>10</v>
          </cell>
          <cell r="R6">
            <v>11</v>
          </cell>
          <cell r="S6">
            <v>12</v>
          </cell>
          <cell r="T6">
            <v>13</v>
          </cell>
          <cell r="U6">
            <v>14</v>
          </cell>
          <cell r="V6">
            <v>15</v>
          </cell>
          <cell r="W6">
            <v>16</v>
          </cell>
          <cell r="X6">
            <v>17</v>
          </cell>
          <cell r="Y6">
            <v>18</v>
          </cell>
          <cell r="Z6">
            <v>19</v>
          </cell>
          <cell r="AA6">
            <v>21</v>
          </cell>
          <cell r="AB6">
            <v>25</v>
          </cell>
          <cell r="AC6">
            <v>27</v>
          </cell>
          <cell r="AD6">
            <v>28</v>
          </cell>
          <cell r="AE6">
            <v>29</v>
          </cell>
        </row>
        <row r="7">
          <cell r="H7" t="str">
            <v>2013 Ref Case 
2 phases
Fuels Only</v>
          </cell>
          <cell r="I7" t="str">
            <v>2013 Ref Case
2 phases
BO + fuels</v>
          </cell>
          <cell r="J7" t="str">
            <v>2013 Ref Case
2 phases
BO+Fuels+PEU</v>
          </cell>
          <cell r="K7" t="str">
            <v>2015 G2 Case
2 phases
Fuels</v>
          </cell>
          <cell r="L7" t="str">
            <v>2015 G2 Case
2 phases
BO + Fuels</v>
          </cell>
          <cell r="M7" t="str">
            <v>2015 G2 Case
2 phases
BO + Fuels + PEU</v>
          </cell>
          <cell r="N7" t="str">
            <v>2020 G3 Case
2 phases
Fuels</v>
          </cell>
          <cell r="O7" t="str">
            <v>2020 G3 Case
2 phases
BO + Fuels</v>
          </cell>
          <cell r="P7" t="str">
            <v>2020 G3 Case
2 phases
BO + Fuels + PEU</v>
          </cell>
          <cell r="Q7" t="str">
            <v>2013 Ref Case
1 phase
Fuels</v>
          </cell>
          <cell r="R7" t="str">
            <v>2013 Ref Case
1 phase
BO + Fuels</v>
          </cell>
          <cell r="S7" t="str">
            <v>2013 Ref Case
1 phase
BO + Fuels + PEU</v>
          </cell>
          <cell r="T7" t="str">
            <v>2013 Ref Case
2 phases
Fuels
Max CCS</v>
          </cell>
          <cell r="U7" t="str">
            <v>2013 Ref Case
2 phases
Fuels+BO
Max CCS</v>
          </cell>
          <cell r="V7" t="str">
            <v>2013 Ref Case
2 phases
Fuels+BO+PEU
Max CCS</v>
          </cell>
          <cell r="W7" t="str">
            <v>2013 Ref Case
2 phases
Fuels
500ktpa CCS</v>
          </cell>
          <cell r="X7" t="str">
            <v>2013 Ref Case
2 phases
Fuels+BO
500ktpa CCS</v>
          </cell>
          <cell r="Y7" t="str">
            <v>2013 Ref Case
2 phases
Fuels+BO+PEU
500ktpa CCS</v>
          </cell>
          <cell r="Z7" t="str">
            <v>2015 G2 Case
2 phases
Fuels
Max CCS</v>
          </cell>
          <cell r="AA7" t="str">
            <v>2015 G2 Case
2 phases
Fuels+BO+PEU
Max CCS</v>
          </cell>
          <cell r="AB7" t="str">
            <v>2020 G3 Case
2 phases
Fuels
Max CCS</v>
          </cell>
          <cell r="AC7" t="str">
            <v>2020 G3 Case
2 phases
Fuels+BO+PEU
Max CCS</v>
          </cell>
          <cell r="AD7" t="str">
            <v>GI_FO Africa</v>
          </cell>
          <cell r="AE7" t="str">
            <v>2015 G2 Case
2 phases
Fuels only Power Import</v>
          </cell>
        </row>
        <row r="8">
          <cell r="H8" t="str">
            <v>1A</v>
          </cell>
          <cell r="I8" t="str">
            <v>1B</v>
          </cell>
          <cell r="J8" t="str">
            <v>1C</v>
          </cell>
          <cell r="K8" t="str">
            <v>2A</v>
          </cell>
          <cell r="L8" t="str">
            <v>2B</v>
          </cell>
          <cell r="M8" t="str">
            <v>2C</v>
          </cell>
          <cell r="N8" t="str">
            <v>3A</v>
          </cell>
          <cell r="O8" t="str">
            <v>3B</v>
          </cell>
          <cell r="P8" t="str">
            <v>3C</v>
          </cell>
          <cell r="Q8" t="str">
            <v>1A (1 phase)</v>
          </cell>
          <cell r="R8" t="str">
            <v>1B (1 phase)</v>
          </cell>
          <cell r="S8" t="str">
            <v>1C (1 phase)</v>
          </cell>
          <cell r="T8" t="str">
            <v>1A (max CCS)</v>
          </cell>
          <cell r="U8" t="str">
            <v>1B (max CCS)</v>
          </cell>
          <cell r="V8" t="str">
            <v>1C (max CCS)</v>
          </cell>
          <cell r="W8" t="str">
            <v>1A (500ktpa CCS)</v>
          </cell>
          <cell r="X8" t="str">
            <v>1B (500ktpa CCS)</v>
          </cell>
          <cell r="Y8" t="str">
            <v>1C (500ktpa CCS)</v>
          </cell>
          <cell r="Z8" t="str">
            <v>2A (max CCS)</v>
          </cell>
          <cell r="AA8" t="str">
            <v>2C(max CCS)</v>
          </cell>
          <cell r="AB8" t="str">
            <v>3A (max CCS)</v>
          </cell>
          <cell r="AC8" t="str">
            <v>3C(max CCS)</v>
          </cell>
        </row>
        <row r="10">
          <cell r="H10">
            <v>0.93198703785535431</v>
          </cell>
          <cell r="I10">
            <v>0.93198703785535431</v>
          </cell>
          <cell r="J10">
            <v>0.93198703785535431</v>
          </cell>
          <cell r="K10">
            <v>0.93327600362992102</v>
          </cell>
          <cell r="L10">
            <v>0.93327600362992102</v>
          </cell>
          <cell r="M10">
            <v>0.93327600362992102</v>
          </cell>
          <cell r="N10">
            <v>0.93442947671991805</v>
          </cell>
          <cell r="O10">
            <v>0.93442947671991805</v>
          </cell>
          <cell r="P10">
            <v>0.93442947671991805</v>
          </cell>
          <cell r="Q10">
            <v>0.93198703785535431</v>
          </cell>
          <cell r="R10">
            <v>0.93198703785535431</v>
          </cell>
          <cell r="S10">
            <v>0.93198703785535431</v>
          </cell>
          <cell r="T10">
            <v>0.93198703785535431</v>
          </cell>
          <cell r="U10">
            <v>0.93198703785535431</v>
          </cell>
          <cell r="V10">
            <v>0.93198703785535431</v>
          </cell>
          <cell r="W10">
            <v>0.93198703785535431</v>
          </cell>
          <cell r="X10">
            <v>0.93198703785535431</v>
          </cell>
          <cell r="Y10">
            <v>0.93198703785535431</v>
          </cell>
          <cell r="Z10">
            <v>0.93327600362992102</v>
          </cell>
          <cell r="AA10">
            <v>0.93327600362992102</v>
          </cell>
          <cell r="AB10">
            <v>0.93442947671991805</v>
          </cell>
          <cell r="AC10">
            <v>0.93442947671991805</v>
          </cell>
          <cell r="AD10">
            <v>0.9</v>
          </cell>
          <cell r="AE10">
            <v>0.93327600362992102</v>
          </cell>
        </row>
        <row r="11">
          <cell r="H11">
            <v>8766.0161113557733</v>
          </cell>
          <cell r="I11">
            <v>9285.6760592608171</v>
          </cell>
          <cell r="J11">
            <v>9485.3100679626186</v>
          </cell>
          <cell r="K11">
            <v>9383.8930337414095</v>
          </cell>
          <cell r="L11">
            <v>9852.9479320666323</v>
          </cell>
          <cell r="M11">
            <v>10138.506658572847</v>
          </cell>
          <cell r="N11">
            <v>9758.7576988548153</v>
          </cell>
          <cell r="O11">
            <v>10565.520443725376</v>
          </cell>
          <cell r="P11">
            <v>10698.917553509251</v>
          </cell>
          <cell r="Q11">
            <v>4794.7601396719137</v>
          </cell>
          <cell r="R11">
            <v>5078.9992709656981</v>
          </cell>
          <cell r="S11">
            <v>5188.1933649859375</v>
          </cell>
          <cell r="T11">
            <v>9052.3575757642939</v>
          </cell>
          <cell r="U11">
            <v>9572.7019084152162</v>
          </cell>
          <cell r="V11">
            <v>9742.5008079002582</v>
          </cell>
          <cell r="W11">
            <v>8875.4458957813713</v>
          </cell>
          <cell r="X11">
            <v>9395.3469032985759</v>
          </cell>
          <cell r="Y11">
            <v>9593.9044698622238</v>
          </cell>
          <cell r="Z11">
            <v>9538.13939567329</v>
          </cell>
          <cell r="AA11">
            <v>10292.521671487601</v>
          </cell>
          <cell r="AB11">
            <v>9900.7923438055423</v>
          </cell>
          <cell r="AC11">
            <v>10821.274568858506</v>
          </cell>
          <cell r="AD11">
            <v>9383.8930337414095</v>
          </cell>
          <cell r="AE11">
            <v>9069.3139810150769</v>
          </cell>
        </row>
        <row r="12">
          <cell r="H12">
            <v>617.87692238563614</v>
          </cell>
          <cell r="I12">
            <v>567.27187280581529</v>
          </cell>
          <cell r="J12">
            <v>653.19659061022867</v>
          </cell>
        </row>
        <row r="15">
          <cell r="H15">
            <v>1103382.1344416514</v>
          </cell>
          <cell r="I15">
            <v>1107074.8387064468</v>
          </cell>
          <cell r="J15">
            <v>1107075.9832725222</v>
          </cell>
          <cell r="K15">
            <v>1126661.6383365553</v>
          </cell>
          <cell r="L15">
            <v>1131148.5319161655</v>
          </cell>
          <cell r="M15">
            <v>1133585.2217773674</v>
          </cell>
          <cell r="N15">
            <v>1193687.6485996759</v>
          </cell>
          <cell r="O15">
            <v>1203099.4127495813</v>
          </cell>
          <cell r="P15">
            <v>1203964.5821698203</v>
          </cell>
          <cell r="Q15">
            <v>552036.46011515497</v>
          </cell>
          <cell r="R15">
            <v>553883.96817873383</v>
          </cell>
          <cell r="S15">
            <v>553537.99163626111</v>
          </cell>
          <cell r="T15">
            <v>1102663.1529253623</v>
          </cell>
          <cell r="U15">
            <v>1106357.822845974</v>
          </cell>
          <cell r="V15">
            <v>1106404.9236083804</v>
          </cell>
          <cell r="W15">
            <v>1103115.37150387</v>
          </cell>
          <cell r="X15">
            <v>1106809.8310683772</v>
          </cell>
          <cell r="Y15">
            <v>1106854.5408245784</v>
          </cell>
          <cell r="Z15">
            <v>1130104.2865331289</v>
          </cell>
          <cell r="AA15">
            <v>1136028.1438305781</v>
          </cell>
          <cell r="AB15">
            <v>1196478.156277434</v>
          </cell>
          <cell r="AC15">
            <v>1206469.3077892738</v>
          </cell>
          <cell r="AD15">
            <v>1126661.6383365553</v>
          </cell>
          <cell r="AE15">
            <v>1090041.9753287919</v>
          </cell>
        </row>
        <row r="16">
          <cell r="H16">
            <v>11023.919568349274</v>
          </cell>
          <cell r="I16">
            <v>11060.938949593474</v>
          </cell>
          <cell r="J16">
            <v>11062.210128942512</v>
          </cell>
          <cell r="K16">
            <v>11253.773693179797</v>
          </cell>
          <cell r="L16">
            <v>11298.754826819251</v>
          </cell>
          <cell r="M16">
            <v>11324.656843416653</v>
          </cell>
          <cell r="N16">
            <v>11919.441291534798</v>
          </cell>
          <cell r="O16">
            <v>12013.794280634824</v>
          </cell>
          <cell r="P16">
            <v>12023.068522615582</v>
          </cell>
          <cell r="Q16">
            <v>5515.4223499035288</v>
          </cell>
          <cell r="R16">
            <v>5533.9436681540774</v>
          </cell>
          <cell r="S16">
            <v>5531.1050644712559</v>
          </cell>
          <cell r="T16">
            <v>11016.707603864959</v>
          </cell>
          <cell r="U16">
            <v>11053.746690819891</v>
          </cell>
          <cell r="V16">
            <v>11055.482973555663</v>
          </cell>
          <cell r="W16">
            <v>11021.241867632938</v>
          </cell>
          <cell r="X16">
            <v>11058.278845766727</v>
          </cell>
          <cell r="Y16">
            <v>11059.990388703707</v>
          </cell>
          <cell r="Z16">
            <v>11288.287942695999</v>
          </cell>
          <cell r="AA16">
            <v>11349.147150885856</v>
          </cell>
          <cell r="AB16">
            <v>11947.42097207167</v>
          </cell>
          <cell r="AC16">
            <v>12048.178411187664</v>
          </cell>
          <cell r="AD16">
            <v>11253.773693179797</v>
          </cell>
          <cell r="AE16">
            <v>10886.663045155132</v>
          </cell>
        </row>
        <row r="19">
          <cell r="H19">
            <v>2825.8064516129034</v>
          </cell>
          <cell r="I19">
            <v>2825.8064516129034</v>
          </cell>
          <cell r="J19">
            <v>2825.8064516129034</v>
          </cell>
          <cell r="K19">
            <v>2487.0662460567823</v>
          </cell>
          <cell r="L19">
            <v>2487.0662460567823</v>
          </cell>
          <cell r="M19">
            <v>2487.0662460567823</v>
          </cell>
          <cell r="N19">
            <v>2183.93351800554</v>
          </cell>
          <cell r="O19">
            <v>2183.93351800554</v>
          </cell>
          <cell r="P19">
            <v>2183.93351800554</v>
          </cell>
          <cell r="Q19">
            <v>1412.9032258064517</v>
          </cell>
          <cell r="R19">
            <v>1412.9032258064517</v>
          </cell>
          <cell r="S19">
            <v>1412.9032258064517</v>
          </cell>
          <cell r="T19">
            <v>2825.8064516129034</v>
          </cell>
          <cell r="U19">
            <v>2825.8064516129034</v>
          </cell>
          <cell r="V19">
            <v>2825.8064516129034</v>
          </cell>
          <cell r="W19">
            <v>2825.8064516129034</v>
          </cell>
          <cell r="X19">
            <v>2825.8064516129034</v>
          </cell>
          <cell r="Y19">
            <v>2825.8064516129034</v>
          </cell>
          <cell r="Z19">
            <v>2487.0662460567823</v>
          </cell>
          <cell r="AA19">
            <v>2487.0662460567823</v>
          </cell>
          <cell r="AB19">
            <v>2183.93351800554</v>
          </cell>
          <cell r="AC19">
            <v>2183.93351800554</v>
          </cell>
          <cell r="AD19">
            <v>2487.0662460567823</v>
          </cell>
          <cell r="AE19">
            <v>2487.0662460567823</v>
          </cell>
        </row>
        <row r="20">
          <cell r="H20">
            <v>13663.134385553463</v>
          </cell>
          <cell r="I20">
            <v>13839.66772589731</v>
          </cell>
          <cell r="J20">
            <v>13986.033431762313</v>
          </cell>
          <cell r="K20">
            <v>10765.057144293549</v>
          </cell>
          <cell r="L20">
            <v>10983.632987594698</v>
          </cell>
          <cell r="M20">
            <v>11093.639599671013</v>
          </cell>
          <cell r="N20">
            <v>9387.1044167282671</v>
          </cell>
          <cell r="O20">
            <v>9837.0430099421046</v>
          </cell>
          <cell r="P20">
            <v>9884.8754098512763</v>
          </cell>
          <cell r="Q20">
            <v>6848.0790380247445</v>
          </cell>
          <cell r="R20">
            <v>6936.5590480581241</v>
          </cell>
          <cell r="S20">
            <v>6993.0167158811564</v>
          </cell>
          <cell r="T20">
            <v>14084.468242467396</v>
          </cell>
          <cell r="U20">
            <v>14309.867383177694</v>
          </cell>
          <cell r="V20">
            <v>14504.35466333232</v>
          </cell>
          <cell r="W20">
            <v>13739.584827344952</v>
          </cell>
          <cell r="X20">
            <v>13964.971127604425</v>
          </cell>
          <cell r="Y20">
            <v>14158.436378793504</v>
          </cell>
          <cell r="Z20">
            <v>10935.530879432195</v>
          </cell>
          <cell r="AA20">
            <v>11212.644817518383</v>
          </cell>
          <cell r="AB20">
            <v>9524.0470526121444</v>
          </cell>
          <cell r="AC20">
            <v>10004.702781322263</v>
          </cell>
          <cell r="AD20">
            <v>10765.057144293549</v>
          </cell>
          <cell r="AE20">
            <v>8983.9237595587929</v>
          </cell>
        </row>
        <row r="21">
          <cell r="H21">
            <v>11311.502644909015</v>
          </cell>
          <cell r="I21">
            <v>10921.35314242178</v>
          </cell>
          <cell r="J21">
            <v>11938.238636245555</v>
          </cell>
          <cell r="K21">
            <v>11541.476267643693</v>
          </cell>
          <cell r="L21">
            <v>11146.480949834151</v>
          </cell>
          <cell r="M21">
            <v>13189.572819182975</v>
          </cell>
          <cell r="N21">
            <v>11496.508819827086</v>
          </cell>
          <cell r="O21">
            <v>10664.386325549309</v>
          </cell>
          <cell r="P21">
            <v>11420.800864184586</v>
          </cell>
          <cell r="Q21">
            <v>5163.0935426349506</v>
          </cell>
          <cell r="R21">
            <v>4985.0112453319753</v>
          </cell>
          <cell r="S21">
            <v>5903.6003247561939</v>
          </cell>
          <cell r="T21">
            <v>15547.273455849387</v>
          </cell>
          <cell r="U21">
            <v>15156.920853894339</v>
          </cell>
          <cell r="V21">
            <v>16176.76441045862</v>
          </cell>
          <cell r="W21">
            <v>12715.778959916148</v>
          </cell>
          <cell r="X21">
            <v>12325.448180837187</v>
          </cell>
          <cell r="Y21">
            <v>13345.743994532429</v>
          </cell>
          <cell r="Z21">
            <v>13580.114707394969</v>
          </cell>
          <cell r="AA21">
            <v>14088.260159399808</v>
          </cell>
          <cell r="AB21">
            <v>13276.13031824493</v>
          </cell>
          <cell r="AC21">
            <v>12771.704431943816</v>
          </cell>
          <cell r="AD21">
            <v>11541.476267643693</v>
          </cell>
          <cell r="AE21">
            <v>11548.682829824418</v>
          </cell>
        </row>
        <row r="22">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cell r="AB22">
            <v>0</v>
          </cell>
          <cell r="AC22">
            <v>0</v>
          </cell>
          <cell r="AD22">
            <v>0</v>
          </cell>
          <cell r="AE22">
            <v>0</v>
          </cell>
        </row>
        <row r="23">
          <cell r="H23">
            <v>0</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0</v>
          </cell>
          <cell r="AD23">
            <v>0</v>
          </cell>
          <cell r="AE23">
            <v>220</v>
          </cell>
        </row>
        <row r="27">
          <cell r="H27">
            <v>71694.16</v>
          </cell>
          <cell r="I27">
            <v>53872.424081910023</v>
          </cell>
          <cell r="J27">
            <v>40844.354598378835</v>
          </cell>
          <cell r="K27">
            <v>75985.018200000006</v>
          </cell>
          <cell r="L27">
            <v>58131.873427061335</v>
          </cell>
          <cell r="M27">
            <v>43273.147939555129</v>
          </cell>
          <cell r="N27">
            <v>98945.816399999996</v>
          </cell>
          <cell r="O27">
            <v>57722.593515871311</v>
          </cell>
          <cell r="P27">
            <v>52106.170506486051</v>
          </cell>
          <cell r="Q27">
            <v>35847.08</v>
          </cell>
          <cell r="R27">
            <v>26936.212040955012</v>
          </cell>
          <cell r="S27">
            <v>20422.177299189418</v>
          </cell>
          <cell r="T27">
            <v>71708.278600000005</v>
          </cell>
          <cell r="U27">
            <v>53875.894144587714</v>
          </cell>
          <cell r="V27">
            <v>40838.108652948285</v>
          </cell>
          <cell r="W27">
            <v>71706.305399999997</v>
          </cell>
          <cell r="X27">
            <v>53875.038166084953</v>
          </cell>
          <cell r="Y27">
            <v>40838.108652948285</v>
          </cell>
          <cell r="Z27">
            <v>75976.008799999996</v>
          </cell>
          <cell r="AA27">
            <v>43273.147939555129</v>
          </cell>
          <cell r="AB27">
            <v>98946.695800000001</v>
          </cell>
          <cell r="AC27">
            <v>52106.170506486051</v>
          </cell>
          <cell r="AD27">
            <v>75985.018200000006</v>
          </cell>
          <cell r="AE27">
            <v>75976.008799999996</v>
          </cell>
        </row>
        <row r="28">
          <cell r="H28">
            <v>33708.321000000004</v>
          </cell>
          <cell r="I28">
            <v>30542.874353976968</v>
          </cell>
          <cell r="J28">
            <v>31072.314446816556</v>
          </cell>
          <cell r="K28">
            <v>38224.239000000001</v>
          </cell>
          <cell r="L28">
            <v>34922.346750544464</v>
          </cell>
          <cell r="M28">
            <v>35525.2641472818</v>
          </cell>
          <cell r="N28">
            <v>28088.269</v>
          </cell>
          <cell r="O28">
            <v>22868.259171346876</v>
          </cell>
          <cell r="P28">
            <v>23120.338591907457</v>
          </cell>
          <cell r="Q28">
            <v>16854.160500000002</v>
          </cell>
          <cell r="R28">
            <v>15271.437176988484</v>
          </cell>
          <cell r="S28">
            <v>15536.157223408278</v>
          </cell>
          <cell r="T28">
            <v>33706.727400000003</v>
          </cell>
          <cell r="U28">
            <v>30540.291862178037</v>
          </cell>
          <cell r="V28">
            <v>31077.076458976037</v>
          </cell>
          <cell r="W28">
            <v>33706.481</v>
          </cell>
          <cell r="X28">
            <v>30540.164672423089</v>
          </cell>
          <cell r="Y28">
            <v>31077.076458976037</v>
          </cell>
          <cell r="Z28">
            <v>38227.019200000002</v>
          </cell>
          <cell r="AA28">
            <v>35525.2641472818</v>
          </cell>
          <cell r="AB28">
            <v>28078.6564</v>
          </cell>
          <cell r="AC28">
            <v>23120.338591907457</v>
          </cell>
          <cell r="AD28">
            <v>38224.239000000001</v>
          </cell>
          <cell r="AE28">
            <v>38227.019200000002</v>
          </cell>
        </row>
        <row r="29">
          <cell r="H29">
            <v>5432.3491800000002</v>
          </cell>
          <cell r="I29">
            <v>5942.0865730347177</v>
          </cell>
          <cell r="J29">
            <v>5823.2529426545525</v>
          </cell>
          <cell r="K29">
            <v>9181.4377199999999</v>
          </cell>
          <cell r="L29">
            <v>9646.5992404697554</v>
          </cell>
          <cell r="M29">
            <v>9607.1407947859025</v>
          </cell>
          <cell r="N29">
            <v>4725.8893399999997</v>
          </cell>
          <cell r="O29">
            <v>6635.3492930505245</v>
          </cell>
          <cell r="P29">
            <v>6508.9097844027183</v>
          </cell>
          <cell r="Q29">
            <v>2716.1745900000001</v>
          </cell>
          <cell r="R29">
            <v>2971.0432865173589</v>
          </cell>
          <cell r="S29">
            <v>2911.6264713272762</v>
          </cell>
          <cell r="T29">
            <v>5430.2476999999999</v>
          </cell>
          <cell r="U29">
            <v>5940.6032575919317</v>
          </cell>
          <cell r="V29">
            <v>5830.5204361045262</v>
          </cell>
          <cell r="W29">
            <v>5430.4786599999998</v>
          </cell>
          <cell r="X29">
            <v>5940.7747324728734</v>
          </cell>
          <cell r="Y29">
            <v>5830.5204361045262</v>
          </cell>
          <cell r="Z29">
            <v>9180.8418000000001</v>
          </cell>
          <cell r="AA29">
            <v>9607.1407947859025</v>
          </cell>
          <cell r="AB29">
            <v>4722.9078399999999</v>
          </cell>
          <cell r="AC29">
            <v>6508.9097844027183</v>
          </cell>
          <cell r="AD29">
            <v>9181.4377199999999</v>
          </cell>
          <cell r="AE29">
            <v>9180.8418000000001</v>
          </cell>
        </row>
        <row r="30">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row>
        <row r="31">
          <cell r="H31">
            <v>0</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row>
        <row r="32">
          <cell r="H32">
            <v>110834.83018</v>
          </cell>
          <cell r="I32">
            <v>108748.08212606399</v>
          </cell>
          <cell r="J32">
            <v>96141.309586602918</v>
          </cell>
          <cell r="K32">
            <v>123390.69492000001</v>
          </cell>
          <cell r="L32">
            <v>121297.34918945118</v>
          </cell>
          <cell r="M32">
            <v>106993.70795557922</v>
          </cell>
          <cell r="N32">
            <v>131759.97474000001</v>
          </cell>
          <cell r="O32">
            <v>126980.04560687132</v>
          </cell>
          <cell r="P32">
            <v>121496.66785258216</v>
          </cell>
          <cell r="Q32">
            <v>55417.415090000002</v>
          </cell>
          <cell r="R32">
            <v>54374.041063031997</v>
          </cell>
          <cell r="S32">
            <v>48070.654793301459</v>
          </cell>
          <cell r="T32">
            <v>110845.2537</v>
          </cell>
          <cell r="U32">
            <v>108757.27894494229</v>
          </cell>
          <cell r="V32">
            <v>96141.361256944336</v>
          </cell>
          <cell r="W32">
            <v>110843.26505999999</v>
          </cell>
          <cell r="X32">
            <v>108755.41935267874</v>
          </cell>
          <cell r="Y32">
            <v>96141.361256944336</v>
          </cell>
          <cell r="Z32">
            <v>123383.86979999999</v>
          </cell>
          <cell r="AA32">
            <v>106993.70795557922</v>
          </cell>
          <cell r="AB32">
            <v>131748.26003999999</v>
          </cell>
          <cell r="AC32">
            <v>121496.66785258216</v>
          </cell>
          <cell r="AD32">
            <v>123390.69492000001</v>
          </cell>
          <cell r="AE32">
            <v>123383.86979999999</v>
          </cell>
        </row>
        <row r="35">
          <cell r="H35">
            <v>83.903387049840831</v>
          </cell>
          <cell r="I35">
            <v>80.53950719623262</v>
          </cell>
          <cell r="J35">
            <v>63.043031313397982</v>
          </cell>
          <cell r="K35">
            <v>0</v>
          </cell>
          <cell r="L35">
            <v>0</v>
          </cell>
          <cell r="M35">
            <v>0</v>
          </cell>
          <cell r="N35">
            <v>0</v>
          </cell>
          <cell r="O35">
            <v>0</v>
          </cell>
          <cell r="P35">
            <v>8.867724037987303E-3</v>
          </cell>
          <cell r="Q35">
            <v>41.951693524920415</v>
          </cell>
          <cell r="R35">
            <v>40.26975359811631</v>
          </cell>
          <cell r="S35">
            <v>31.521515656698991</v>
          </cell>
          <cell r="T35">
            <v>32.146215745735752</v>
          </cell>
          <cell r="U35">
            <v>28.780537412298258</v>
          </cell>
          <cell r="V35">
            <v>11.282586408642082</v>
          </cell>
          <cell r="W35">
            <v>66.753661461497956</v>
          </cell>
          <cell r="X35">
            <v>63.388175442173669</v>
          </cell>
          <cell r="Y35">
            <v>45.896351186799464</v>
          </cell>
          <cell r="Z35">
            <v>0</v>
          </cell>
          <cell r="AA35">
            <v>0</v>
          </cell>
          <cell r="AB35">
            <v>0</v>
          </cell>
          <cell r="AC35">
            <v>0</v>
          </cell>
          <cell r="AD35">
            <v>0</v>
          </cell>
          <cell r="AE35">
            <v>0</v>
          </cell>
        </row>
        <row r="38">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row>
        <row r="39">
          <cell r="H39">
            <v>0</v>
          </cell>
          <cell r="I39">
            <v>5376.6400540841942</v>
          </cell>
          <cell r="J39">
            <v>5377.7288134736682</v>
          </cell>
          <cell r="K39">
            <v>0</v>
          </cell>
          <cell r="L39">
            <v>5639.305501310334</v>
          </cell>
          <cell r="M39">
            <v>5636.9823003435431</v>
          </cell>
          <cell r="N39">
            <v>0</v>
          </cell>
          <cell r="O39">
            <v>8369.9800377636602</v>
          </cell>
          <cell r="P39">
            <v>8371.1539328756626</v>
          </cell>
          <cell r="Q39">
            <v>0</v>
          </cell>
          <cell r="R39">
            <v>2688.3200270420971</v>
          </cell>
          <cell r="S39">
            <v>2688.8644067368341</v>
          </cell>
          <cell r="T39">
            <v>0</v>
          </cell>
          <cell r="U39">
            <v>5378.1065889571255</v>
          </cell>
          <cell r="V39">
            <v>5376.7274291204703</v>
          </cell>
          <cell r="W39">
            <v>0</v>
          </cell>
          <cell r="X39">
            <v>5377.922816784735</v>
          </cell>
          <cell r="Y39">
            <v>5376.7274291204703</v>
          </cell>
          <cell r="Z39">
            <v>0</v>
          </cell>
          <cell r="AA39">
            <v>5636.9823003435431</v>
          </cell>
          <cell r="AB39">
            <v>0</v>
          </cell>
          <cell r="AC39">
            <v>8371.1539328756626</v>
          </cell>
          <cell r="AD39">
            <v>0</v>
          </cell>
          <cell r="AE39">
            <v>0</v>
          </cell>
        </row>
        <row r="40">
          <cell r="H40">
            <v>0</v>
          </cell>
          <cell r="I40">
            <v>5912.0969473099458</v>
          </cell>
          <cell r="J40">
            <v>5914.0382404673928</v>
          </cell>
          <cell r="K40">
            <v>0</v>
          </cell>
          <cell r="L40">
            <v>6126.9411420607921</v>
          </cell>
          <cell r="M40">
            <v>6124.3408337862202</v>
          </cell>
          <cell r="N40">
            <v>0</v>
          </cell>
          <cell r="O40">
            <v>10391.785764784701</v>
          </cell>
          <cell r="P40">
            <v>10393.438670947427</v>
          </cell>
          <cell r="Q40">
            <v>0</v>
          </cell>
          <cell r="R40">
            <v>2956.0484736549729</v>
          </cell>
          <cell r="S40">
            <v>2957.0191202336964</v>
          </cell>
          <cell r="T40">
            <v>0</v>
          </cell>
          <cell r="U40">
            <v>5914.2197072778399</v>
          </cell>
          <cell r="V40">
            <v>5912.6907451767947</v>
          </cell>
          <cell r="W40">
            <v>0</v>
          </cell>
          <cell r="X40">
            <v>5913.9728454521055</v>
          </cell>
          <cell r="Y40">
            <v>5912.6907451767947</v>
          </cell>
          <cell r="Z40">
            <v>0</v>
          </cell>
          <cell r="AA40">
            <v>6124.3408337862202</v>
          </cell>
          <cell r="AB40">
            <v>0</v>
          </cell>
          <cell r="AC40">
            <v>10393.438670947427</v>
          </cell>
          <cell r="AD40">
            <v>0</v>
          </cell>
          <cell r="AE40">
            <v>0</v>
          </cell>
        </row>
        <row r="41">
          <cell r="H41">
            <v>0</v>
          </cell>
          <cell r="I41">
            <v>3626.9317320966215</v>
          </cell>
          <cell r="J41">
            <v>3629.6326647050255</v>
          </cell>
          <cell r="K41">
            <v>0</v>
          </cell>
          <cell r="L41">
            <v>3608.6076641837635</v>
          </cell>
          <cell r="M41">
            <v>3606.9196155656837</v>
          </cell>
          <cell r="N41">
            <v>0</v>
          </cell>
          <cell r="O41">
            <v>8786.3910778847094</v>
          </cell>
          <cell r="P41">
            <v>8788.1399051177577</v>
          </cell>
          <cell r="Q41">
            <v>0</v>
          </cell>
          <cell r="R41">
            <v>1813.4658660483108</v>
          </cell>
          <cell r="S41">
            <v>1814.8163323525127</v>
          </cell>
          <cell r="T41">
            <v>0</v>
          </cell>
          <cell r="U41">
            <v>3629.2692790690535</v>
          </cell>
          <cell r="V41">
            <v>3628.3060275306048</v>
          </cell>
          <cell r="W41">
            <v>0</v>
          </cell>
          <cell r="X41">
            <v>3629.0269481426621</v>
          </cell>
          <cell r="Y41">
            <v>3628.3060275306048</v>
          </cell>
          <cell r="Z41">
            <v>0</v>
          </cell>
          <cell r="AA41">
            <v>3606.9196155656837</v>
          </cell>
          <cell r="AB41">
            <v>0</v>
          </cell>
          <cell r="AC41">
            <v>8788.1399051177577</v>
          </cell>
          <cell r="AD41">
            <v>0</v>
          </cell>
          <cell r="AE41">
            <v>0</v>
          </cell>
        </row>
        <row r="42">
          <cell r="H42">
            <v>0</v>
          </cell>
          <cell r="I42">
            <v>3475.0283836515264</v>
          </cell>
          <cell r="J42">
            <v>3479.9878801068858</v>
          </cell>
          <cell r="K42">
            <v>0</v>
          </cell>
          <cell r="L42">
            <v>3221.6754638207335</v>
          </cell>
          <cell r="M42">
            <v>3219.9123242609371</v>
          </cell>
          <cell r="N42">
            <v>0</v>
          </cell>
          <cell r="O42">
            <v>12205.686746169555</v>
          </cell>
          <cell r="P42">
            <v>12208.516460845105</v>
          </cell>
          <cell r="Q42">
            <v>0</v>
          </cell>
          <cell r="R42">
            <v>1737.5141918257632</v>
          </cell>
          <cell r="S42">
            <v>1739.9939400534429</v>
          </cell>
          <cell r="T42">
            <v>0</v>
          </cell>
          <cell r="U42">
            <v>3478.8941052805953</v>
          </cell>
          <cell r="V42">
            <v>3477.9315070876228</v>
          </cell>
          <cell r="W42">
            <v>0</v>
          </cell>
          <cell r="X42">
            <v>3478.5191713183358</v>
          </cell>
          <cell r="Y42">
            <v>3477.9315070876228</v>
          </cell>
          <cell r="Z42">
            <v>0</v>
          </cell>
          <cell r="AA42">
            <v>3219.9123242609371</v>
          </cell>
          <cell r="AB42">
            <v>0</v>
          </cell>
          <cell r="AC42">
            <v>12208.516460845105</v>
          </cell>
          <cell r="AD42">
            <v>0</v>
          </cell>
          <cell r="AE42">
            <v>0</v>
          </cell>
        </row>
        <row r="45">
          <cell r="H45">
            <v>0</v>
          </cell>
          <cell r="I45">
            <v>0</v>
          </cell>
          <cell r="J45">
            <v>1247.7545997759371</v>
          </cell>
          <cell r="K45">
            <v>0</v>
          </cell>
          <cell r="L45">
            <v>0</v>
          </cell>
          <cell r="M45">
            <v>1420.5308978394528</v>
          </cell>
          <cell r="N45">
            <v>0</v>
          </cell>
          <cell r="O45">
            <v>0</v>
          </cell>
          <cell r="P45">
            <v>545.75273259934829</v>
          </cell>
          <cell r="Q45">
            <v>0</v>
          </cell>
          <cell r="R45">
            <v>0</v>
          </cell>
          <cell r="S45">
            <v>623.87729988796855</v>
          </cell>
          <cell r="T45">
            <v>0</v>
          </cell>
          <cell r="U45">
            <v>0</v>
          </cell>
          <cell r="V45">
            <v>1247.9283724177214</v>
          </cell>
          <cell r="W45">
            <v>0</v>
          </cell>
          <cell r="X45">
            <v>0</v>
          </cell>
          <cell r="Y45">
            <v>1247.9283724177214</v>
          </cell>
          <cell r="Z45">
            <v>0</v>
          </cell>
          <cell r="AA45">
            <v>1420.5308978394528</v>
          </cell>
          <cell r="AB45">
            <v>0</v>
          </cell>
          <cell r="AC45">
            <v>545.75273259934829</v>
          </cell>
          <cell r="AD45">
            <v>0</v>
          </cell>
          <cell r="AE45">
            <v>0</v>
          </cell>
        </row>
        <row r="46">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row>
        <row r="48">
          <cell r="H48">
            <v>0</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row>
        <row r="49">
          <cell r="H49">
            <v>0</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row>
        <row r="50">
          <cell r="H50">
            <v>0</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row>
        <row r="51">
          <cell r="H51">
            <v>0</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0</v>
          </cell>
        </row>
        <row r="52">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row>
        <row r="53">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row>
        <row r="54">
          <cell r="H54">
            <v>0</v>
          </cell>
          <cell r="I54">
            <v>0</v>
          </cell>
          <cell r="J54">
            <v>303.88933462406294</v>
          </cell>
          <cell r="K54">
            <v>0</v>
          </cell>
          <cell r="L54">
            <v>0</v>
          </cell>
          <cell r="M54">
            <v>347.04011976054744</v>
          </cell>
          <cell r="N54">
            <v>0</v>
          </cell>
          <cell r="O54">
            <v>0</v>
          </cell>
          <cell r="P54">
            <v>124.33857620065169</v>
          </cell>
          <cell r="Q54">
            <v>0</v>
          </cell>
          <cell r="R54">
            <v>0</v>
          </cell>
          <cell r="S54">
            <v>151.94466731203147</v>
          </cell>
          <cell r="T54">
            <v>0</v>
          </cell>
          <cell r="U54">
            <v>0</v>
          </cell>
          <cell r="V54">
            <v>303.90978438227853</v>
          </cell>
          <cell r="W54">
            <v>0</v>
          </cell>
          <cell r="X54">
            <v>0</v>
          </cell>
          <cell r="Y54">
            <v>303.90978438227853</v>
          </cell>
          <cell r="Z54">
            <v>0</v>
          </cell>
          <cell r="AA54">
            <v>347.04011976054744</v>
          </cell>
          <cell r="AB54">
            <v>0</v>
          </cell>
          <cell r="AC54">
            <v>124.33857620065169</v>
          </cell>
          <cell r="AD54">
            <v>0</v>
          </cell>
          <cell r="AE54">
            <v>0</v>
          </cell>
        </row>
        <row r="55">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row>
        <row r="57">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row>
        <row r="59">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row>
        <row r="60">
          <cell r="H60">
            <v>0</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row>
        <row r="61">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row>
        <row r="62">
          <cell r="H62">
            <v>0</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0</v>
          </cell>
          <cell r="AD62">
            <v>0</v>
          </cell>
          <cell r="AE62">
            <v>0</v>
          </cell>
        </row>
        <row r="64">
          <cell r="H64">
            <v>0</v>
          </cell>
          <cell r="I64">
            <v>0</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row>
        <row r="72">
          <cell r="H72">
            <v>0.59835487499146323</v>
          </cell>
          <cell r="I72">
            <v>0.59593646966618596</v>
          </cell>
          <cell r="J72">
            <v>0.5937225971287976</v>
          </cell>
          <cell r="K72">
            <v>0.63725070680222007</v>
          </cell>
          <cell r="L72">
            <v>0.63471376714436778</v>
          </cell>
          <cell r="M72">
            <v>0.63323919095551306</v>
          </cell>
          <cell r="N72">
            <v>0.65858582455458647</v>
          </cell>
          <cell r="O72">
            <v>0.65341347519733195</v>
          </cell>
          <cell r="P72">
            <v>0.65276132950058707</v>
          </cell>
          <cell r="Q72">
            <v>0.59797318112460029</v>
          </cell>
          <cell r="R72">
            <v>0.59555631851338586</v>
          </cell>
          <cell r="S72">
            <v>0.5937225971287976</v>
          </cell>
          <cell r="T72">
            <v>0.59292055621443551</v>
          </cell>
          <cell r="U72">
            <v>0.59054478765212748</v>
          </cell>
          <cell r="V72">
            <v>0.58827174038666508</v>
          </cell>
          <cell r="W72">
            <v>0.59659025412449362</v>
          </cell>
          <cell r="X72">
            <v>0.59418513596141487</v>
          </cell>
          <cell r="Y72">
            <v>0.59189893116900671</v>
          </cell>
          <cell r="Z72">
            <v>0.63526327088210821</v>
          </cell>
          <cell r="AA72">
            <v>0.6318727250632421</v>
          </cell>
          <cell r="AB72">
            <v>0.65699303249408336</v>
          </cell>
          <cell r="AC72">
            <v>0.65139991153271037</v>
          </cell>
          <cell r="AD72">
            <v>0.63725070680222007</v>
          </cell>
          <cell r="AE72">
            <v>0.6586990606205485</v>
          </cell>
        </row>
        <row r="73">
          <cell r="H73">
            <v>0.7554738054281479</v>
          </cell>
          <cell r="I73">
            <v>0.75242036348170926</v>
          </cell>
          <cell r="J73">
            <v>0.74993956210270896</v>
          </cell>
          <cell r="K73">
            <v>0.80314502453275927</v>
          </cell>
          <cell r="L73">
            <v>0.79994764798692797</v>
          </cell>
          <cell r="M73">
            <v>0.79840617009735448</v>
          </cell>
          <cell r="N73">
            <v>0.83485015634390347</v>
          </cell>
          <cell r="O73">
            <v>0.82829347609271553</v>
          </cell>
          <cell r="P73">
            <v>0.82759139024131689</v>
          </cell>
          <cell r="Q73">
            <v>0.75499188453110222</v>
          </cell>
          <cell r="R73">
            <v>0.75194039039208105</v>
          </cell>
          <cell r="S73">
            <v>0.74993956210270896</v>
          </cell>
          <cell r="T73">
            <v>0.74861492512188477</v>
          </cell>
          <cell r="U73">
            <v>0.74561530605700643</v>
          </cell>
          <cell r="V73">
            <v>0.74305052450168863</v>
          </cell>
          <cell r="W73">
            <v>0.75324797252930242</v>
          </cell>
          <cell r="X73">
            <v>0.75021129808229647</v>
          </cell>
          <cell r="Y73">
            <v>0.74763205685868261</v>
          </cell>
          <cell r="Z73">
            <v>0.80063908131202577</v>
          </cell>
          <cell r="AA73">
            <v>0.79668329063063925</v>
          </cell>
          <cell r="AB73">
            <v>0.83283329475169865</v>
          </cell>
          <cell r="AC73">
            <v>0.82586534162627923</v>
          </cell>
          <cell r="AD73">
            <v>0.80314502453275927</v>
          </cell>
          <cell r="AE73">
            <v>0.83017582619568953</v>
          </cell>
        </row>
        <row r="74">
          <cell r="H74">
            <v>0</v>
          </cell>
          <cell r="I74">
            <v>0</v>
          </cell>
          <cell r="J74">
            <v>0</v>
          </cell>
          <cell r="K74">
            <v>0</v>
          </cell>
          <cell r="L74">
            <v>0</v>
          </cell>
          <cell r="M74">
            <v>0</v>
          </cell>
          <cell r="N74">
            <v>0</v>
          </cell>
          <cell r="O74">
            <v>0</v>
          </cell>
          <cell r="P74">
            <v>0</v>
          </cell>
          <cell r="Q74">
            <v>0</v>
          </cell>
          <cell r="R74">
            <v>0</v>
          </cell>
          <cell r="S74">
            <v>0</v>
          </cell>
          <cell r="T74">
            <v>4412.4156411278409</v>
          </cell>
          <cell r="U74">
            <v>4412.4156411278409</v>
          </cell>
          <cell r="V74">
            <v>4412.2013448472944</v>
          </cell>
          <cell r="W74">
            <v>1463.1481703683696</v>
          </cell>
          <cell r="X74">
            <v>1463.1481703683696</v>
          </cell>
          <cell r="Y74">
            <v>1463.0056097195093</v>
          </cell>
          <cell r="Z74">
            <v>2107.2868731735739</v>
          </cell>
          <cell r="AA74">
            <v>2110.6402091961331</v>
          </cell>
          <cell r="AB74">
            <v>1825.6657088074987</v>
          </cell>
          <cell r="AC74">
            <v>1825.6295535707495</v>
          </cell>
          <cell r="AD74">
            <v>0</v>
          </cell>
          <cell r="AE74">
            <v>0</v>
          </cell>
        </row>
        <row r="76">
          <cell r="H76">
            <v>126.12467810285577</v>
          </cell>
          <cell r="J76">
            <v>165.14036547812981</v>
          </cell>
          <cell r="K76">
            <v>118.71326125141633</v>
          </cell>
          <cell r="M76">
            <v>152.3430438920428</v>
          </cell>
          <cell r="N76">
            <v>105.59985551709036</v>
          </cell>
          <cell r="T76">
            <v>120.20742133036811</v>
          </cell>
          <cell r="V76">
            <v>160.52627627860784</v>
          </cell>
          <cell r="W76">
            <v>124.20960308939114</v>
          </cell>
          <cell r="Y76">
            <v>163.62746224938797</v>
          </cell>
          <cell r="Z76">
            <v>115.73257963818858</v>
          </cell>
          <cell r="AA76">
            <v>149.56453435765809</v>
          </cell>
          <cell r="AB76">
            <v>103.10743226468841</v>
          </cell>
          <cell r="AC76">
            <v>129.80760394032723</v>
          </cell>
          <cell r="AD76">
            <v>118.71326125141633</v>
          </cell>
          <cell r="AE76">
            <v>113.4340869882882</v>
          </cell>
        </row>
        <row r="85">
          <cell r="T85">
            <v>2308.4383598893678</v>
          </cell>
          <cell r="U85">
            <v>2308.4383598893678</v>
          </cell>
          <cell r="V85">
            <v>2308.4383598893678</v>
          </cell>
          <cell r="W85">
            <v>738.7</v>
          </cell>
          <cell r="X85">
            <v>738.7</v>
          </cell>
          <cell r="Y85">
            <v>738.7</v>
          </cell>
          <cell r="Z85">
            <v>2308.4383598893678</v>
          </cell>
          <cell r="AA85">
            <v>2308.4383598893678</v>
          </cell>
          <cell r="AB85">
            <v>2308.4383598893678</v>
          </cell>
          <cell r="AC85">
            <v>2308.4383598893678</v>
          </cell>
        </row>
        <row r="86">
          <cell r="T86">
            <v>115.62504307013214</v>
          </cell>
          <cell r="U86">
            <v>115.62504307013214</v>
          </cell>
          <cell r="V86">
            <v>115.62504307013214</v>
          </cell>
          <cell r="W86">
            <v>37</v>
          </cell>
          <cell r="X86">
            <v>37</v>
          </cell>
          <cell r="Y86">
            <v>37</v>
          </cell>
          <cell r="Z86">
            <v>115.62504307013214</v>
          </cell>
          <cell r="AA86">
            <v>115.62504307013214</v>
          </cell>
          <cell r="AB86">
            <v>115.62504307013214</v>
          </cell>
          <cell r="AC86">
            <v>115.62504307013214</v>
          </cell>
        </row>
        <row r="87">
          <cell r="T87">
            <v>234.37508730432191</v>
          </cell>
          <cell r="U87">
            <v>234.37508730432191</v>
          </cell>
          <cell r="V87">
            <v>234.37508730432191</v>
          </cell>
          <cell r="W87">
            <v>75</v>
          </cell>
          <cell r="X87">
            <v>75</v>
          </cell>
          <cell r="Y87">
            <v>75</v>
          </cell>
          <cell r="Z87">
            <v>234.37508730432191</v>
          </cell>
          <cell r="AA87">
            <v>234.37508730432191</v>
          </cell>
          <cell r="AB87">
            <v>234.37508730432191</v>
          </cell>
          <cell r="AC87">
            <v>234.37508730432191</v>
          </cell>
        </row>
        <row r="90">
          <cell r="T90">
            <v>0.336144560836933</v>
          </cell>
          <cell r="U90">
            <v>0.3308498440419923</v>
          </cell>
          <cell r="V90">
            <v>0.32639766242925539</v>
          </cell>
          <cell r="W90">
            <v>0.11426279064368566</v>
          </cell>
          <cell r="X90">
            <v>0.11241865739019138</v>
          </cell>
          <cell r="Y90">
            <v>0.11087173035662871</v>
          </cell>
          <cell r="Z90">
            <v>0.2064779554489142</v>
          </cell>
          <cell r="AA90">
            <v>0.2016954229146955</v>
          </cell>
          <cell r="AB90">
            <v>0.20514134383432789</v>
          </cell>
          <cell r="AC90">
            <v>0.19528187508476136</v>
          </cell>
        </row>
        <row r="96">
          <cell r="W96">
            <v>70.000026074890798</v>
          </cell>
        </row>
        <row r="97">
          <cell r="W97">
            <v>70.000026074890798</v>
          </cell>
        </row>
        <row r="98">
          <cell r="W98">
            <v>70.000026074890798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
      <sheetName val="Inputs"/>
      <sheetName val="Company overheads"/>
      <sheetName val="SourcesAndUses"/>
      <sheetName val="Portfolio Scenarios"/>
      <sheetName val="Portfolio"/>
      <sheetName val="Tel.DG"/>
      <sheetName val="Tel.BH"/>
      <sheetName val="Tel.BHPV"/>
      <sheetName val="Tel.PV"/>
      <sheetName val="Ent Power"/>
      <sheetName val="Comm Power"/>
      <sheetName val="Domestic Power"/>
      <sheetName val="Drip Feed"/>
      <sheetName val="Printouts"/>
      <sheetName val="Cumulative"/>
      <sheetName val="HoA"/>
    </sheetNames>
    <sheetDataSet>
      <sheetData sheetId="0" refreshError="1"/>
      <sheetData sheetId="1">
        <row r="5">
          <cell r="E5">
            <v>1</v>
          </cell>
          <cell r="F5">
            <v>2</v>
          </cell>
          <cell r="G5">
            <v>3</v>
          </cell>
          <cell r="H5">
            <v>4</v>
          </cell>
          <cell r="I5">
            <v>5</v>
          </cell>
          <cell r="J5">
            <v>6</v>
          </cell>
          <cell r="K5">
            <v>7</v>
          </cell>
          <cell r="L5">
            <v>8</v>
          </cell>
        </row>
        <row r="6">
          <cell r="C6" t="str">
            <v>Power system type</v>
          </cell>
          <cell r="D6" t="str">
            <v>type</v>
          </cell>
          <cell r="E6" t="str">
            <v>Diesel
Generator
System</v>
          </cell>
          <cell r="F6" t="str">
            <v>Battery
Hybrid
System</v>
          </cell>
          <cell r="G6" t="str">
            <v>Diesel+PV+
BatteryHybrid
System</v>
          </cell>
          <cell r="H6" t="str">
            <v>PV+Battery
System</v>
          </cell>
          <cell r="I6" t="str">
            <v>Enterprise
PV
System</v>
          </cell>
          <cell r="J6" t="str">
            <v>DFI
Power
System</v>
          </cell>
          <cell r="K6" t="str">
            <v>Home
PV
Systems</v>
          </cell>
          <cell r="L6" t="str">
            <v>Community
PV
Systems</v>
          </cell>
        </row>
        <row r="8">
          <cell r="C8" t="str">
            <v>Start year</v>
          </cell>
          <cell r="D8" t="str">
            <v>year</v>
          </cell>
          <cell r="E8">
            <v>1</v>
          </cell>
          <cell r="F8">
            <v>1</v>
          </cell>
          <cell r="G8">
            <v>1</v>
          </cell>
          <cell r="H8">
            <v>1</v>
          </cell>
          <cell r="I8">
            <v>1</v>
          </cell>
          <cell r="J8">
            <v>1</v>
          </cell>
          <cell r="K8">
            <v>1</v>
          </cell>
          <cell r="L8">
            <v>1</v>
          </cell>
        </row>
        <row r="9">
          <cell r="C9" t="str">
            <v>Financial evaluation</v>
          </cell>
          <cell r="D9" t="str">
            <v>years</v>
          </cell>
          <cell r="E9">
            <v>10</v>
          </cell>
          <cell r="F9">
            <v>10</v>
          </cell>
          <cell r="G9">
            <v>10</v>
          </cell>
          <cell r="H9">
            <v>10</v>
          </cell>
          <cell r="I9">
            <v>10</v>
          </cell>
          <cell r="J9">
            <v>10</v>
          </cell>
          <cell r="K9">
            <v>10</v>
          </cell>
          <cell r="L9">
            <v>10</v>
          </cell>
        </row>
        <row r="11">
          <cell r="C11" t="str">
            <v>Discount rate</v>
          </cell>
          <cell r="D11" t="str">
            <v>%</v>
          </cell>
          <cell r="E11">
            <v>0.15</v>
          </cell>
          <cell r="F11">
            <v>0.15</v>
          </cell>
          <cell r="G11">
            <v>0.15</v>
          </cell>
          <cell r="H11">
            <v>0.15</v>
          </cell>
          <cell r="I11">
            <v>0.15</v>
          </cell>
          <cell r="J11">
            <v>0.15</v>
          </cell>
          <cell r="K11">
            <v>0.15</v>
          </cell>
          <cell r="L11">
            <v>0.15</v>
          </cell>
        </row>
        <row r="12">
          <cell r="C12" t="str">
            <v>Tax rate</v>
          </cell>
          <cell r="D12" t="str">
            <v>%</v>
          </cell>
          <cell r="E12">
            <v>0.2</v>
          </cell>
          <cell r="F12">
            <v>0.2</v>
          </cell>
          <cell r="G12">
            <v>0.2</v>
          </cell>
          <cell r="H12">
            <v>0.2</v>
          </cell>
          <cell r="I12">
            <v>0.2</v>
          </cell>
          <cell r="J12">
            <v>0.2</v>
          </cell>
          <cell r="K12">
            <v>0.2</v>
          </cell>
          <cell r="L12">
            <v>0.2</v>
          </cell>
        </row>
        <row r="14">
          <cell r="C14" t="str">
            <v>Electricity price</v>
          </cell>
          <cell r="D14" t="str">
            <v>$/kWh</v>
          </cell>
          <cell r="E14">
            <v>4.8059912206657582</v>
          </cell>
          <cell r="F14">
            <v>3.85</v>
          </cell>
          <cell r="G14">
            <v>3.08</v>
          </cell>
          <cell r="H14">
            <v>3.08</v>
          </cell>
          <cell r="I14">
            <v>4.8059912206657582</v>
          </cell>
          <cell r="J14">
            <v>4.8059912206657582</v>
          </cell>
          <cell r="K14">
            <v>4.8059912206657582</v>
          </cell>
          <cell r="L14">
            <v>4.8059912206657582</v>
          </cell>
        </row>
        <row r="15">
          <cell r="C15" t="str">
            <v>Contract renewal</v>
          </cell>
          <cell r="D15" t="str">
            <v>year</v>
          </cell>
          <cell r="E15">
            <v>6</v>
          </cell>
          <cell r="F15">
            <v>6</v>
          </cell>
          <cell r="G15">
            <v>6</v>
          </cell>
          <cell r="H15">
            <v>6</v>
          </cell>
          <cell r="I15">
            <v>6</v>
          </cell>
          <cell r="J15">
            <v>6</v>
          </cell>
          <cell r="K15">
            <v>6</v>
          </cell>
          <cell r="L15">
            <v>6</v>
          </cell>
        </row>
        <row r="16">
          <cell r="C16" t="str">
            <v xml:space="preserve">Renewed contract discount </v>
          </cell>
          <cell r="D16" t="str">
            <v>%</v>
          </cell>
          <cell r="E16">
            <v>0.2</v>
          </cell>
          <cell r="F16">
            <v>0.2</v>
          </cell>
          <cell r="G16">
            <v>0.2</v>
          </cell>
          <cell r="H16">
            <v>0.2</v>
          </cell>
          <cell r="I16">
            <v>0.2</v>
          </cell>
          <cell r="J16">
            <v>0.2</v>
          </cell>
          <cell r="K16">
            <v>0.2</v>
          </cell>
          <cell r="L16">
            <v>0.2</v>
          </cell>
        </row>
        <row r="17">
          <cell r="C17" t="str">
            <v>Cost saving pass-though</v>
          </cell>
          <cell r="D17" t="str">
            <v>%</v>
          </cell>
          <cell r="G17">
            <v>0.2</v>
          </cell>
          <cell r="H17">
            <v>0.2</v>
          </cell>
        </row>
        <row r="18">
          <cell r="C18" t="str">
            <v>Depreciation cycle</v>
          </cell>
          <cell r="D18" t="str">
            <v>years</v>
          </cell>
          <cell r="E18">
            <v>10</v>
          </cell>
          <cell r="F18">
            <v>10</v>
          </cell>
          <cell r="G18">
            <v>10</v>
          </cell>
          <cell r="H18">
            <v>10</v>
          </cell>
          <cell r="I18">
            <v>10</v>
          </cell>
          <cell r="J18">
            <v>10</v>
          </cell>
          <cell r="K18">
            <v>2</v>
          </cell>
          <cell r="L18">
            <v>10</v>
          </cell>
        </row>
        <row r="19">
          <cell r="C19" t="str">
            <v>Margin on shipping, handling, warehousing</v>
          </cell>
          <cell r="D19" t="str">
            <v>%</v>
          </cell>
          <cell r="E19">
            <v>0.15</v>
          </cell>
          <cell r="F19">
            <v>0.15</v>
          </cell>
          <cell r="G19">
            <v>0.15</v>
          </cell>
          <cell r="H19">
            <v>0.15</v>
          </cell>
          <cell r="I19">
            <v>0.15</v>
          </cell>
          <cell r="J19">
            <v>0.15</v>
          </cell>
          <cell r="K19">
            <v>0.15</v>
          </cell>
          <cell r="L19">
            <v>0.15</v>
          </cell>
        </row>
        <row r="20">
          <cell r="C20" t="str">
            <v>Margin on installation</v>
          </cell>
          <cell r="D20" t="str">
            <v>%</v>
          </cell>
          <cell r="E20">
            <v>0.2</v>
          </cell>
          <cell r="F20">
            <v>0.2</v>
          </cell>
          <cell r="G20">
            <v>0.2</v>
          </cell>
          <cell r="H20">
            <v>0.2</v>
          </cell>
          <cell r="I20">
            <v>0.2</v>
          </cell>
          <cell r="J20">
            <v>0.2</v>
          </cell>
          <cell r="K20">
            <v>0.2</v>
          </cell>
          <cell r="L20">
            <v>0.2</v>
          </cell>
        </row>
        <row r="21">
          <cell r="C21" t="str">
            <v>Margin on maintenance</v>
          </cell>
          <cell r="D21" t="str">
            <v>%</v>
          </cell>
          <cell r="E21">
            <v>0.12</v>
          </cell>
          <cell r="F21">
            <v>0.12</v>
          </cell>
          <cell r="G21">
            <v>0.12</v>
          </cell>
          <cell r="H21">
            <v>0.12</v>
          </cell>
          <cell r="I21">
            <v>0.12</v>
          </cell>
          <cell r="J21">
            <v>0.12</v>
          </cell>
          <cell r="K21">
            <v>0.12</v>
          </cell>
          <cell r="L21">
            <v>0.12</v>
          </cell>
        </row>
        <row r="23">
          <cell r="C23" t="str">
            <v>Peak power at site</v>
          </cell>
          <cell r="D23" t="str">
            <v>kW</v>
          </cell>
          <cell r="E23">
            <v>1.5</v>
          </cell>
          <cell r="F23">
            <v>1.5</v>
          </cell>
          <cell r="G23">
            <v>1.5</v>
          </cell>
          <cell r="H23">
            <v>1.5</v>
          </cell>
          <cell r="I23">
            <v>0.8</v>
          </cell>
          <cell r="J23">
            <v>1</v>
          </cell>
          <cell r="L23">
            <v>2</v>
          </cell>
        </row>
        <row r="24">
          <cell r="C24" t="str">
            <v>Diesel consumption at Idle</v>
          </cell>
          <cell r="D24" t="str">
            <v>litre/hours</v>
          </cell>
          <cell r="E24">
            <v>1.9</v>
          </cell>
          <cell r="F24">
            <v>1.9</v>
          </cell>
          <cell r="G24">
            <v>1.9</v>
          </cell>
        </row>
        <row r="25">
          <cell r="C25" t="str">
            <v>Diesel consumption at 6kW AC / 5kW DC</v>
          </cell>
          <cell r="D25" t="str">
            <v>litre/hours</v>
          </cell>
          <cell r="E25">
            <v>3.3</v>
          </cell>
          <cell r="F25">
            <v>3.3</v>
          </cell>
          <cell r="G25">
            <v>3.3</v>
          </cell>
        </row>
        <row r="26">
          <cell r="C26" t="str">
            <v>Fuel theft</v>
          </cell>
          <cell r="D26" t="str">
            <v>%</v>
          </cell>
          <cell r="E26">
            <v>0.18</v>
          </cell>
          <cell r="F26">
            <v>0.18</v>
          </cell>
          <cell r="G26">
            <v>0.18</v>
          </cell>
        </row>
        <row r="27">
          <cell r="C27" t="str">
            <v>PV power output</v>
          </cell>
          <cell r="D27" t="str">
            <v>%</v>
          </cell>
          <cell r="E27">
            <v>0</v>
          </cell>
          <cell r="F27">
            <v>0</v>
          </cell>
          <cell r="G27">
            <v>0.5</v>
          </cell>
          <cell r="H27">
            <v>1</v>
          </cell>
          <cell r="I27">
            <v>1</v>
          </cell>
          <cell r="J27">
            <v>1</v>
          </cell>
          <cell r="K27">
            <v>1</v>
          </cell>
          <cell r="L27">
            <v>1</v>
          </cell>
        </row>
        <row r="30">
          <cell r="C30" t="str">
            <v>DG</v>
          </cell>
          <cell r="D30" t="str">
            <v>USD</v>
          </cell>
          <cell r="E30">
            <v>9000</v>
          </cell>
          <cell r="F30">
            <v>9000</v>
          </cell>
          <cell r="G30">
            <v>9000</v>
          </cell>
        </row>
        <row r="31">
          <cell r="C31" t="str">
            <v>Cost of  Rectifier Unit (outdoor ATS panel + accessories &amp; cable)</v>
          </cell>
          <cell r="D31" t="str">
            <v>USD</v>
          </cell>
          <cell r="E31">
            <v>5000</v>
          </cell>
          <cell r="F31">
            <v>5000</v>
          </cell>
          <cell r="G31">
            <v>5000</v>
          </cell>
        </row>
        <row r="32">
          <cell r="C32" t="str">
            <v>PV panel unit cost</v>
          </cell>
          <cell r="D32" t="str">
            <v>USD</v>
          </cell>
          <cell r="G32">
            <v>198.44</v>
          </cell>
          <cell r="H32">
            <v>198.44</v>
          </cell>
          <cell r="I32">
            <v>198.44</v>
          </cell>
          <cell r="J32">
            <v>198.44</v>
          </cell>
          <cell r="L32">
            <v>198.44</v>
          </cell>
        </row>
        <row r="33">
          <cell r="C33" t="str">
            <v>PV panels</v>
          </cell>
          <cell r="D33" t="str">
            <v>#</v>
          </cell>
          <cell r="G33">
            <v>24</v>
          </cell>
          <cell r="H33">
            <v>48</v>
          </cell>
          <cell r="I33">
            <v>6.4</v>
          </cell>
          <cell r="J33">
            <v>32</v>
          </cell>
          <cell r="L33">
            <v>12.8</v>
          </cell>
        </row>
        <row r="34">
          <cell r="C34" t="str">
            <v>Assumed sunshine hours at site</v>
          </cell>
          <cell r="D34" t="str">
            <v>hours</v>
          </cell>
          <cell r="G34">
            <v>3</v>
          </cell>
          <cell r="H34">
            <v>3</v>
          </cell>
          <cell r="I34">
            <v>5</v>
          </cell>
          <cell r="J34">
            <v>3</v>
          </cell>
          <cell r="L34">
            <v>5</v>
          </cell>
        </row>
        <row r="35">
          <cell r="C35" t="str">
            <v>PV panels total</v>
          </cell>
          <cell r="D35" t="str">
            <v xml:space="preserve">USD </v>
          </cell>
          <cell r="G35">
            <v>4762.5599999999995</v>
          </cell>
          <cell r="H35">
            <v>9525.119999999999</v>
          </cell>
          <cell r="I35">
            <v>1270.0160000000001</v>
          </cell>
          <cell r="J35">
            <v>6350.08</v>
          </cell>
          <cell r="L35">
            <v>2540.0320000000002</v>
          </cell>
        </row>
        <row r="36">
          <cell r="C36" t="str">
            <v>PV mounting</v>
          </cell>
          <cell r="D36" t="str">
            <v>USD/m2</v>
          </cell>
          <cell r="G36">
            <v>180</v>
          </cell>
          <cell r="H36">
            <v>180</v>
          </cell>
          <cell r="I36">
            <v>180</v>
          </cell>
          <cell r="J36">
            <v>180</v>
          </cell>
          <cell r="L36">
            <v>180</v>
          </cell>
        </row>
        <row r="37">
          <cell r="C37" t="str">
            <v>PV mounting area</v>
          </cell>
          <cell r="D37" t="str">
            <v>m2</v>
          </cell>
          <cell r="G37">
            <v>38.400000000000006</v>
          </cell>
          <cell r="H37">
            <v>76.800000000000011</v>
          </cell>
          <cell r="I37">
            <v>10.240000000000002</v>
          </cell>
          <cell r="J37">
            <v>51.2</v>
          </cell>
          <cell r="L37">
            <v>20.480000000000004</v>
          </cell>
        </row>
        <row r="38">
          <cell r="C38" t="str">
            <v>PV mounting security</v>
          </cell>
          <cell r="D38" t="str">
            <v>USD/kW</v>
          </cell>
          <cell r="G38">
            <v>1500</v>
          </cell>
          <cell r="H38">
            <v>1500</v>
          </cell>
          <cell r="J38">
            <v>1500</v>
          </cell>
        </row>
        <row r="39">
          <cell r="C39" t="str">
            <v>PV mounting total</v>
          </cell>
          <cell r="D39" t="str">
            <v>USD</v>
          </cell>
          <cell r="G39">
            <v>1750</v>
          </cell>
          <cell r="H39">
            <v>3500</v>
          </cell>
          <cell r="I39">
            <v>466.66666666666669</v>
          </cell>
          <cell r="J39">
            <v>2333.333333333333</v>
          </cell>
          <cell r="L39">
            <v>933.33333333333337</v>
          </cell>
        </row>
        <row r="40">
          <cell r="C40" t="str">
            <v>PV control unit cost</v>
          </cell>
          <cell r="D40" t="str">
            <v>USD per 250W</v>
          </cell>
          <cell r="G40">
            <v>547</v>
          </cell>
          <cell r="H40">
            <v>285</v>
          </cell>
          <cell r="I40">
            <v>100</v>
          </cell>
          <cell r="J40">
            <v>100</v>
          </cell>
          <cell r="L40">
            <v>100</v>
          </cell>
        </row>
        <row r="41">
          <cell r="C41" t="str">
            <v>PV control unit total</v>
          </cell>
          <cell r="D41" t="str">
            <v>USD</v>
          </cell>
          <cell r="G41">
            <v>1140</v>
          </cell>
          <cell r="H41">
            <v>2280</v>
          </cell>
          <cell r="I41">
            <v>304</v>
          </cell>
          <cell r="J41">
            <v>0</v>
          </cell>
          <cell r="L41">
            <v>608</v>
          </cell>
        </row>
        <row r="42">
          <cell r="C42" t="str">
            <v>Power control unit</v>
          </cell>
          <cell r="D42" t="str">
            <v>USD</v>
          </cell>
          <cell r="F42">
            <v>2500</v>
          </cell>
          <cell r="G42">
            <v>2500</v>
          </cell>
          <cell r="H42">
            <v>3763</v>
          </cell>
          <cell r="I42">
            <v>500</v>
          </cell>
          <cell r="J42">
            <v>3763</v>
          </cell>
          <cell r="L42">
            <v>500</v>
          </cell>
        </row>
        <row r="43">
          <cell r="C43" t="str">
            <v>Battery automation</v>
          </cell>
          <cell r="D43" t="str">
            <v>hours</v>
          </cell>
          <cell r="E43">
            <v>12</v>
          </cell>
          <cell r="F43">
            <v>18</v>
          </cell>
          <cell r="G43">
            <v>24</v>
          </cell>
          <cell r="H43">
            <v>60</v>
          </cell>
          <cell r="I43">
            <v>12</v>
          </cell>
          <cell r="L43">
            <v>8</v>
          </cell>
        </row>
        <row r="44">
          <cell r="C44" t="str">
            <v>Battery unit price</v>
          </cell>
          <cell r="D44" t="str">
            <v>USD/kWh</v>
          </cell>
          <cell r="E44">
            <v>275</v>
          </cell>
          <cell r="F44">
            <v>275</v>
          </cell>
          <cell r="G44">
            <v>275</v>
          </cell>
          <cell r="H44">
            <v>150</v>
          </cell>
          <cell r="I44">
            <v>150</v>
          </cell>
          <cell r="L44">
            <v>150</v>
          </cell>
        </row>
        <row r="45">
          <cell r="C45" t="str">
            <v>Battery system</v>
          </cell>
          <cell r="D45" t="str">
            <v>USD</v>
          </cell>
          <cell r="E45">
            <v>4950</v>
          </cell>
          <cell r="F45">
            <v>7425</v>
          </cell>
          <cell r="G45">
            <v>9900</v>
          </cell>
          <cell r="H45">
            <v>13500</v>
          </cell>
          <cell r="I45">
            <v>1440.0000000000002</v>
          </cell>
          <cell r="L45">
            <v>2400</v>
          </cell>
        </row>
        <row r="46">
          <cell r="C46" t="str">
            <v>Cabinets</v>
          </cell>
          <cell r="D46" t="str">
            <v>USD</v>
          </cell>
          <cell r="E46">
            <v>2800</v>
          </cell>
          <cell r="F46">
            <v>2800</v>
          </cell>
          <cell r="G46">
            <v>5600</v>
          </cell>
          <cell r="H46">
            <v>5000</v>
          </cell>
          <cell r="I46">
            <v>0</v>
          </cell>
          <cell r="L46">
            <v>0</v>
          </cell>
        </row>
        <row r="47">
          <cell r="C47" t="str">
            <v>Cabling</v>
          </cell>
          <cell r="D47" t="str">
            <v>USD</v>
          </cell>
          <cell r="E47">
            <v>300</v>
          </cell>
          <cell r="F47">
            <v>500</v>
          </cell>
          <cell r="G47">
            <v>500</v>
          </cell>
          <cell r="H47">
            <v>500</v>
          </cell>
          <cell r="I47">
            <v>0</v>
          </cell>
          <cell r="L47">
            <v>0</v>
          </cell>
        </row>
        <row r="48">
          <cell r="C48" t="str">
            <v>Cost of fuel tank, fuel monitor, pipes, valves, etc</v>
          </cell>
          <cell r="D48" t="str">
            <v>USD</v>
          </cell>
          <cell r="E48">
            <v>3200</v>
          </cell>
          <cell r="F48">
            <v>3200</v>
          </cell>
          <cell r="G48">
            <v>3200</v>
          </cell>
        </row>
        <row r="49">
          <cell r="C49" t="str">
            <v>Civils</v>
          </cell>
          <cell r="D49" t="str">
            <v>USD</v>
          </cell>
          <cell r="E49">
            <v>3000</v>
          </cell>
          <cell r="F49">
            <v>3000</v>
          </cell>
          <cell r="G49">
            <v>9000</v>
          </cell>
          <cell r="H49">
            <v>12000</v>
          </cell>
          <cell r="I49">
            <v>0</v>
          </cell>
          <cell r="L49">
            <v>-3749</v>
          </cell>
        </row>
        <row r="50">
          <cell r="C50" t="str">
            <v>Community power system integration</v>
          </cell>
          <cell r="D50" t="str">
            <v>USD</v>
          </cell>
          <cell r="L50">
            <v>4429</v>
          </cell>
        </row>
        <row r="52">
          <cell r="C52" t="str">
            <v>Installation project management</v>
          </cell>
          <cell r="D52" t="str">
            <v>USD</v>
          </cell>
          <cell r="E52">
            <v>2000</v>
          </cell>
          <cell r="F52">
            <v>2000</v>
          </cell>
          <cell r="G52">
            <v>2000</v>
          </cell>
          <cell r="H52">
            <v>2000</v>
          </cell>
          <cell r="I52">
            <v>100</v>
          </cell>
          <cell r="J52">
            <v>50</v>
          </cell>
          <cell r="L52">
            <v>200</v>
          </cell>
        </row>
        <row r="53">
          <cell r="C53" t="str">
            <v>Installation logistics &amp; warehousing</v>
          </cell>
          <cell r="D53" t="str">
            <v>USD</v>
          </cell>
          <cell r="E53">
            <v>500</v>
          </cell>
          <cell r="F53">
            <v>500</v>
          </cell>
          <cell r="G53">
            <v>500</v>
          </cell>
          <cell r="H53">
            <v>500</v>
          </cell>
          <cell r="I53">
            <v>0</v>
          </cell>
          <cell r="J53">
            <v>0</v>
          </cell>
          <cell r="L53">
            <v>0</v>
          </cell>
        </row>
        <row r="54">
          <cell r="C54" t="str">
            <v>Installation civils</v>
          </cell>
          <cell r="D54" t="str">
            <v>USD</v>
          </cell>
          <cell r="E54">
            <v>600</v>
          </cell>
          <cell r="F54">
            <v>600</v>
          </cell>
          <cell r="G54">
            <v>1000</v>
          </cell>
          <cell r="H54">
            <v>1000</v>
          </cell>
          <cell r="I54">
            <v>0</v>
          </cell>
          <cell r="J54">
            <v>0</v>
          </cell>
          <cell r="L54">
            <v>0</v>
          </cell>
        </row>
        <row r="55">
          <cell r="C55" t="str">
            <v>Installation mechanical</v>
          </cell>
          <cell r="D55" t="str">
            <v>USD</v>
          </cell>
          <cell r="E55">
            <v>1000</v>
          </cell>
          <cell r="F55">
            <v>1000</v>
          </cell>
          <cell r="G55">
            <v>400</v>
          </cell>
          <cell r="H55">
            <v>400</v>
          </cell>
          <cell r="I55">
            <v>100</v>
          </cell>
          <cell r="J55">
            <v>50</v>
          </cell>
          <cell r="L55">
            <v>200</v>
          </cell>
        </row>
        <row r="56">
          <cell r="C56" t="str">
            <v>Installation electrical</v>
          </cell>
          <cell r="D56" t="str">
            <v>USD</v>
          </cell>
          <cell r="E56">
            <v>400</v>
          </cell>
          <cell r="F56">
            <v>600</v>
          </cell>
          <cell r="G56">
            <v>600</v>
          </cell>
          <cell r="H56">
            <v>600</v>
          </cell>
          <cell r="I56">
            <v>100</v>
          </cell>
          <cell r="J56">
            <v>50</v>
          </cell>
          <cell r="L56">
            <v>200</v>
          </cell>
        </row>
        <row r="57">
          <cell r="C57" t="str">
            <v>Installation certification &amp; safety</v>
          </cell>
          <cell r="D57" t="str">
            <v>USD</v>
          </cell>
          <cell r="E57">
            <v>1500</v>
          </cell>
          <cell r="F57">
            <v>1500</v>
          </cell>
          <cell r="G57">
            <v>1125</v>
          </cell>
          <cell r="H57">
            <v>750</v>
          </cell>
          <cell r="I57">
            <v>0</v>
          </cell>
          <cell r="J57">
            <v>0</v>
          </cell>
          <cell r="L57">
            <v>0</v>
          </cell>
        </row>
        <row r="58">
          <cell r="C58" t="str">
            <v>Installation commissioning - electrical</v>
          </cell>
          <cell r="D58" t="str">
            <v>USD</v>
          </cell>
          <cell r="E58">
            <v>400</v>
          </cell>
          <cell r="F58">
            <v>400</v>
          </cell>
          <cell r="G58">
            <v>400</v>
          </cell>
          <cell r="H58">
            <v>400</v>
          </cell>
          <cell r="I58">
            <v>0</v>
          </cell>
          <cell r="J58">
            <v>0</v>
          </cell>
          <cell r="L58">
            <v>0</v>
          </cell>
        </row>
        <row r="59">
          <cell r="C59" t="str">
            <v>Installation commissioning - RF</v>
          </cell>
          <cell r="D59" t="str">
            <v>USD</v>
          </cell>
          <cell r="E59">
            <v>0</v>
          </cell>
          <cell r="F59">
            <v>0</v>
          </cell>
          <cell r="G59">
            <v>0</v>
          </cell>
          <cell r="H59">
            <v>0</v>
          </cell>
          <cell r="I59">
            <v>0</v>
          </cell>
          <cell r="J59">
            <v>0</v>
          </cell>
          <cell r="L59">
            <v>0</v>
          </cell>
        </row>
        <row r="60">
          <cell r="E60" t="str">
            <v>----------------</v>
          </cell>
          <cell r="F60" t="str">
            <v>----------------</v>
          </cell>
          <cell r="G60" t="str">
            <v>----------------</v>
          </cell>
          <cell r="H60" t="str">
            <v>----------------</v>
          </cell>
          <cell r="I60" t="str">
            <v>----------------</v>
          </cell>
          <cell r="J60" t="str">
            <v>----------------</v>
          </cell>
          <cell r="K60" t="str">
            <v>----------------</v>
          </cell>
          <cell r="L60" t="str">
            <v>----------------</v>
          </cell>
        </row>
        <row r="61">
          <cell r="C61" t="str">
            <v>Power system capex</v>
          </cell>
          <cell r="D61" t="str">
            <v>USD</v>
          </cell>
          <cell r="E61">
            <v>39717.5</v>
          </cell>
          <cell r="F61">
            <v>45908.75</v>
          </cell>
          <cell r="G61">
            <v>66085.443999999989</v>
          </cell>
          <cell r="H61">
            <v>62558.337999999989</v>
          </cell>
          <cell r="I61">
            <v>4937.7850666666664</v>
          </cell>
          <cell r="J61">
            <v>14493.375333333333</v>
          </cell>
          <cell r="K61">
            <v>0</v>
          </cell>
          <cell r="L61">
            <v>4999.5701333333327</v>
          </cell>
        </row>
        <row r="63">
          <cell r="C63" t="str">
            <v>Battery replacement interval</v>
          </cell>
          <cell r="D63" t="str">
            <v>years</v>
          </cell>
          <cell r="E63">
            <v>5</v>
          </cell>
          <cell r="F63">
            <v>5</v>
          </cell>
          <cell r="G63">
            <v>5</v>
          </cell>
          <cell r="H63">
            <v>5</v>
          </cell>
        </row>
        <row r="64">
          <cell r="C64" t="str">
            <v>Battery replacement cost</v>
          </cell>
          <cell r="D64" t="str">
            <v>USD</v>
          </cell>
          <cell r="E64">
            <v>5692.5</v>
          </cell>
          <cell r="F64">
            <v>8538.75</v>
          </cell>
          <cell r="G64">
            <v>11385</v>
          </cell>
          <cell r="H64">
            <v>15524.999999999998</v>
          </cell>
        </row>
        <row r="65">
          <cell r="C65" t="str">
            <v>Battery replacement installation cost</v>
          </cell>
          <cell r="D65" t="str">
            <v>USD</v>
          </cell>
          <cell r="E65">
            <v>480</v>
          </cell>
          <cell r="F65">
            <v>480</v>
          </cell>
          <cell r="G65">
            <v>720</v>
          </cell>
          <cell r="H65">
            <v>960</v>
          </cell>
        </row>
        <row r="67">
          <cell r="C67" t="str">
            <v>DG replacement interval</v>
          </cell>
          <cell r="D67" t="str">
            <v>years</v>
          </cell>
          <cell r="E67">
            <v>2</v>
          </cell>
          <cell r="F67">
            <v>6</v>
          </cell>
          <cell r="G67">
            <v>6</v>
          </cell>
        </row>
        <row r="68">
          <cell r="C68" t="str">
            <v>Diesel generator</v>
          </cell>
          <cell r="D68" t="str">
            <v>USD</v>
          </cell>
          <cell r="E68">
            <v>10350</v>
          </cell>
          <cell r="F68">
            <v>10350</v>
          </cell>
          <cell r="G68">
            <v>10350</v>
          </cell>
        </row>
        <row r="69">
          <cell r="C69" t="str">
            <v>Mechanicals</v>
          </cell>
          <cell r="D69" t="str">
            <v>USD</v>
          </cell>
          <cell r="E69">
            <v>1200</v>
          </cell>
          <cell r="F69">
            <v>1200</v>
          </cell>
          <cell r="G69">
            <v>480</v>
          </cell>
        </row>
        <row r="70">
          <cell r="C70" t="str">
            <v>Electricals &amp; test</v>
          </cell>
          <cell r="D70" t="str">
            <v>USD</v>
          </cell>
          <cell r="E70">
            <v>480</v>
          </cell>
          <cell r="F70">
            <v>720</v>
          </cell>
          <cell r="G70">
            <v>720</v>
          </cell>
        </row>
        <row r="72">
          <cell r="C72" t="str">
            <v>Generator oil change interval</v>
          </cell>
          <cell r="D72" t="str">
            <v>hours</v>
          </cell>
          <cell r="E72">
            <v>730</v>
          </cell>
          <cell r="F72">
            <v>730</v>
          </cell>
          <cell r="G72">
            <v>730</v>
          </cell>
        </row>
        <row r="73">
          <cell r="C73" t="str">
            <v>Generator oil change</v>
          </cell>
          <cell r="D73" t="str">
            <v>USD</v>
          </cell>
          <cell r="E73">
            <v>250</v>
          </cell>
          <cell r="F73">
            <v>250</v>
          </cell>
          <cell r="G73">
            <v>250</v>
          </cell>
        </row>
        <row r="74">
          <cell r="C74" t="str">
            <v>Generator filter change interval</v>
          </cell>
          <cell r="D74" t="str">
            <v>hours</v>
          </cell>
          <cell r="E74">
            <v>2190</v>
          </cell>
          <cell r="F74">
            <v>2190</v>
          </cell>
          <cell r="G74">
            <v>2190</v>
          </cell>
        </row>
        <row r="75">
          <cell r="C75" t="str">
            <v>Generator filter change</v>
          </cell>
          <cell r="D75" t="str">
            <v>USD</v>
          </cell>
          <cell r="E75">
            <v>500</v>
          </cell>
          <cell r="F75">
            <v>500</v>
          </cell>
          <cell r="G75">
            <v>500</v>
          </cell>
        </row>
        <row r="76">
          <cell r="C76" t="str">
            <v>Battery maintenance interval</v>
          </cell>
          <cell r="D76" t="str">
            <v>hours</v>
          </cell>
          <cell r="E76">
            <v>2190</v>
          </cell>
          <cell r="F76">
            <v>2190</v>
          </cell>
          <cell r="G76">
            <v>2190</v>
          </cell>
          <cell r="H76">
            <v>2190</v>
          </cell>
          <cell r="I76">
            <v>2190</v>
          </cell>
          <cell r="L76">
            <v>2190</v>
          </cell>
        </row>
        <row r="77">
          <cell r="C77" t="str">
            <v>Battery maintenance</v>
          </cell>
          <cell r="D77" t="str">
            <v>USD</v>
          </cell>
          <cell r="E77">
            <v>100</v>
          </cell>
          <cell r="F77">
            <v>150</v>
          </cell>
          <cell r="G77">
            <v>200</v>
          </cell>
          <cell r="H77">
            <v>300</v>
          </cell>
          <cell r="I77">
            <v>50</v>
          </cell>
          <cell r="L77">
            <v>100</v>
          </cell>
        </row>
        <row r="78">
          <cell r="C78" t="str">
            <v>PV maintenance interval</v>
          </cell>
          <cell r="D78" t="str">
            <v>hours</v>
          </cell>
          <cell r="G78">
            <v>2190</v>
          </cell>
          <cell r="H78">
            <v>2190</v>
          </cell>
          <cell r="I78">
            <v>2190</v>
          </cell>
          <cell r="L78">
            <v>2190</v>
          </cell>
        </row>
        <row r="79">
          <cell r="C79" t="str">
            <v>PV maintenance</v>
          </cell>
          <cell r="D79" t="str">
            <v>USD</v>
          </cell>
          <cell r="G79">
            <v>200</v>
          </cell>
          <cell r="H79">
            <v>200</v>
          </cell>
          <cell r="I79">
            <v>50</v>
          </cell>
          <cell r="L79">
            <v>100</v>
          </cell>
        </row>
        <row r="80">
          <cell r="C80" t="str">
            <v>Tower inspection &amp; maintenance interval</v>
          </cell>
          <cell r="D80" t="str">
            <v>hours</v>
          </cell>
        </row>
        <row r="81">
          <cell r="C81" t="str">
            <v>Tower inspection &amp; maintenance</v>
          </cell>
          <cell r="D81" t="str">
            <v>USD</v>
          </cell>
        </row>
        <row r="82">
          <cell r="C82" t="str">
            <v>Air conditioning maintenance interval</v>
          </cell>
          <cell r="D82" t="str">
            <v>hours</v>
          </cell>
          <cell r="E82">
            <v>4380</v>
          </cell>
          <cell r="F82">
            <v>4380</v>
          </cell>
          <cell r="G82">
            <v>4380</v>
          </cell>
        </row>
        <row r="83">
          <cell r="C83" t="str">
            <v xml:space="preserve">Air conditioning maintenance </v>
          </cell>
          <cell r="D83" t="str">
            <v>USD</v>
          </cell>
          <cell r="E83">
            <v>225</v>
          </cell>
          <cell r="F83">
            <v>225</v>
          </cell>
          <cell r="G83">
            <v>225</v>
          </cell>
        </row>
        <row r="84">
          <cell r="C84" t="str">
            <v>Antenna &amp; feeder maintenance interval</v>
          </cell>
          <cell r="D84" t="str">
            <v>hours</v>
          </cell>
        </row>
        <row r="85">
          <cell r="C85" t="str">
            <v>Antenna &amp; feeder maintenance</v>
          </cell>
          <cell r="D85" t="str">
            <v>USD</v>
          </cell>
        </row>
        <row r="86">
          <cell r="C86" t="str">
            <v>Fire suppression maintenance &amp; test interval</v>
          </cell>
          <cell r="D86" t="str">
            <v>hours</v>
          </cell>
        </row>
        <row r="87">
          <cell r="C87" t="str">
            <v>Fire suppression maintenance &amp; test</v>
          </cell>
          <cell r="D87" t="str">
            <v>USD</v>
          </cell>
        </row>
        <row r="88">
          <cell r="C88" t="str">
            <v>Shelter and environment cleaning interval</v>
          </cell>
          <cell r="D88" t="str">
            <v>hours</v>
          </cell>
        </row>
        <row r="89">
          <cell r="C89" t="str">
            <v>Shelter and environment cleaning</v>
          </cell>
          <cell r="D89" t="str">
            <v>USD</v>
          </cell>
        </row>
        <row r="90">
          <cell r="C90" t="str">
            <v>Earthing inspection interval</v>
          </cell>
          <cell r="D90" t="str">
            <v>hours</v>
          </cell>
          <cell r="E90">
            <v>2190</v>
          </cell>
          <cell r="F90">
            <v>2190</v>
          </cell>
          <cell r="G90">
            <v>2190</v>
          </cell>
          <cell r="H90">
            <v>2190</v>
          </cell>
        </row>
        <row r="91">
          <cell r="C91" t="str">
            <v>Earthing inspection</v>
          </cell>
          <cell r="D91" t="str">
            <v>USD</v>
          </cell>
          <cell r="E91">
            <v>100</v>
          </cell>
          <cell r="F91">
            <v>100</v>
          </cell>
          <cell r="G91">
            <v>100</v>
          </cell>
          <cell r="H91">
            <v>100</v>
          </cell>
        </row>
        <row r="92">
          <cell r="C92" t="str">
            <v>Replacement of consumables interval</v>
          </cell>
          <cell r="D92" t="str">
            <v>hours</v>
          </cell>
          <cell r="E92">
            <v>2190</v>
          </cell>
          <cell r="F92">
            <v>2190</v>
          </cell>
          <cell r="G92">
            <v>2190</v>
          </cell>
          <cell r="H92">
            <v>2190</v>
          </cell>
        </row>
        <row r="93">
          <cell r="C93" t="str">
            <v>Replacement of consumables</v>
          </cell>
          <cell r="D93" t="str">
            <v>USD</v>
          </cell>
          <cell r="E93">
            <v>200</v>
          </cell>
          <cell r="F93">
            <v>200</v>
          </cell>
          <cell r="G93">
            <v>150</v>
          </cell>
          <cell r="H93">
            <v>100</v>
          </cell>
        </row>
        <row r="94">
          <cell r="C94" t="str">
            <v>Generator annual service</v>
          </cell>
          <cell r="D94" t="str">
            <v>USD</v>
          </cell>
          <cell r="E94">
            <v>2000</v>
          </cell>
          <cell r="F94">
            <v>2000</v>
          </cell>
          <cell r="G94">
            <v>2000</v>
          </cell>
        </row>
        <row r="95">
          <cell r="C95" t="str">
            <v>Site security day rate</v>
          </cell>
          <cell r="D95" t="str">
            <v>USD</v>
          </cell>
          <cell r="E95">
            <v>50</v>
          </cell>
          <cell r="F95">
            <v>50</v>
          </cell>
          <cell r="G95">
            <v>50</v>
          </cell>
          <cell r="H95">
            <v>50</v>
          </cell>
        </row>
        <row r="96">
          <cell r="C96" t="str">
            <v>Annual site security (24/7)</v>
          </cell>
          <cell r="D96" t="str">
            <v>USD</v>
          </cell>
        </row>
        <row r="97">
          <cell r="C97" t="str">
            <v>Annual PSM logistic resources (drivers, vehicles etc)</v>
          </cell>
          <cell r="D97" t="str">
            <v>USD</v>
          </cell>
          <cell r="E97">
            <v>4000</v>
          </cell>
          <cell r="F97">
            <v>1500</v>
          </cell>
          <cell r="G97">
            <v>1000</v>
          </cell>
          <cell r="H97">
            <v>500</v>
          </cell>
        </row>
        <row r="99">
          <cell r="C99" t="str">
            <v xml:space="preserve">Annual insurance/contingency </v>
          </cell>
          <cell r="D99" t="str">
            <v>USD</v>
          </cell>
          <cell r="E99">
            <v>4830</v>
          </cell>
          <cell r="F99">
            <v>4830</v>
          </cell>
          <cell r="G99">
            <v>4830</v>
          </cell>
          <cell r="H99">
            <v>4830</v>
          </cell>
        </row>
        <row r="100">
          <cell r="C100" t="str">
            <v>Annual opex costs</v>
          </cell>
          <cell r="D100" t="str">
            <v>USD</v>
          </cell>
          <cell r="E100">
            <v>7308.0000000000009</v>
          </cell>
          <cell r="F100">
            <v>12040.000000000002</v>
          </cell>
          <cell r="G100">
            <v>11480.000000000002</v>
          </cell>
          <cell r="H100">
            <v>3300</v>
          </cell>
          <cell r="I100">
            <v>400</v>
          </cell>
          <cell r="L100">
            <v>800</v>
          </cell>
        </row>
        <row r="101">
          <cell r="C101" t="str">
            <v>Fuel - combustion</v>
          </cell>
          <cell r="D101" t="str">
            <v>litres</v>
          </cell>
          <cell r="E101">
            <v>20323.199999999997</v>
          </cell>
          <cell r="F101">
            <v>10803.999999999998</v>
          </cell>
          <cell r="G101">
            <v>5401.9999999999991</v>
          </cell>
          <cell r="I101">
            <v>0</v>
          </cell>
          <cell r="L101">
            <v>0</v>
          </cell>
        </row>
        <row r="102">
          <cell r="C102" t="str">
            <v>Fuel - theft</v>
          </cell>
          <cell r="D102" t="str">
            <v>litres</v>
          </cell>
          <cell r="E102">
            <v>3658.1759999999995</v>
          </cell>
          <cell r="F102">
            <v>1944.7199999999996</v>
          </cell>
          <cell r="G102">
            <v>972.35999999999979</v>
          </cell>
          <cell r="I102">
            <v>0</v>
          </cell>
          <cell r="L102">
            <v>0</v>
          </cell>
        </row>
        <row r="104">
          <cell r="C104" t="str">
            <v>Power demand</v>
          </cell>
          <cell r="D104" t="str">
            <v>kW</v>
          </cell>
          <cell r="E104">
            <v>1.5</v>
          </cell>
          <cell r="F104">
            <v>1.5</v>
          </cell>
          <cell r="G104">
            <v>1.5</v>
          </cell>
          <cell r="H104">
            <v>1.5</v>
          </cell>
        </row>
        <row r="107">
          <cell r="C107" t="str">
            <v>Drip irrigation load</v>
          </cell>
          <cell r="D107" t="str">
            <v>kW</v>
          </cell>
          <cell r="J107">
            <v>0.5</v>
          </cell>
        </row>
        <row r="108">
          <cell r="C108" t="str">
            <v>PV compatible pump</v>
          </cell>
          <cell r="D108" t="str">
            <v>USD</v>
          </cell>
          <cell r="J108">
            <v>1000</v>
          </cell>
        </row>
        <row r="109">
          <cell r="C109" t="str">
            <v>Tank</v>
          </cell>
          <cell r="D109" t="str">
            <v>USD</v>
          </cell>
          <cell r="J109">
            <v>500</v>
          </cell>
        </row>
        <row r="110">
          <cell r="C110" t="str">
            <v>Lines and pipes</v>
          </cell>
          <cell r="D110" t="str">
            <v>USD</v>
          </cell>
          <cell r="J110">
            <v>1000</v>
          </cell>
        </row>
        <row r="111">
          <cell r="C111" t="str">
            <v>Annual maintainence costs</v>
          </cell>
          <cell r="D111" t="str">
            <v>USD</v>
          </cell>
          <cell r="J111">
            <v>1000</v>
          </cell>
        </row>
        <row r="112">
          <cell r="C112" t="str">
            <v>Cropping cycle</v>
          </cell>
          <cell r="D112" t="str">
            <v>#/year</v>
          </cell>
          <cell r="J112">
            <v>2</v>
          </cell>
        </row>
        <row r="113">
          <cell r="C113" t="str">
            <v>Agricultural yield pre irrigation</v>
          </cell>
          <cell r="D113" t="str">
            <v>tonne/ha-cropping cycle</v>
          </cell>
          <cell r="J113">
            <v>1.5</v>
          </cell>
        </row>
        <row r="114">
          <cell r="C114" t="str">
            <v>Yield improvement benefit</v>
          </cell>
          <cell r="D114" t="str">
            <v>%</v>
          </cell>
          <cell r="J114">
            <v>0.5</v>
          </cell>
        </row>
        <row r="115">
          <cell r="C115" t="str">
            <v>Yield improvement benefit apportioning to AP</v>
          </cell>
          <cell r="D115" t="str">
            <v>%</v>
          </cell>
          <cell r="J115">
            <v>0.35</v>
          </cell>
        </row>
        <row r="118">
          <cell r="C118" t="str">
            <v>Business Uptake Rate</v>
          </cell>
          <cell r="D118" t="str">
            <v>%/year</v>
          </cell>
          <cell r="I118">
            <v>0.33</v>
          </cell>
        </row>
        <row r="119">
          <cell r="C119" t="str">
            <v>Power Requirement</v>
          </cell>
          <cell r="D119" t="str">
            <v>kWh per Day</v>
          </cell>
          <cell r="I119">
            <v>4</v>
          </cell>
        </row>
        <row r="120">
          <cell r="C120" t="str">
            <v>Businesses per village</v>
          </cell>
          <cell r="D120" t="str">
            <v>#</v>
          </cell>
          <cell r="I120">
            <v>9</v>
          </cell>
        </row>
        <row r="121">
          <cell r="C121" t="str">
            <v>Cost of LE equipment</v>
          </cell>
          <cell r="D121" t="str">
            <v>USD</v>
          </cell>
          <cell r="I121">
            <v>650</v>
          </cell>
        </row>
        <row r="122">
          <cell r="C122" t="str">
            <v>Max affordable electricity price</v>
          </cell>
          <cell r="D122" t="str">
            <v>USD/kWh</v>
          </cell>
          <cell r="I122">
            <v>1.5</v>
          </cell>
        </row>
        <row r="123">
          <cell r="C123" t="str">
            <v>Revenue collection fee</v>
          </cell>
          <cell r="D123" t="str">
            <v>USD/Customer/Year</v>
          </cell>
          <cell r="I123">
            <v>10</v>
          </cell>
        </row>
        <row r="124">
          <cell r="C124" t="str">
            <v>Enterprise default rate</v>
          </cell>
          <cell r="D124" t="str">
            <v>%</v>
          </cell>
          <cell r="I124">
            <v>0.08</v>
          </cell>
        </row>
        <row r="127">
          <cell r="C127" t="str">
            <v>Capital cost per system</v>
          </cell>
          <cell r="D127" t="str">
            <v>USD</v>
          </cell>
          <cell r="K127">
            <v>70</v>
          </cell>
          <cell r="L127" t="str">
            <v>See above</v>
          </cell>
        </row>
        <row r="128">
          <cell r="C128" t="str">
            <v>Capital recovery</v>
          </cell>
          <cell r="D128" t="str">
            <v>USD</v>
          </cell>
          <cell r="K128" t="str">
            <v>n/a</v>
          </cell>
          <cell r="L128">
            <v>0</v>
          </cell>
        </row>
        <row r="129">
          <cell r="C129" t="str">
            <v>Maintenance cost</v>
          </cell>
          <cell r="D129" t="str">
            <v>USD</v>
          </cell>
          <cell r="K129">
            <v>5</v>
          </cell>
          <cell r="L129" t="str">
            <v>See above</v>
          </cell>
        </row>
        <row r="130">
          <cell r="C130" t="str">
            <v>System failure replacement rate</v>
          </cell>
          <cell r="D130" t="str">
            <v>%/year</v>
          </cell>
          <cell r="K130">
            <v>0.05</v>
          </cell>
          <cell r="L130">
            <v>0.04</v>
          </cell>
        </row>
        <row r="131">
          <cell r="C131" t="str">
            <v>Weekly service fee</v>
          </cell>
          <cell r="D131" t="str">
            <v>USD</v>
          </cell>
          <cell r="K131">
            <v>1.35</v>
          </cell>
          <cell r="L131">
            <v>10</v>
          </cell>
        </row>
        <row r="132">
          <cell r="C132" t="str">
            <v>Default rate</v>
          </cell>
          <cell r="D132" t="str">
            <v>%/year</v>
          </cell>
          <cell r="K132">
            <v>0.08</v>
          </cell>
          <cell r="L132">
            <v>0.08</v>
          </cell>
        </row>
        <row r="133">
          <cell r="C133" t="str">
            <v>Contract length</v>
          </cell>
          <cell r="D133" t="str">
            <v>years</v>
          </cell>
          <cell r="K133">
            <v>2</v>
          </cell>
          <cell r="L133">
            <v>100</v>
          </cell>
        </row>
        <row r="134">
          <cell r="C134" t="str">
            <v>Connections per settlement</v>
          </cell>
          <cell r="D134" t="str">
            <v>#</v>
          </cell>
          <cell r="K134">
            <v>300</v>
          </cell>
          <cell r="L134">
            <v>4</v>
          </cell>
        </row>
        <row r="135">
          <cell r="C135" t="str">
            <v>Collection charge</v>
          </cell>
          <cell r="D135" t="str">
            <v>USD/Subscriber/week</v>
          </cell>
          <cell r="K135">
            <v>0.15</v>
          </cell>
        </row>
        <row r="136">
          <cell r="C136" t="str">
            <v>Initial Uptake Rate</v>
          </cell>
          <cell r="D136" t="str">
            <v>%/year</v>
          </cell>
          <cell r="K136">
            <v>0.5</v>
          </cell>
          <cell r="L136">
            <v>1</v>
          </cell>
        </row>
        <row r="137">
          <cell r="C137" t="str">
            <v>Upgrade rate</v>
          </cell>
          <cell r="D137" t="str">
            <v>% Customers / year</v>
          </cell>
          <cell r="K137">
            <v>0.1</v>
          </cell>
        </row>
      </sheetData>
      <sheetData sheetId="2" refreshError="1"/>
      <sheetData sheetId="3" refreshError="1"/>
      <sheetData sheetId="4">
        <row r="3">
          <cell r="D3" t="str">
            <v>Base Case</v>
          </cell>
        </row>
      </sheetData>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odel Description"/>
      <sheetName val="Assumptions"/>
      <sheetName val="Summary"/>
      <sheetName val="Summary Table"/>
      <sheetName val="P&amp;L"/>
      <sheetName val="Cash Flow"/>
      <sheetName val="Income"/>
      <sheetName val="Costs"/>
      <sheetName val="Capex &amp; loans"/>
      <sheetName val="Capex"/>
      <sheetName val="Depreciation"/>
      <sheetName val="Profiles"/>
      <sheetName val="Company Costs"/>
      <sheetName val="Sheet1"/>
      <sheetName val="DG Only"/>
      <sheetName val="DG Batt Hybrid"/>
      <sheetName val="DG Batt Solar"/>
      <sheetName val="Pure PV"/>
      <sheetName val="1 system cash"/>
      <sheetName val="Pre-pay"/>
      <sheetName val="Drip-feed"/>
      <sheetName val="CO2"/>
      <sheetName val="Finance Graph"/>
      <sheetName val="Phase 1 FG"/>
      <sheetName val="Irr"/>
      <sheetName val="Graph"/>
      <sheetName val="Roadmap"/>
    </sheetNames>
    <sheetDataSet>
      <sheetData sheetId="0" refreshError="1"/>
      <sheetData sheetId="1">
        <row r="52">
          <cell r="C52">
            <v>0.2</v>
          </cell>
        </row>
        <row r="54">
          <cell r="C54">
            <v>0.12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PT outputs"/>
      <sheetName val="Outputs"/>
      <sheetName val="Outputs - Africa"/>
      <sheetName val="GII_FO Africa"/>
      <sheetName val="Version Control"/>
      <sheetName val="Input"/>
      <sheetName val="Base_FO"/>
      <sheetName val="Base_VA"/>
      <sheetName val="GII_FO"/>
      <sheetName val="GII_VA"/>
      <sheetName val="GIII_FO"/>
      <sheetName val="GIII_VA"/>
      <sheetName val="GII_FO_PwrImp"/>
      <sheetName val="Base_VA_BOLinkage"/>
      <sheetName val="GII_VA_BOLinkage"/>
      <sheetName val="Base_FO_mCCS"/>
      <sheetName val="Base_VA_mCCS"/>
      <sheetName val="GII_FO_mCCS"/>
      <sheetName val="GII_VA_mCCS"/>
      <sheetName val="CCS summary"/>
      <sheetName val="GII_FO-GII_FO_PwrImp"/>
      <sheetName val="Base Case FO-mCCS"/>
      <sheetName val="Base Case VA-mCCS"/>
      <sheetName val="GII_FO-mCCS"/>
      <sheetName val="GII_VA-mCCS"/>
      <sheetName val="ATR GT-HRSG"/>
      <sheetName val="ATR-preinvest GT-HRSG"/>
      <sheetName val="GT-HRSG"/>
      <sheetName val="GT-HRSG Retrofit"/>
      <sheetName val="GT-HRSG Retrofit_vol_eff"/>
      <sheetName val="HTER outputs"/>
      <sheetName val="Irbaris controls"/>
      <sheetName val="Sensitivities"/>
      <sheetName val="Assumptions"/>
      <sheetName val="Group Assumptions Carbon"/>
      <sheetName val="Group Assumptions Products"/>
      <sheetName val="Group Assumptions Macroeconomic"/>
      <sheetName val="Chemicals Prices"/>
      <sheetName val="Increment pri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17">
          <cell r="C17">
            <v>0.39</v>
          </cell>
        </row>
      </sheetData>
      <sheetData sheetId="34"/>
      <sheetData sheetId="35"/>
      <sheetData sheetId="36"/>
      <sheetData sheetId="37"/>
      <sheetData sheetId="38"/>
    </sheetDataSet>
  </externalBook>
</externalLink>
</file>

<file path=xl/persons/person.xml><?xml version="1.0" encoding="utf-8"?>
<personList xmlns="http://schemas.microsoft.com/office/spreadsheetml/2018/threadedcomments" xmlns:x="http://schemas.openxmlformats.org/spreadsheetml/2006/main">
  <person displayName="Alastair Woods" id="{13DC63A7-7B01-46DB-AB49-1A3D53CCEBA6}" userId="ba432aeda053b614"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2" dT="2019-03-22T17:53:43.06" personId="{13DC63A7-7B01-46DB-AB49-1A3D53CCEBA6}" id="{8840EF02-0955-49F6-8F98-E33DA04EB53F}">
    <text>was 300</text>
  </threadedComment>
  <threadedComment ref="H13" dT="2019-03-22T17:53:35.79" personId="{13DC63A7-7B01-46DB-AB49-1A3D53CCEBA6}" id="{0941D671-47FA-4C59-979B-9647293CE473}">
    <text>Was 300</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jon.white@impactagri.com" TargetMode="External"/><Relationship Id="rId1" Type="http://schemas.openxmlformats.org/officeDocument/2006/relationships/hyperlink" Target="mailto:alastair.woods@impactagri.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 Id="rId4" Type="http://schemas.microsoft.com/office/2017/10/relationships/threadedComment" Target="../threadedComments/threadedComment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B1:N18"/>
  <sheetViews>
    <sheetView showGridLines="0" showRowColHeaders="0" tabSelected="1" topLeftCell="B1" zoomScale="70" zoomScaleNormal="70" workbookViewId="0">
      <selection activeCell="C7" sqref="C7"/>
    </sheetView>
  </sheetViews>
  <sheetFormatPr defaultRowHeight="14.25" x14ac:dyDescent="0.45"/>
  <cols>
    <col min="1" max="1" width="2.59765625" customWidth="1"/>
    <col min="2" max="2" width="35.1328125" customWidth="1"/>
    <col min="3" max="3" width="43.59765625" customWidth="1"/>
    <col min="4" max="4" width="62.3984375" customWidth="1"/>
    <col min="5" max="5" width="15" customWidth="1"/>
    <col min="6" max="6" width="22.86328125" style="11" customWidth="1"/>
    <col min="7" max="7" width="3.3984375" style="11" customWidth="1"/>
    <col min="8" max="8" width="0.1328125" style="11" customWidth="1"/>
    <col min="9" max="14" width="12.59765625" style="11" customWidth="1"/>
  </cols>
  <sheetData>
    <row r="1" spans="2:14" ht="21.75" customHeight="1" x14ac:dyDescent="0.45"/>
    <row r="2" spans="2:14" x14ac:dyDescent="0.45">
      <c r="E2" s="1"/>
      <c r="F2" s="1"/>
      <c r="G2" s="1"/>
      <c r="H2" s="1"/>
      <c r="I2" s="1"/>
      <c r="J2" s="1"/>
    </row>
    <row r="3" spans="2:14" ht="32.25" customHeight="1" x14ac:dyDescent="0.45"/>
    <row r="4" spans="2:14" ht="20.25" customHeight="1" x14ac:dyDescent="0.45">
      <c r="B4" s="12" t="s">
        <v>11</v>
      </c>
      <c r="C4" s="12" t="s">
        <v>797</v>
      </c>
      <c r="D4" s="2"/>
      <c r="E4" s="2"/>
      <c r="F4" s="14"/>
    </row>
    <row r="5" spans="2:14" ht="54" customHeight="1" x14ac:dyDescent="0.45">
      <c r="B5" s="13" t="s">
        <v>12</v>
      </c>
      <c r="C5" s="709" t="s">
        <v>798</v>
      </c>
      <c r="D5" s="709"/>
      <c r="E5" s="709"/>
      <c r="F5" s="709"/>
      <c r="G5" s="709"/>
      <c r="H5" s="709"/>
    </row>
    <row r="6" spans="2:14" x14ac:dyDescent="0.45">
      <c r="B6" s="4" t="s">
        <v>13</v>
      </c>
      <c r="C6" s="15">
        <v>44409</v>
      </c>
      <c r="D6" s="2"/>
      <c r="E6" s="2"/>
      <c r="F6" s="14"/>
      <c r="G6" s="2"/>
    </row>
    <row r="7" spans="2:14" ht="21" customHeight="1" x14ac:dyDescent="0.45">
      <c r="B7" s="4" t="s">
        <v>14</v>
      </c>
      <c r="C7" s="16">
        <v>23</v>
      </c>
      <c r="D7" s="2"/>
      <c r="E7" s="2"/>
      <c r="F7" s="14"/>
      <c r="G7" s="2"/>
    </row>
    <row r="8" spans="2:14" ht="21.75" customHeight="1" x14ac:dyDescent="0.45">
      <c r="B8" s="4" t="s">
        <v>15</v>
      </c>
      <c r="C8" s="2" t="s">
        <v>16</v>
      </c>
      <c r="D8" s="17" t="s">
        <v>17</v>
      </c>
      <c r="E8" s="17"/>
      <c r="F8" s="14"/>
      <c r="G8" s="2"/>
    </row>
    <row r="9" spans="2:14" x14ac:dyDescent="0.45">
      <c r="B9" s="2"/>
      <c r="C9" s="2" t="s">
        <v>18</v>
      </c>
      <c r="D9" s="17" t="s">
        <v>19</v>
      </c>
      <c r="E9" s="17"/>
      <c r="F9" s="14"/>
      <c r="G9" s="2"/>
      <c r="I9" s="138" t="s">
        <v>153</v>
      </c>
    </row>
    <row r="10" spans="2:14" x14ac:dyDescent="0.45">
      <c r="C10" s="2"/>
      <c r="E10" s="2"/>
      <c r="F10" s="14"/>
      <c r="G10" s="2"/>
      <c r="I10" s="138" t="s">
        <v>137</v>
      </c>
    </row>
    <row r="11" spans="2:14" x14ac:dyDescent="0.45">
      <c r="B11" s="4" t="s">
        <v>112</v>
      </c>
      <c r="C11" s="114"/>
      <c r="D11" s="122" t="s">
        <v>113</v>
      </c>
      <c r="G11" s="2"/>
    </row>
    <row r="12" spans="2:14" x14ac:dyDescent="0.45">
      <c r="B12" s="116"/>
      <c r="C12" s="117"/>
      <c r="D12" s="115" t="s">
        <v>133</v>
      </c>
      <c r="E12" s="11"/>
      <c r="G12" s="2"/>
      <c r="N12"/>
    </row>
    <row r="13" spans="2:14" x14ac:dyDescent="0.45">
      <c r="B13" s="116"/>
      <c r="C13" s="148"/>
      <c r="D13" s="115" t="s">
        <v>162</v>
      </c>
      <c r="E13" s="11"/>
      <c r="G13" s="2"/>
      <c r="N13"/>
    </row>
    <row r="14" spans="2:14" x14ac:dyDescent="0.45">
      <c r="D14" s="11"/>
      <c r="E14" s="11"/>
      <c r="M14"/>
      <c r="N14"/>
    </row>
    <row r="15" spans="2:14" hidden="1" x14ac:dyDescent="0.45">
      <c r="B15" s="1" t="s">
        <v>152</v>
      </c>
      <c r="C15" s="64" t="s">
        <v>137</v>
      </c>
      <c r="D15" t="s">
        <v>811</v>
      </c>
    </row>
    <row r="17" spans="2:4" x14ac:dyDescent="0.45">
      <c r="B17" s="1"/>
      <c r="D17" s="139"/>
    </row>
    <row r="18" spans="2:4" x14ac:dyDescent="0.45">
      <c r="D18" s="140"/>
    </row>
  </sheetData>
  <mergeCells count="1">
    <mergeCell ref="C5:H5"/>
  </mergeCells>
  <conditionalFormatting sqref="G6:G13">
    <cfRule type="expression" dxfId="334" priority="1">
      <formula>_xlfn.ISFORMULA(INDIRECT("rc",FALSE))</formula>
    </cfRule>
  </conditionalFormatting>
  <dataValidations count="1">
    <dataValidation type="list" allowBlank="1" showInputMessage="1" showErrorMessage="1" sqref="C15" xr:uid="{00000000-0002-0000-0000-000000000000}">
      <formula1>$I$9:$I$10</formula1>
    </dataValidation>
  </dataValidations>
  <hyperlinks>
    <hyperlink ref="D8" r:id="rId1" xr:uid="{00000000-0004-0000-0000-000000000000}"/>
    <hyperlink ref="D9" r:id="rId2" xr:uid="{00000000-0004-0000-0000-000001000000}"/>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pageSetUpPr fitToPage="1"/>
  </sheetPr>
  <dimension ref="A1:BD307"/>
  <sheetViews>
    <sheetView showGridLines="0" zoomScale="85" zoomScaleNormal="85" workbookViewId="0">
      <pane xSplit="7" ySplit="10" topLeftCell="H11" activePane="bottomRight" state="frozen"/>
      <selection activeCell="H11" sqref="H11"/>
      <selection pane="topRight" activeCell="H11" sqref="H11"/>
      <selection pane="bottomLeft" activeCell="H11" sqref="H11"/>
      <selection pane="bottomRight" activeCell="H57" sqref="H57"/>
    </sheetView>
  </sheetViews>
  <sheetFormatPr defaultColWidth="9.1328125" defaultRowHeight="14.25" x14ac:dyDescent="0.45"/>
  <cols>
    <col min="1" max="1" width="10.1328125" style="2" customWidth="1"/>
    <col min="2" max="2" width="4" style="2" customWidth="1"/>
    <col min="3" max="3" width="6.73046875" style="2" customWidth="1"/>
    <col min="4" max="4" width="53.59765625" style="2" bestFit="1" customWidth="1"/>
    <col min="5" max="5" width="16.265625" style="23" customWidth="1"/>
    <col min="6" max="6" width="20.1328125" style="23" bestFit="1" customWidth="1"/>
    <col min="7" max="7" width="20" style="2" customWidth="1"/>
    <col min="8" max="10" width="19.1328125" style="2" customWidth="1"/>
    <col min="11" max="11" width="23.86328125" style="2" customWidth="1"/>
    <col min="12" max="12" width="21" style="457" customWidth="1"/>
    <col min="13" max="13" width="16.86328125" style="2" customWidth="1"/>
    <col min="14" max="14" width="18.59765625" style="2" customWidth="1"/>
    <col min="15" max="15" width="19.1328125" style="2" customWidth="1"/>
    <col min="16" max="28" width="16.86328125" style="2" customWidth="1"/>
    <col min="29" max="29" width="25.73046875" style="55" customWidth="1"/>
    <col min="30" max="40" width="10.86328125" style="2" customWidth="1"/>
    <col min="41" max="41" width="12.59765625" style="2" customWidth="1"/>
    <col min="42" max="16384" width="9.1328125" style="2"/>
  </cols>
  <sheetData>
    <row r="1" spans="1:56" x14ac:dyDescent="0.45">
      <c r="A1" s="18" t="str">
        <f ca="1">RIGHT(CELL("filename",$A$1),LEN(CELL("filename",$A$1))-FIND("]",CELL("filename",$A$1)))</f>
        <v>Assumptions</v>
      </c>
      <c r="F1" s="126">
        <f ca="1">'Financial Overview'!E1</f>
        <v>16243658.526131678</v>
      </c>
      <c r="G1" s="127">
        <f ca="1">'Financial Overview'!F1</f>
        <v>559751.44489366515</v>
      </c>
      <c r="H1" s="20">
        <v>1</v>
      </c>
      <c r="I1" s="20">
        <v>2</v>
      </c>
      <c r="J1" s="20">
        <v>3</v>
      </c>
      <c r="K1" s="20">
        <v>4</v>
      </c>
      <c r="L1" s="2"/>
      <c r="M1" s="20">
        <v>6</v>
      </c>
      <c r="N1" s="20">
        <v>7</v>
      </c>
      <c r="O1" s="20">
        <v>8</v>
      </c>
      <c r="P1" s="20">
        <v>9</v>
      </c>
      <c r="Q1" s="20">
        <v>10</v>
      </c>
      <c r="R1" s="20">
        <v>11</v>
      </c>
      <c r="S1" s="20">
        <v>12</v>
      </c>
      <c r="T1" s="20">
        <v>13</v>
      </c>
      <c r="U1" s="20">
        <v>14</v>
      </c>
      <c r="V1" s="20">
        <v>15</v>
      </c>
      <c r="W1" s="20"/>
    </row>
    <row r="2" spans="1:56" x14ac:dyDescent="0.45">
      <c r="A2" s="18"/>
      <c r="B2" s="21"/>
      <c r="C2" s="21"/>
      <c r="E2" s="2"/>
      <c r="F2" s="2"/>
      <c r="G2" s="135"/>
      <c r="L2" s="2"/>
    </row>
    <row r="3" spans="1:56" x14ac:dyDescent="0.45">
      <c r="A3" s="4" t="s">
        <v>6</v>
      </c>
      <c r="E3" s="2"/>
      <c r="F3" s="2"/>
      <c r="L3" s="2"/>
      <c r="M3" s="22"/>
    </row>
    <row r="4" spans="1:56" x14ac:dyDescent="0.45">
      <c r="A4" s="5"/>
      <c r="B4" s="6" t="s">
        <v>7</v>
      </c>
      <c r="C4" s="118"/>
      <c r="D4" s="7"/>
      <c r="E4" s="2"/>
      <c r="F4" s="2"/>
      <c r="I4"/>
      <c r="J4"/>
      <c r="K4"/>
      <c r="L4" s="2"/>
    </row>
    <row r="5" spans="1:56" x14ac:dyDescent="0.45">
      <c r="A5" s="8"/>
      <c r="B5" s="6" t="s">
        <v>8</v>
      </c>
      <c r="C5" s="118"/>
      <c r="D5" s="7"/>
      <c r="E5" s="2"/>
      <c r="F5" s="2"/>
      <c r="I5"/>
      <c r="J5"/>
      <c r="K5"/>
      <c r="L5" s="2"/>
    </row>
    <row r="6" spans="1:56" x14ac:dyDescent="0.45">
      <c r="A6" s="9"/>
      <c r="B6" s="6" t="s">
        <v>9</v>
      </c>
      <c r="C6" s="118"/>
      <c r="D6" s="7"/>
      <c r="E6" s="2"/>
      <c r="F6" s="2"/>
      <c r="I6"/>
      <c r="J6"/>
      <c r="K6"/>
      <c r="L6" s="2"/>
    </row>
    <row r="7" spans="1:56" x14ac:dyDescent="0.45">
      <c r="A7" s="10"/>
      <c r="B7" s="710" t="s">
        <v>10</v>
      </c>
      <c r="C7" s="711"/>
      <c r="D7" s="712"/>
      <c r="E7" s="2"/>
      <c r="F7" s="2"/>
      <c r="L7" s="2"/>
    </row>
    <row r="8" spans="1:56" customFormat="1" x14ac:dyDescent="0.45">
      <c r="A8" s="2"/>
      <c r="D8" s="2"/>
      <c r="E8" s="2"/>
      <c r="F8" s="2"/>
      <c r="G8" s="2"/>
      <c r="H8" s="2"/>
      <c r="I8" s="2"/>
      <c r="J8" s="2"/>
      <c r="K8" s="2"/>
      <c r="L8" s="2"/>
      <c r="M8" s="2"/>
      <c r="N8" s="2"/>
      <c r="O8" s="2"/>
      <c r="P8" s="2"/>
      <c r="Q8" s="2"/>
      <c r="R8" s="2"/>
      <c r="S8" s="2"/>
      <c r="T8" s="2"/>
      <c r="U8" s="2"/>
      <c r="V8" s="2"/>
      <c r="W8" s="2"/>
      <c r="X8" s="2"/>
      <c r="Y8" s="2"/>
      <c r="Z8" s="2"/>
      <c r="AA8" s="2"/>
      <c r="AB8" s="2"/>
      <c r="AC8" s="55"/>
      <c r="AD8" s="2"/>
      <c r="AE8" s="2"/>
      <c r="AF8" s="2"/>
      <c r="AG8" s="2"/>
      <c r="AH8" s="2"/>
      <c r="AI8" s="2"/>
      <c r="AJ8" s="2"/>
      <c r="AK8" s="2"/>
      <c r="AL8" s="2"/>
      <c r="AM8" s="2"/>
      <c r="AN8" s="2"/>
      <c r="AO8" s="2"/>
      <c r="AP8" s="2"/>
      <c r="AQ8" s="2"/>
      <c r="AR8" s="2"/>
      <c r="AS8" s="2"/>
      <c r="AT8" s="2"/>
      <c r="AU8" s="2"/>
      <c r="AV8" s="2"/>
      <c r="AW8" s="2"/>
      <c r="AX8" s="2"/>
      <c r="AY8" s="2"/>
      <c r="AZ8" s="2"/>
      <c r="BA8" s="2"/>
      <c r="BB8" s="2"/>
      <c r="BC8" s="2"/>
      <c r="BD8" s="2"/>
    </row>
    <row r="9" spans="1:56" x14ac:dyDescent="0.45">
      <c r="H9" s="24"/>
      <c r="I9" s="24"/>
      <c r="J9" s="24"/>
      <c r="K9" s="24"/>
      <c r="L9" s="2"/>
      <c r="M9" s="24"/>
      <c r="N9" s="24"/>
      <c r="O9" s="24"/>
      <c r="P9" s="24"/>
      <c r="Q9" s="24"/>
      <c r="R9" s="24"/>
      <c r="S9" s="24"/>
      <c r="T9" s="24"/>
      <c r="U9" s="24"/>
      <c r="V9" s="24"/>
    </row>
    <row r="10" spans="1:56" s="26" customFormat="1" x14ac:dyDescent="0.45">
      <c r="A10" s="25"/>
      <c r="C10" s="102" t="s">
        <v>205</v>
      </c>
      <c r="D10" s="102" t="s">
        <v>116</v>
      </c>
      <c r="E10" s="27" t="s">
        <v>0</v>
      </c>
      <c r="F10" s="27" t="s">
        <v>207</v>
      </c>
      <c r="G10" s="123"/>
      <c r="H10" s="29"/>
      <c r="I10" s="29"/>
      <c r="J10" s="29"/>
      <c r="K10" s="29"/>
      <c r="L10" s="29"/>
      <c r="M10" s="29"/>
      <c r="N10" s="29"/>
      <c r="O10" s="29"/>
      <c r="P10" s="29"/>
      <c r="Q10" s="29"/>
      <c r="R10" s="29"/>
      <c r="S10" s="29"/>
      <c r="T10" s="29"/>
      <c r="U10" s="29"/>
      <c r="V10" s="29"/>
      <c r="AC10" s="446" t="s">
        <v>134</v>
      </c>
    </row>
    <row r="11" spans="1:56" ht="15" customHeight="1" x14ac:dyDescent="0.45">
      <c r="A11" s="37"/>
      <c r="B11" s="4"/>
      <c r="G11" s="124"/>
      <c r="H11" s="46"/>
      <c r="I11"/>
      <c r="J11"/>
      <c r="K11"/>
      <c r="M11"/>
      <c r="N11"/>
      <c r="O11"/>
      <c r="P11"/>
      <c r="Q11"/>
      <c r="R11"/>
      <c r="S11"/>
      <c r="T11"/>
      <c r="U11"/>
      <c r="V11"/>
      <c r="W11"/>
      <c r="AC11" s="448"/>
    </row>
    <row r="12" spans="1:56" ht="15" customHeight="1" x14ac:dyDescent="0.45">
      <c r="A12" s="4" t="s">
        <v>20</v>
      </c>
      <c r="G12" s="124"/>
      <c r="H12" s="24" t="s">
        <v>212</v>
      </c>
      <c r="AC12" s="448"/>
    </row>
    <row r="13" spans="1:56" ht="15" customHeight="1" x14ac:dyDescent="0.45">
      <c r="A13" s="37"/>
      <c r="B13" s="4"/>
      <c r="C13" s="2" t="s">
        <v>114</v>
      </c>
      <c r="D13" s="2" t="s">
        <v>148</v>
      </c>
      <c r="E13" s="23" t="s">
        <v>115</v>
      </c>
      <c r="F13" s="23" t="s">
        <v>208</v>
      </c>
      <c r="G13" s="124"/>
      <c r="H13" s="119">
        <v>0.3</v>
      </c>
      <c r="I13" t="s">
        <v>213</v>
      </c>
      <c r="J13"/>
      <c r="M13"/>
      <c r="N13"/>
      <c r="O13"/>
      <c r="P13"/>
      <c r="Q13"/>
      <c r="R13"/>
      <c r="S13"/>
      <c r="T13"/>
      <c r="U13"/>
      <c r="V13"/>
      <c r="W13"/>
      <c r="X13"/>
      <c r="AC13" s="448"/>
      <c r="AD13"/>
    </row>
    <row r="14" spans="1:56" ht="15" customHeight="1" x14ac:dyDescent="0.45">
      <c r="A14" s="37"/>
      <c r="B14" s="4"/>
      <c r="C14" s="2" t="s">
        <v>114</v>
      </c>
      <c r="D14" s="2" t="s">
        <v>206</v>
      </c>
      <c r="E14" s="23" t="s">
        <v>804</v>
      </c>
      <c r="F14" s="23" t="s">
        <v>208</v>
      </c>
      <c r="G14" s="124"/>
      <c r="H14" s="166">
        <v>599</v>
      </c>
      <c r="I14" t="s">
        <v>880</v>
      </c>
      <c r="J14" s="128"/>
      <c r="M14"/>
      <c r="N14"/>
      <c r="O14"/>
      <c r="P14"/>
      <c r="Q14"/>
      <c r="R14"/>
      <c r="S14"/>
      <c r="T14"/>
      <c r="U14"/>
      <c r="V14"/>
      <c r="W14"/>
      <c r="X14"/>
      <c r="AC14" s="448"/>
      <c r="AD14"/>
    </row>
    <row r="15" spans="1:56" ht="15" customHeight="1" x14ac:dyDescent="0.45">
      <c r="A15" s="30"/>
      <c r="E15" s="31"/>
      <c r="F15" s="31"/>
      <c r="G15" s="19"/>
      <c r="H15" s="438"/>
      <c r="I15" s="438"/>
      <c r="J15" s="438"/>
      <c r="K15" s="438"/>
      <c r="L15" s="2"/>
      <c r="AC15" s="447"/>
    </row>
    <row r="16" spans="1:56" ht="15" customHeight="1" x14ac:dyDescent="0.45">
      <c r="A16" s="41" t="s">
        <v>770</v>
      </c>
      <c r="B16" s="4"/>
      <c r="H16" s="130">
        <v>2021</v>
      </c>
      <c r="I16" s="131">
        <f>H16+1</f>
        <v>2022</v>
      </c>
      <c r="J16" s="131">
        <f t="shared" ref="J16:V16" si="0">I16+1</f>
        <v>2023</v>
      </c>
      <c r="K16" s="131">
        <f t="shared" si="0"/>
        <v>2024</v>
      </c>
      <c r="L16" s="452">
        <f t="shared" si="0"/>
        <v>2025</v>
      </c>
      <c r="M16" s="131">
        <f t="shared" si="0"/>
        <v>2026</v>
      </c>
      <c r="N16" s="131">
        <f t="shared" si="0"/>
        <v>2027</v>
      </c>
      <c r="O16" s="131">
        <f t="shared" si="0"/>
        <v>2028</v>
      </c>
      <c r="P16" s="131">
        <f t="shared" si="0"/>
        <v>2029</v>
      </c>
      <c r="Q16" s="131">
        <f t="shared" si="0"/>
        <v>2030</v>
      </c>
      <c r="R16" s="131">
        <f t="shared" si="0"/>
        <v>2031</v>
      </c>
      <c r="S16" s="131">
        <f t="shared" si="0"/>
        <v>2032</v>
      </c>
      <c r="T16" s="131">
        <f t="shared" si="0"/>
        <v>2033</v>
      </c>
      <c r="U16" s="131">
        <f t="shared" si="0"/>
        <v>2034</v>
      </c>
      <c r="V16" s="131">
        <f t="shared" si="0"/>
        <v>2035</v>
      </c>
      <c r="W16" s="131">
        <f t="shared" ref="W16:AB16" si="1">V16+1</f>
        <v>2036</v>
      </c>
      <c r="X16" s="131">
        <f t="shared" si="1"/>
        <v>2037</v>
      </c>
      <c r="Y16" s="131">
        <f t="shared" si="1"/>
        <v>2038</v>
      </c>
      <c r="Z16" s="131">
        <f t="shared" si="1"/>
        <v>2039</v>
      </c>
      <c r="AA16" s="131">
        <f t="shared" si="1"/>
        <v>2040</v>
      </c>
      <c r="AB16" s="131">
        <f t="shared" si="1"/>
        <v>2041</v>
      </c>
      <c r="AC16" s="447"/>
      <c r="AD16"/>
      <c r="AE16"/>
      <c r="AF16"/>
      <c r="AG16"/>
      <c r="AH16"/>
    </row>
    <row r="17" spans="1:39" ht="15" customHeight="1" x14ac:dyDescent="0.45">
      <c r="A17" s="37"/>
      <c r="B17" s="4"/>
      <c r="C17" s="2" t="s">
        <v>114</v>
      </c>
      <c r="D17" s="2" t="s">
        <v>541</v>
      </c>
      <c r="E17" s="23" t="s">
        <v>499</v>
      </c>
      <c r="F17" s="23" t="s">
        <v>208</v>
      </c>
      <c r="H17" s="83">
        <v>8</v>
      </c>
      <c r="I17" s="83">
        <v>0</v>
      </c>
      <c r="J17" s="83">
        <v>0</v>
      </c>
      <c r="K17" s="83">
        <v>0</v>
      </c>
      <c r="L17" s="83"/>
      <c r="M17" s="83"/>
      <c r="N17" s="83"/>
      <c r="O17" s="83"/>
      <c r="P17" s="83"/>
      <c r="Q17" s="83"/>
      <c r="R17" s="83"/>
      <c r="S17" s="83"/>
      <c r="T17" s="83"/>
      <c r="U17" s="83"/>
      <c r="V17" s="83"/>
      <c r="W17" s="83"/>
      <c r="X17" s="83"/>
      <c r="Y17" s="83"/>
      <c r="Z17" s="83"/>
      <c r="AA17" s="83"/>
      <c r="AB17" s="83"/>
      <c r="AC17" s="447"/>
      <c r="AD17"/>
      <c r="AE17"/>
      <c r="AF17"/>
      <c r="AG17"/>
      <c r="AH17"/>
    </row>
    <row r="18" spans="1:39" ht="15" customHeight="1" x14ac:dyDescent="0.45">
      <c r="A18" s="37"/>
      <c r="B18" s="4"/>
      <c r="C18" s="2" t="s">
        <v>114</v>
      </c>
      <c r="D18" s="2" t="s">
        <v>542</v>
      </c>
      <c r="E18" s="23" t="s">
        <v>140</v>
      </c>
      <c r="H18" s="83">
        <v>4</v>
      </c>
      <c r="I18" s="83">
        <v>0</v>
      </c>
      <c r="J18" s="83">
        <v>0</v>
      </c>
      <c r="K18" s="83">
        <v>0</v>
      </c>
      <c r="L18" s="83">
        <v>0</v>
      </c>
      <c r="M18" s="83">
        <v>0</v>
      </c>
      <c r="N18" s="83">
        <v>0</v>
      </c>
      <c r="O18" s="83">
        <v>0</v>
      </c>
      <c r="P18" s="83">
        <v>0</v>
      </c>
      <c r="Q18" s="83">
        <v>0</v>
      </c>
      <c r="R18" s="83">
        <v>0</v>
      </c>
      <c r="S18" s="83">
        <v>0</v>
      </c>
      <c r="T18" s="83">
        <v>0</v>
      </c>
      <c r="U18" s="83">
        <v>0</v>
      </c>
      <c r="V18" s="83">
        <v>0</v>
      </c>
      <c r="W18" s="83">
        <v>0</v>
      </c>
      <c r="X18" s="83">
        <v>0</v>
      </c>
      <c r="Y18" s="83">
        <v>0</v>
      </c>
      <c r="Z18" s="83">
        <v>0</v>
      </c>
      <c r="AA18" s="83">
        <v>0</v>
      </c>
      <c r="AB18" s="83">
        <v>0</v>
      </c>
      <c r="AC18" s="447"/>
      <c r="AD18"/>
      <c r="AE18"/>
      <c r="AF18"/>
      <c r="AG18"/>
      <c r="AH18"/>
    </row>
    <row r="19" spans="1:39" ht="15" hidden="1" customHeight="1" x14ac:dyDescent="0.45">
      <c r="A19" s="37"/>
      <c r="B19" s="4"/>
      <c r="C19" s="2" t="s">
        <v>139</v>
      </c>
      <c r="D19" s="2" t="s">
        <v>139</v>
      </c>
      <c r="E19" s="23" t="s">
        <v>139</v>
      </c>
      <c r="H19" s="83">
        <v>0</v>
      </c>
      <c r="I19" s="83">
        <v>0</v>
      </c>
      <c r="J19" s="83">
        <v>0</v>
      </c>
      <c r="K19" s="83">
        <v>0</v>
      </c>
      <c r="L19" s="453">
        <v>0</v>
      </c>
      <c r="M19" s="83">
        <v>0</v>
      </c>
      <c r="N19" s="83">
        <v>0</v>
      </c>
      <c r="O19" s="83">
        <v>0</v>
      </c>
      <c r="P19" s="83">
        <v>0</v>
      </c>
      <c r="Q19" s="83">
        <v>0</v>
      </c>
      <c r="R19" s="83">
        <v>0</v>
      </c>
      <c r="S19" s="83">
        <v>0</v>
      </c>
      <c r="T19" s="83">
        <v>0</v>
      </c>
      <c r="U19" s="83">
        <v>0</v>
      </c>
      <c r="V19" s="83">
        <v>0</v>
      </c>
      <c r="W19" s="83">
        <v>0</v>
      </c>
      <c r="X19" s="83">
        <v>0</v>
      </c>
      <c r="Y19" s="83">
        <v>0</v>
      </c>
      <c r="Z19" s="83">
        <v>0</v>
      </c>
      <c r="AA19" s="83">
        <v>0</v>
      </c>
      <c r="AB19" s="83">
        <v>0</v>
      </c>
      <c r="AC19" s="447"/>
      <c r="AD19"/>
      <c r="AE19"/>
      <c r="AF19"/>
      <c r="AG19"/>
      <c r="AH19"/>
    </row>
    <row r="20" spans="1:39" ht="15" hidden="1" customHeight="1" x14ac:dyDescent="0.45">
      <c r="A20" s="37"/>
      <c r="B20" s="4"/>
      <c r="C20" s="2" t="s">
        <v>139</v>
      </c>
      <c r="D20" s="2" t="s">
        <v>139</v>
      </c>
      <c r="E20" s="23" t="s">
        <v>139</v>
      </c>
      <c r="H20" s="83">
        <v>0</v>
      </c>
      <c r="I20" s="83">
        <v>0</v>
      </c>
      <c r="J20" s="83">
        <v>0</v>
      </c>
      <c r="K20" s="83">
        <v>0</v>
      </c>
      <c r="L20" s="453">
        <v>0</v>
      </c>
      <c r="M20" s="83">
        <v>0</v>
      </c>
      <c r="N20" s="83">
        <v>0</v>
      </c>
      <c r="O20" s="83">
        <v>0</v>
      </c>
      <c r="P20" s="83">
        <v>0</v>
      </c>
      <c r="Q20" s="83">
        <v>0</v>
      </c>
      <c r="R20" s="83">
        <v>0</v>
      </c>
      <c r="S20" s="83">
        <v>0</v>
      </c>
      <c r="T20" s="83">
        <v>0</v>
      </c>
      <c r="U20" s="83">
        <v>0</v>
      </c>
      <c r="V20" s="83">
        <v>0</v>
      </c>
      <c r="W20" s="83">
        <v>0</v>
      </c>
      <c r="X20" s="83">
        <v>0</v>
      </c>
      <c r="Y20" s="83">
        <v>0</v>
      </c>
      <c r="Z20" s="83">
        <v>0</v>
      </c>
      <c r="AA20" s="83">
        <v>0</v>
      </c>
      <c r="AB20" s="83">
        <v>0</v>
      </c>
      <c r="AC20" s="447"/>
      <c r="AD20"/>
      <c r="AE20"/>
      <c r="AF20"/>
      <c r="AG20"/>
      <c r="AH20"/>
    </row>
    <row r="21" spans="1:39" ht="15" hidden="1" customHeight="1" x14ac:dyDescent="0.45">
      <c r="A21" s="37"/>
      <c r="B21" s="4"/>
      <c r="C21" s="2" t="s">
        <v>139</v>
      </c>
      <c r="D21" s="2" t="s">
        <v>139</v>
      </c>
      <c r="E21" s="23" t="s">
        <v>139</v>
      </c>
      <c r="H21" s="83">
        <v>0</v>
      </c>
      <c r="I21" s="83">
        <v>0</v>
      </c>
      <c r="J21" s="83">
        <v>0</v>
      </c>
      <c r="K21" s="83">
        <v>0</v>
      </c>
      <c r="L21" s="453">
        <v>0</v>
      </c>
      <c r="M21" s="83">
        <v>0</v>
      </c>
      <c r="N21" s="83">
        <v>0</v>
      </c>
      <c r="O21" s="83">
        <v>0</v>
      </c>
      <c r="P21" s="83">
        <v>0</v>
      </c>
      <c r="Q21" s="83">
        <v>0</v>
      </c>
      <c r="R21" s="83">
        <v>0</v>
      </c>
      <c r="S21" s="83">
        <v>0</v>
      </c>
      <c r="T21" s="83">
        <v>0</v>
      </c>
      <c r="U21" s="83">
        <v>0</v>
      </c>
      <c r="V21" s="83">
        <v>0</v>
      </c>
      <c r="W21" s="83">
        <v>0</v>
      </c>
      <c r="X21" s="83">
        <v>0</v>
      </c>
      <c r="Y21" s="83">
        <v>0</v>
      </c>
      <c r="Z21" s="83">
        <v>0</v>
      </c>
      <c r="AA21" s="83">
        <v>0</v>
      </c>
      <c r="AB21" s="83">
        <v>0</v>
      </c>
      <c r="AC21" s="447"/>
      <c r="AD21"/>
      <c r="AE21"/>
      <c r="AF21"/>
      <c r="AG21"/>
      <c r="AH21"/>
    </row>
    <row r="22" spans="1:39" ht="15" hidden="1" customHeight="1" x14ac:dyDescent="0.45">
      <c r="A22" s="37"/>
      <c r="B22" s="4"/>
      <c r="C22" s="2" t="s">
        <v>139</v>
      </c>
      <c r="D22" s="2" t="s">
        <v>139</v>
      </c>
      <c r="E22" s="23" t="s">
        <v>139</v>
      </c>
      <c r="H22" s="83">
        <v>0</v>
      </c>
      <c r="I22" s="83">
        <v>0</v>
      </c>
      <c r="J22" s="83">
        <v>0</v>
      </c>
      <c r="K22" s="83">
        <v>0</v>
      </c>
      <c r="L22" s="453">
        <v>0</v>
      </c>
      <c r="M22" s="83">
        <v>0</v>
      </c>
      <c r="N22" s="83">
        <v>0</v>
      </c>
      <c r="O22" s="83">
        <v>0</v>
      </c>
      <c r="P22" s="83">
        <v>0</v>
      </c>
      <c r="Q22" s="83">
        <v>0</v>
      </c>
      <c r="R22" s="83">
        <v>0</v>
      </c>
      <c r="S22" s="83">
        <v>0</v>
      </c>
      <c r="T22" s="83">
        <v>0</v>
      </c>
      <c r="U22" s="83">
        <v>0</v>
      </c>
      <c r="V22" s="83">
        <v>0</v>
      </c>
      <c r="W22" s="83">
        <v>0</v>
      </c>
      <c r="X22" s="83">
        <v>0</v>
      </c>
      <c r="Y22" s="83">
        <v>0</v>
      </c>
      <c r="Z22" s="83">
        <v>0</v>
      </c>
      <c r="AA22" s="83">
        <v>0</v>
      </c>
      <c r="AB22" s="83">
        <v>0</v>
      </c>
      <c r="AC22" s="447"/>
      <c r="AD22"/>
      <c r="AE22"/>
      <c r="AF22"/>
      <c r="AG22"/>
      <c r="AH22"/>
    </row>
    <row r="23" spans="1:39" ht="15" hidden="1" customHeight="1" x14ac:dyDescent="0.45">
      <c r="A23" s="37"/>
      <c r="B23" s="4"/>
      <c r="C23" s="2" t="s">
        <v>139</v>
      </c>
      <c r="D23" s="2" t="s">
        <v>139</v>
      </c>
      <c r="E23" s="23" t="s">
        <v>139</v>
      </c>
      <c r="H23" s="83">
        <v>0</v>
      </c>
      <c r="I23" s="83">
        <v>0</v>
      </c>
      <c r="J23" s="83"/>
      <c r="K23" s="83">
        <v>0</v>
      </c>
      <c r="L23" s="453">
        <v>0</v>
      </c>
      <c r="M23" s="83">
        <v>0</v>
      </c>
      <c r="N23" s="83">
        <v>0</v>
      </c>
      <c r="O23" s="83">
        <v>0</v>
      </c>
      <c r="P23" s="83">
        <v>0</v>
      </c>
      <c r="Q23" s="83">
        <v>0</v>
      </c>
      <c r="R23" s="83">
        <v>0</v>
      </c>
      <c r="S23" s="83">
        <v>0</v>
      </c>
      <c r="T23" s="83">
        <v>0</v>
      </c>
      <c r="U23" s="83">
        <v>0</v>
      </c>
      <c r="V23" s="83">
        <v>0</v>
      </c>
      <c r="W23" s="83">
        <v>0</v>
      </c>
      <c r="X23" s="83">
        <v>0</v>
      </c>
      <c r="Y23" s="83">
        <v>0</v>
      </c>
      <c r="Z23" s="83">
        <v>0</v>
      </c>
      <c r="AA23" s="83">
        <v>0</v>
      </c>
      <c r="AB23" s="83">
        <v>0</v>
      </c>
      <c r="AC23" s="447"/>
      <c r="AD23"/>
      <c r="AE23"/>
      <c r="AF23"/>
      <c r="AG23"/>
      <c r="AH23"/>
    </row>
    <row r="24" spans="1:39" ht="15" hidden="1" customHeight="1" x14ac:dyDescent="0.45">
      <c r="A24" s="37"/>
      <c r="B24" s="4"/>
      <c r="C24" s="2" t="s">
        <v>139</v>
      </c>
      <c r="D24" s="2" t="s">
        <v>139</v>
      </c>
      <c r="E24" s="23" t="s">
        <v>139</v>
      </c>
      <c r="H24" s="83">
        <v>0</v>
      </c>
      <c r="I24" s="83">
        <v>0</v>
      </c>
      <c r="J24" s="83">
        <v>0</v>
      </c>
      <c r="K24" s="83">
        <v>0</v>
      </c>
      <c r="L24" s="453">
        <v>0</v>
      </c>
      <c r="M24" s="83">
        <v>0</v>
      </c>
      <c r="N24" s="83">
        <v>0</v>
      </c>
      <c r="O24" s="83">
        <v>0</v>
      </c>
      <c r="P24" s="83">
        <v>0</v>
      </c>
      <c r="Q24" s="83">
        <v>0</v>
      </c>
      <c r="R24" s="83">
        <v>0</v>
      </c>
      <c r="S24" s="83">
        <v>0</v>
      </c>
      <c r="T24" s="83">
        <v>0</v>
      </c>
      <c r="U24" s="83">
        <v>0</v>
      </c>
      <c r="V24" s="83">
        <v>0</v>
      </c>
      <c r="W24" s="83">
        <v>0</v>
      </c>
      <c r="X24" s="83">
        <v>0</v>
      </c>
      <c r="Y24" s="83">
        <v>0</v>
      </c>
      <c r="Z24" s="83">
        <v>0</v>
      </c>
      <c r="AA24" s="83">
        <v>0</v>
      </c>
      <c r="AB24" s="83">
        <v>0</v>
      </c>
      <c r="AC24" s="447"/>
      <c r="AD24"/>
      <c r="AE24"/>
      <c r="AF24"/>
      <c r="AG24"/>
      <c r="AH24"/>
    </row>
    <row r="25" spans="1:39" customFormat="1" ht="15" customHeight="1" x14ac:dyDescent="0.45">
      <c r="D25" s="2"/>
      <c r="H25" s="401"/>
      <c r="L25" s="2"/>
      <c r="AC25" s="447"/>
      <c r="AM25" s="2"/>
    </row>
    <row r="26" spans="1:39" ht="15" customHeight="1" x14ac:dyDescent="0.45">
      <c r="A26" s="41" t="s">
        <v>771</v>
      </c>
      <c r="B26" s="4"/>
      <c r="H26" s="120" t="s">
        <v>118</v>
      </c>
      <c r="I26" s="121" t="s">
        <v>119</v>
      </c>
      <c r="J26" s="120" t="s">
        <v>120</v>
      </c>
      <c r="K26" s="121" t="s">
        <v>121</v>
      </c>
      <c r="L26" s="24" t="s">
        <v>122</v>
      </c>
      <c r="M26" s="121" t="s">
        <v>123</v>
      </c>
      <c r="N26" s="120" t="s">
        <v>124</v>
      </c>
      <c r="O26" s="121" t="s">
        <v>125</v>
      </c>
      <c r="P26" s="120" t="s">
        <v>126</v>
      </c>
      <c r="Q26" s="121" t="s">
        <v>127</v>
      </c>
      <c r="R26" s="120" t="s">
        <v>128</v>
      </c>
      <c r="S26" s="121" t="s">
        <v>129</v>
      </c>
      <c r="T26" s="120" t="s">
        <v>130</v>
      </c>
      <c r="U26" s="121" t="s">
        <v>131</v>
      </c>
      <c r="V26" s="120" t="s">
        <v>132</v>
      </c>
      <c r="W26" s="121" t="s">
        <v>196</v>
      </c>
      <c r="X26" s="120" t="s">
        <v>197</v>
      </c>
      <c r="Y26" s="121" t="s">
        <v>198</v>
      </c>
      <c r="Z26" s="120" t="s">
        <v>199</v>
      </c>
      <c r="AA26" s="121" t="s">
        <v>200</v>
      </c>
      <c r="AB26" s="120" t="s">
        <v>201</v>
      </c>
      <c r="AC26" s="447"/>
      <c r="AD26"/>
      <c r="AE26"/>
      <c r="AF26"/>
      <c r="AG26"/>
      <c r="AH26"/>
    </row>
    <row r="27" spans="1:39" ht="15" customHeight="1" x14ac:dyDescent="0.45">
      <c r="A27" s="37"/>
      <c r="B27" s="4"/>
      <c r="C27" s="2" t="s">
        <v>114</v>
      </c>
      <c r="D27" s="2" t="s">
        <v>741</v>
      </c>
      <c r="E27" s="23" t="s">
        <v>742</v>
      </c>
      <c r="F27" s="23" t="s">
        <v>208</v>
      </c>
      <c r="H27" s="129">
        <v>750</v>
      </c>
      <c r="I27" s="129">
        <v>750</v>
      </c>
      <c r="J27" s="129">
        <v>750</v>
      </c>
      <c r="K27" s="129">
        <v>750</v>
      </c>
      <c r="L27" s="129">
        <v>750</v>
      </c>
      <c r="M27" s="129">
        <v>750</v>
      </c>
      <c r="N27" s="129">
        <v>750</v>
      </c>
      <c r="O27" s="129">
        <v>750</v>
      </c>
      <c r="P27" s="129">
        <v>750</v>
      </c>
      <c r="Q27" s="129">
        <v>750</v>
      </c>
      <c r="R27" s="129">
        <v>750</v>
      </c>
      <c r="S27" s="129">
        <v>750</v>
      </c>
      <c r="T27" s="129">
        <v>750</v>
      </c>
      <c r="U27" s="129">
        <v>750</v>
      </c>
      <c r="V27" s="129">
        <v>750</v>
      </c>
      <c r="W27" s="129">
        <v>750</v>
      </c>
      <c r="X27" s="129">
        <v>750</v>
      </c>
      <c r="Y27" s="129">
        <v>750</v>
      </c>
      <c r="Z27" s="129">
        <v>750</v>
      </c>
      <c r="AA27" s="129">
        <v>750</v>
      </c>
      <c r="AB27" s="129">
        <v>750</v>
      </c>
      <c r="AC27" s="447"/>
      <c r="AD27"/>
      <c r="AE27"/>
      <c r="AF27"/>
      <c r="AG27"/>
      <c r="AH27"/>
    </row>
    <row r="28" spans="1:39" ht="15" customHeight="1" x14ac:dyDescent="0.45">
      <c r="A28" s="37"/>
      <c r="B28" s="4"/>
      <c r="C28" s="2" t="s">
        <v>114</v>
      </c>
      <c r="D28" s="2" t="s">
        <v>506</v>
      </c>
      <c r="E28" s="23" t="s">
        <v>544</v>
      </c>
      <c r="F28" s="23" t="s">
        <v>208</v>
      </c>
      <c r="H28" s="129">
        <f>$H$199*H27*$H$17*$H$193/$H$18</f>
        <v>600</v>
      </c>
      <c r="I28" s="129">
        <f>$H$199*I27*$H$17*$H$193/$H$18</f>
        <v>600</v>
      </c>
      <c r="J28" s="129">
        <f t="shared" ref="J28:AB28" si="2">$H$199*J27*$H$17*$H$193/$H$18</f>
        <v>600</v>
      </c>
      <c r="K28" s="129">
        <f t="shared" si="2"/>
        <v>600</v>
      </c>
      <c r="L28" s="129">
        <f t="shared" si="2"/>
        <v>600</v>
      </c>
      <c r="M28" s="129">
        <f t="shared" si="2"/>
        <v>600</v>
      </c>
      <c r="N28" s="129">
        <f t="shared" si="2"/>
        <v>600</v>
      </c>
      <c r="O28" s="129">
        <f t="shared" si="2"/>
        <v>600</v>
      </c>
      <c r="P28" s="129">
        <f t="shared" si="2"/>
        <v>600</v>
      </c>
      <c r="Q28" s="129">
        <f t="shared" si="2"/>
        <v>600</v>
      </c>
      <c r="R28" s="129">
        <f t="shared" si="2"/>
        <v>600</v>
      </c>
      <c r="S28" s="129">
        <f t="shared" si="2"/>
        <v>600</v>
      </c>
      <c r="T28" s="129">
        <f t="shared" si="2"/>
        <v>600</v>
      </c>
      <c r="U28" s="129">
        <f t="shared" si="2"/>
        <v>600</v>
      </c>
      <c r="V28" s="129">
        <f t="shared" si="2"/>
        <v>600</v>
      </c>
      <c r="W28" s="129">
        <f t="shared" si="2"/>
        <v>600</v>
      </c>
      <c r="X28" s="129">
        <f t="shared" si="2"/>
        <v>600</v>
      </c>
      <c r="Y28" s="129">
        <f t="shared" si="2"/>
        <v>600</v>
      </c>
      <c r="Z28" s="129">
        <f t="shared" si="2"/>
        <v>600</v>
      </c>
      <c r="AA28" s="129">
        <f t="shared" si="2"/>
        <v>600</v>
      </c>
      <c r="AB28" s="129">
        <f t="shared" si="2"/>
        <v>600</v>
      </c>
      <c r="AC28" s="447"/>
      <c r="AD28"/>
      <c r="AE28"/>
      <c r="AF28"/>
      <c r="AG28"/>
      <c r="AH28"/>
    </row>
    <row r="29" spans="1:39" ht="15" customHeight="1" x14ac:dyDescent="0.45">
      <c r="A29" s="37"/>
      <c r="B29" s="4"/>
      <c r="C29" s="2" t="s">
        <v>114</v>
      </c>
      <c r="D29" s="2" t="s">
        <v>760</v>
      </c>
      <c r="E29" s="23" t="s">
        <v>742</v>
      </c>
      <c r="F29" s="23" t="s">
        <v>208</v>
      </c>
      <c r="H29" s="129">
        <f>100*4*30/1000</f>
        <v>12</v>
      </c>
      <c r="I29" s="129">
        <f>H29</f>
        <v>12</v>
      </c>
      <c r="J29" s="129">
        <f t="shared" ref="J29:AB29" si="3">I29</f>
        <v>12</v>
      </c>
      <c r="K29" s="129">
        <f t="shared" si="3"/>
        <v>12</v>
      </c>
      <c r="L29" s="129">
        <f t="shared" si="3"/>
        <v>12</v>
      </c>
      <c r="M29" s="129">
        <f t="shared" si="3"/>
        <v>12</v>
      </c>
      <c r="N29" s="129">
        <f t="shared" si="3"/>
        <v>12</v>
      </c>
      <c r="O29" s="129">
        <f t="shared" si="3"/>
        <v>12</v>
      </c>
      <c r="P29" s="129">
        <f t="shared" si="3"/>
        <v>12</v>
      </c>
      <c r="Q29" s="129">
        <f t="shared" si="3"/>
        <v>12</v>
      </c>
      <c r="R29" s="129">
        <f t="shared" si="3"/>
        <v>12</v>
      </c>
      <c r="S29" s="129">
        <f t="shared" si="3"/>
        <v>12</v>
      </c>
      <c r="T29" s="129">
        <f t="shared" si="3"/>
        <v>12</v>
      </c>
      <c r="U29" s="129">
        <f t="shared" si="3"/>
        <v>12</v>
      </c>
      <c r="V29" s="129">
        <f t="shared" si="3"/>
        <v>12</v>
      </c>
      <c r="W29" s="129">
        <f t="shared" si="3"/>
        <v>12</v>
      </c>
      <c r="X29" s="129">
        <f t="shared" si="3"/>
        <v>12</v>
      </c>
      <c r="Y29" s="129">
        <f t="shared" si="3"/>
        <v>12</v>
      </c>
      <c r="Z29" s="129">
        <f t="shared" si="3"/>
        <v>12</v>
      </c>
      <c r="AA29" s="129">
        <f t="shared" si="3"/>
        <v>12</v>
      </c>
      <c r="AB29" s="129">
        <f t="shared" si="3"/>
        <v>12</v>
      </c>
      <c r="AC29" s="447"/>
      <c r="AD29" s="545"/>
      <c r="AE29" s="545"/>
      <c r="AF29" s="545"/>
      <c r="AG29" s="545"/>
      <c r="AH29" s="545"/>
    </row>
    <row r="30" spans="1:39" ht="15" hidden="1" customHeight="1" x14ac:dyDescent="0.45">
      <c r="A30" s="37"/>
      <c r="B30" s="4"/>
      <c r="C30" s="2" t="str">
        <f t="shared" ref="C30:C36" si="4">C18</f>
        <v>All</v>
      </c>
      <c r="D30" s="2" t="s">
        <v>139</v>
      </c>
      <c r="E30" s="23" t="s">
        <v>141</v>
      </c>
      <c r="H30" s="84">
        <v>0</v>
      </c>
      <c r="I30" s="84">
        <v>0</v>
      </c>
      <c r="J30" s="84">
        <v>0</v>
      </c>
      <c r="K30" s="84">
        <v>0</v>
      </c>
      <c r="L30" s="454">
        <v>0</v>
      </c>
      <c r="M30" s="84">
        <v>0</v>
      </c>
      <c r="N30" s="84">
        <v>0</v>
      </c>
      <c r="O30" s="84">
        <v>0</v>
      </c>
      <c r="P30" s="84">
        <v>0</v>
      </c>
      <c r="Q30" s="84">
        <v>0</v>
      </c>
      <c r="R30" s="84">
        <v>0</v>
      </c>
      <c r="S30" s="84">
        <v>0</v>
      </c>
      <c r="T30" s="84">
        <v>0</v>
      </c>
      <c r="U30" s="84">
        <v>0</v>
      </c>
      <c r="V30" s="84">
        <v>0</v>
      </c>
      <c r="AC30" s="447"/>
    </row>
    <row r="31" spans="1:39" ht="15" hidden="1" customHeight="1" x14ac:dyDescent="0.45">
      <c r="A31" s="37"/>
      <c r="B31" s="4"/>
      <c r="C31" s="2" t="str">
        <f t="shared" si="4"/>
        <v>NA</v>
      </c>
      <c r="D31" s="2" t="s">
        <v>139</v>
      </c>
      <c r="E31" s="23" t="s">
        <v>141</v>
      </c>
      <c r="H31" s="84">
        <v>0</v>
      </c>
      <c r="I31" s="84">
        <v>0</v>
      </c>
      <c r="J31" s="84">
        <v>0</v>
      </c>
      <c r="K31" s="84">
        <v>0</v>
      </c>
      <c r="L31" s="454">
        <v>0</v>
      </c>
      <c r="M31" s="84">
        <v>0</v>
      </c>
      <c r="N31" s="84">
        <v>0</v>
      </c>
      <c r="O31" s="84">
        <v>0</v>
      </c>
      <c r="P31" s="84">
        <v>0</v>
      </c>
      <c r="Q31" s="84">
        <v>0</v>
      </c>
      <c r="R31" s="84">
        <v>0</v>
      </c>
      <c r="S31" s="84">
        <v>0</v>
      </c>
      <c r="T31" s="84">
        <v>0</v>
      </c>
      <c r="U31" s="84">
        <v>0</v>
      </c>
      <c r="V31" s="84">
        <v>0</v>
      </c>
      <c r="AC31" s="447"/>
    </row>
    <row r="32" spans="1:39" ht="15" hidden="1" customHeight="1" x14ac:dyDescent="0.45">
      <c r="A32" s="37"/>
      <c r="B32" s="4"/>
      <c r="C32" s="2" t="str">
        <f t="shared" si="4"/>
        <v>NA</v>
      </c>
      <c r="D32" s="2" t="s">
        <v>139</v>
      </c>
      <c r="E32" s="23" t="s">
        <v>141</v>
      </c>
      <c r="H32" s="84">
        <v>0</v>
      </c>
      <c r="I32" s="84">
        <v>0</v>
      </c>
      <c r="J32" s="84">
        <v>0</v>
      </c>
      <c r="K32" s="84">
        <v>0</v>
      </c>
      <c r="L32" s="454">
        <v>0</v>
      </c>
      <c r="M32" s="84">
        <v>0</v>
      </c>
      <c r="N32" s="84">
        <v>0</v>
      </c>
      <c r="O32" s="84">
        <v>0</v>
      </c>
      <c r="P32" s="84">
        <v>0</v>
      </c>
      <c r="Q32" s="84">
        <v>0</v>
      </c>
      <c r="R32" s="84">
        <v>0</v>
      </c>
      <c r="S32" s="84">
        <v>0</v>
      </c>
      <c r="T32" s="84">
        <v>0</v>
      </c>
      <c r="U32" s="84">
        <v>0</v>
      </c>
      <c r="V32" s="84">
        <v>0</v>
      </c>
      <c r="AC32" s="447"/>
    </row>
    <row r="33" spans="1:29" ht="15" hidden="1" customHeight="1" x14ac:dyDescent="0.45">
      <c r="A33" s="37"/>
      <c r="B33" s="4"/>
      <c r="C33" s="2" t="str">
        <f t="shared" si="4"/>
        <v>NA</v>
      </c>
      <c r="D33" s="2" t="s">
        <v>139</v>
      </c>
      <c r="E33" s="23" t="s">
        <v>141</v>
      </c>
      <c r="G33" s="124"/>
      <c r="H33" s="84">
        <v>0</v>
      </c>
      <c r="I33" s="84">
        <v>0</v>
      </c>
      <c r="J33" s="84">
        <v>0</v>
      </c>
      <c r="K33" s="84">
        <v>0</v>
      </c>
      <c r="L33" s="454">
        <v>0</v>
      </c>
      <c r="M33" s="84">
        <v>0</v>
      </c>
      <c r="N33" s="84">
        <v>0</v>
      </c>
      <c r="O33" s="84">
        <v>0</v>
      </c>
      <c r="P33" s="84">
        <v>0</v>
      </c>
      <c r="Q33" s="84">
        <v>0</v>
      </c>
      <c r="R33" s="84">
        <v>0</v>
      </c>
      <c r="S33" s="84">
        <v>0</v>
      </c>
      <c r="T33" s="84">
        <v>0</v>
      </c>
      <c r="U33" s="84">
        <v>0</v>
      </c>
      <c r="V33" s="84">
        <v>0</v>
      </c>
      <c r="AC33" s="447"/>
    </row>
    <row r="34" spans="1:29" ht="15" hidden="1" customHeight="1" x14ac:dyDescent="0.45">
      <c r="A34" s="37"/>
      <c r="B34" s="4"/>
      <c r="C34" s="2" t="str">
        <f t="shared" si="4"/>
        <v>NA</v>
      </c>
      <c r="D34" s="2" t="s">
        <v>139</v>
      </c>
      <c r="E34" s="23" t="s">
        <v>141</v>
      </c>
      <c r="G34" s="124"/>
      <c r="H34" s="84">
        <v>0</v>
      </c>
      <c r="I34" s="84">
        <v>0</v>
      </c>
      <c r="J34" s="84">
        <v>0</v>
      </c>
      <c r="K34" s="84">
        <v>0</v>
      </c>
      <c r="L34" s="454">
        <v>0</v>
      </c>
      <c r="M34" s="84">
        <v>0</v>
      </c>
      <c r="N34" s="84">
        <v>0</v>
      </c>
      <c r="O34" s="84">
        <v>0</v>
      </c>
      <c r="P34" s="84">
        <v>0</v>
      </c>
      <c r="Q34" s="84">
        <v>0</v>
      </c>
      <c r="R34" s="84">
        <v>0</v>
      </c>
      <c r="S34" s="84">
        <v>0</v>
      </c>
      <c r="T34" s="84">
        <v>0</v>
      </c>
      <c r="U34" s="84">
        <v>0</v>
      </c>
      <c r="V34" s="84">
        <v>0</v>
      </c>
      <c r="AC34" s="447"/>
    </row>
    <row r="35" spans="1:29" ht="15" hidden="1" customHeight="1" x14ac:dyDescent="0.45">
      <c r="A35" s="37"/>
      <c r="B35" s="4"/>
      <c r="C35" s="2" t="str">
        <f t="shared" si="4"/>
        <v>NA</v>
      </c>
      <c r="D35" s="2" t="s">
        <v>139</v>
      </c>
      <c r="E35" s="23" t="s">
        <v>141</v>
      </c>
      <c r="G35" s="124"/>
      <c r="H35" s="86">
        <v>0</v>
      </c>
      <c r="I35" s="84">
        <v>0</v>
      </c>
      <c r="J35" s="84">
        <v>0</v>
      </c>
      <c r="K35" s="84">
        <v>0</v>
      </c>
      <c r="L35" s="454">
        <v>0</v>
      </c>
      <c r="M35" s="84">
        <v>0</v>
      </c>
      <c r="N35" s="84">
        <v>0</v>
      </c>
      <c r="O35" s="84">
        <v>0</v>
      </c>
      <c r="P35" s="84">
        <v>0</v>
      </c>
      <c r="Q35" s="84">
        <v>0</v>
      </c>
      <c r="R35" s="84">
        <v>0</v>
      </c>
      <c r="S35" s="84">
        <v>0</v>
      </c>
      <c r="T35" s="84">
        <v>0</v>
      </c>
      <c r="U35" s="84">
        <v>0</v>
      </c>
      <c r="V35" s="84">
        <v>0</v>
      </c>
      <c r="AC35" s="447"/>
    </row>
    <row r="36" spans="1:29" ht="15" hidden="1" customHeight="1" x14ac:dyDescent="0.45">
      <c r="A36" s="37"/>
      <c r="B36" s="4"/>
      <c r="C36" s="2" t="str">
        <f t="shared" si="4"/>
        <v>NA</v>
      </c>
      <c r="D36" s="2" t="s">
        <v>139</v>
      </c>
      <c r="E36" s="23" t="s">
        <v>141</v>
      </c>
      <c r="G36" s="124"/>
      <c r="H36" s="86">
        <v>0</v>
      </c>
      <c r="I36" s="84">
        <v>0</v>
      </c>
      <c r="J36" s="84">
        <v>0</v>
      </c>
      <c r="K36" s="84">
        <v>0</v>
      </c>
      <c r="L36" s="454">
        <v>0</v>
      </c>
      <c r="M36" s="84">
        <v>0</v>
      </c>
      <c r="N36" s="84">
        <v>0</v>
      </c>
      <c r="O36" s="84">
        <v>0</v>
      </c>
      <c r="P36" s="84">
        <v>0</v>
      </c>
      <c r="Q36" s="84">
        <v>0</v>
      </c>
      <c r="R36" s="84">
        <v>0</v>
      </c>
      <c r="S36" s="84">
        <v>0</v>
      </c>
      <c r="T36" s="84">
        <v>0</v>
      </c>
      <c r="U36" s="84">
        <v>0</v>
      </c>
      <c r="V36" s="84">
        <v>0</v>
      </c>
      <c r="AC36" s="447"/>
    </row>
    <row r="37" spans="1:29" ht="15" hidden="1" customHeight="1" x14ac:dyDescent="0.45">
      <c r="A37" s="37"/>
      <c r="B37" s="4"/>
      <c r="G37" s="124"/>
      <c r="H37" s="46"/>
      <c r="I37" s="46"/>
      <c r="J37" s="46"/>
      <c r="K37" s="46"/>
      <c r="L37" s="455"/>
      <c r="M37" s="46"/>
      <c r="N37" s="46"/>
      <c r="O37" s="46"/>
      <c r="P37" s="46"/>
      <c r="Q37" s="46"/>
      <c r="R37" s="46"/>
      <c r="S37" s="46"/>
      <c r="T37" s="46"/>
      <c r="U37" s="46"/>
      <c r="V37" s="46"/>
      <c r="AC37" s="447"/>
    </row>
    <row r="38" spans="1:29" ht="15" hidden="1" customHeight="1" x14ac:dyDescent="0.45">
      <c r="A38" s="37"/>
      <c r="B38" s="4" t="s">
        <v>139</v>
      </c>
      <c r="H38" s="130"/>
      <c r="I38" s="131"/>
      <c r="J38" s="131"/>
      <c r="K38" s="131"/>
      <c r="L38" s="456"/>
      <c r="M38" s="131"/>
      <c r="N38" s="131"/>
      <c r="O38" s="131"/>
      <c r="P38" s="131"/>
      <c r="Q38" s="131"/>
      <c r="R38" s="131"/>
      <c r="S38" s="131"/>
      <c r="T38" s="131"/>
      <c r="U38" s="131"/>
      <c r="V38" s="131"/>
      <c r="W38"/>
      <c r="Y38"/>
      <c r="AC38" s="447"/>
    </row>
    <row r="39" spans="1:29" ht="15" hidden="1" customHeight="1" x14ac:dyDescent="0.45">
      <c r="A39" s="37"/>
      <c r="B39" s="4"/>
      <c r="C39" s="2" t="str">
        <f>C28</f>
        <v>All</v>
      </c>
      <c r="D39" s="2" t="s">
        <v>139</v>
      </c>
      <c r="E39" s="23" t="s">
        <v>138</v>
      </c>
      <c r="H39" s="134" t="s">
        <v>137</v>
      </c>
      <c r="I39" s="87"/>
      <c r="J39" s="87"/>
      <c r="K39" s="87"/>
      <c r="L39" s="453"/>
      <c r="M39" s="87"/>
      <c r="N39" s="87"/>
      <c r="O39" s="87"/>
      <c r="P39" s="87"/>
      <c r="Q39" s="87"/>
      <c r="R39" s="87"/>
      <c r="S39" s="87"/>
      <c r="T39" s="87"/>
      <c r="U39" s="87"/>
      <c r="V39" s="87"/>
      <c r="AC39" s="447"/>
    </row>
    <row r="40" spans="1:29" ht="15" hidden="1" customHeight="1" x14ac:dyDescent="0.45">
      <c r="A40" s="37"/>
      <c r="B40" s="4"/>
      <c r="C40" s="2" t="str">
        <f t="shared" ref="C40:C46" si="5">C30</f>
        <v>All</v>
      </c>
      <c r="D40" s="2" t="s">
        <v>139</v>
      </c>
      <c r="E40" s="23" t="s">
        <v>138</v>
      </c>
      <c r="H40" s="134" t="s">
        <v>137</v>
      </c>
      <c r="I40" s="87"/>
      <c r="J40" s="87"/>
      <c r="K40" s="87"/>
      <c r="L40" s="453"/>
      <c r="M40" s="87"/>
      <c r="N40" s="87"/>
      <c r="O40" s="87"/>
      <c r="P40" s="87"/>
      <c r="Q40" s="87"/>
      <c r="R40" s="87"/>
      <c r="S40" s="87"/>
      <c r="T40" s="87"/>
      <c r="U40" s="87"/>
      <c r="V40" s="87"/>
      <c r="AC40" s="447"/>
    </row>
    <row r="41" spans="1:29" ht="15" hidden="1" customHeight="1" x14ac:dyDescent="0.45">
      <c r="A41" s="37"/>
      <c r="B41" s="4"/>
      <c r="C41" s="2" t="str">
        <f t="shared" si="5"/>
        <v>NA</v>
      </c>
      <c r="D41" s="2" t="s">
        <v>139</v>
      </c>
      <c r="E41" s="23" t="s">
        <v>138</v>
      </c>
      <c r="H41" s="134" t="s">
        <v>137</v>
      </c>
      <c r="I41" s="87"/>
      <c r="J41" s="87"/>
      <c r="K41" s="87"/>
      <c r="L41" s="453"/>
      <c r="M41" s="87"/>
      <c r="N41" s="87"/>
      <c r="O41" s="87"/>
      <c r="P41" s="87"/>
      <c r="Q41" s="87"/>
      <c r="R41" s="87"/>
      <c r="S41" s="87"/>
      <c r="T41" s="87"/>
      <c r="U41" s="87"/>
      <c r="V41" s="87"/>
      <c r="AC41" s="447"/>
    </row>
    <row r="42" spans="1:29" ht="15" hidden="1" customHeight="1" x14ac:dyDescent="0.45">
      <c r="A42" s="37"/>
      <c r="B42" s="4"/>
      <c r="C42" s="2" t="str">
        <f t="shared" si="5"/>
        <v>NA</v>
      </c>
      <c r="D42" s="2" t="s">
        <v>139</v>
      </c>
      <c r="E42" s="23" t="s">
        <v>138</v>
      </c>
      <c r="H42" s="134" t="s">
        <v>137</v>
      </c>
      <c r="I42" s="87"/>
      <c r="J42" s="87"/>
      <c r="K42" s="87"/>
      <c r="L42" s="453"/>
      <c r="M42" s="87"/>
      <c r="N42" s="87"/>
      <c r="O42" s="87"/>
      <c r="P42" s="87"/>
      <c r="Q42" s="87"/>
      <c r="R42" s="87"/>
      <c r="S42" s="87"/>
      <c r="T42" s="87"/>
      <c r="U42" s="87"/>
      <c r="V42" s="87"/>
      <c r="AC42" s="447"/>
    </row>
    <row r="43" spans="1:29" ht="15" hidden="1" customHeight="1" x14ac:dyDescent="0.45">
      <c r="A43" s="37"/>
      <c r="B43" s="4"/>
      <c r="C43" s="2" t="str">
        <f t="shared" si="5"/>
        <v>NA</v>
      </c>
      <c r="D43" s="2" t="s">
        <v>139</v>
      </c>
      <c r="E43" s="23" t="s">
        <v>138</v>
      </c>
      <c r="H43" s="134" t="s">
        <v>137</v>
      </c>
      <c r="I43" s="87"/>
      <c r="J43" s="87"/>
      <c r="K43" s="87"/>
      <c r="L43" s="453"/>
      <c r="M43" s="87"/>
      <c r="N43" s="87"/>
      <c r="O43" s="87"/>
      <c r="P43" s="87"/>
      <c r="Q43" s="87"/>
      <c r="R43" s="87"/>
      <c r="S43" s="87"/>
      <c r="T43" s="87"/>
      <c r="U43" s="87"/>
      <c r="V43" s="87"/>
      <c r="AC43" s="447"/>
    </row>
    <row r="44" spans="1:29" ht="15" hidden="1" customHeight="1" x14ac:dyDescent="0.45">
      <c r="A44" s="37"/>
      <c r="B44" s="4"/>
      <c r="C44" s="2" t="str">
        <f t="shared" si="5"/>
        <v>NA</v>
      </c>
      <c r="D44" s="2" t="s">
        <v>139</v>
      </c>
      <c r="E44" s="23" t="s">
        <v>138</v>
      </c>
      <c r="H44" s="134" t="s">
        <v>137</v>
      </c>
      <c r="I44" s="87"/>
      <c r="J44" s="87"/>
      <c r="K44" s="87"/>
      <c r="L44" s="453"/>
      <c r="M44" s="87"/>
      <c r="N44" s="87"/>
      <c r="O44" s="87"/>
      <c r="P44" s="87"/>
      <c r="Q44" s="87"/>
      <c r="R44" s="87"/>
      <c r="S44" s="87"/>
      <c r="T44" s="87"/>
      <c r="U44" s="87"/>
      <c r="V44" s="87"/>
      <c r="AC44" s="447"/>
    </row>
    <row r="45" spans="1:29" ht="15" hidden="1" customHeight="1" x14ac:dyDescent="0.45">
      <c r="A45" s="37"/>
      <c r="B45" s="4"/>
      <c r="C45" s="2" t="str">
        <f t="shared" si="5"/>
        <v>NA</v>
      </c>
      <c r="D45" s="2" t="s">
        <v>139</v>
      </c>
      <c r="E45" s="23" t="s">
        <v>138</v>
      </c>
      <c r="H45" s="134" t="s">
        <v>137</v>
      </c>
      <c r="I45" s="87"/>
      <c r="J45" s="87"/>
      <c r="K45" s="87"/>
      <c r="L45" s="453"/>
      <c r="M45" s="87"/>
      <c r="N45" s="87"/>
      <c r="O45" s="87"/>
      <c r="P45" s="87"/>
      <c r="Q45" s="87"/>
      <c r="R45" s="87"/>
      <c r="S45" s="87"/>
      <c r="T45" s="87"/>
      <c r="U45" s="87"/>
      <c r="V45" s="87"/>
      <c r="AC45" s="447"/>
    </row>
    <row r="46" spans="1:29" ht="15" hidden="1" customHeight="1" x14ac:dyDescent="0.45">
      <c r="A46" s="37"/>
      <c r="B46" s="4"/>
      <c r="C46" s="2" t="str">
        <f t="shared" si="5"/>
        <v>NA</v>
      </c>
      <c r="D46" s="2" t="s">
        <v>139</v>
      </c>
      <c r="E46" s="23" t="s">
        <v>138</v>
      </c>
      <c r="H46" s="134" t="s">
        <v>137</v>
      </c>
      <c r="I46" s="87"/>
      <c r="J46" s="87"/>
      <c r="K46" s="87"/>
      <c r="L46" s="453"/>
      <c r="M46" s="87"/>
      <c r="N46" s="87"/>
      <c r="O46" s="87"/>
      <c r="P46" s="87"/>
      <c r="Q46" s="87"/>
      <c r="R46" s="87"/>
      <c r="S46" s="87"/>
      <c r="T46" s="87"/>
      <c r="U46" s="87"/>
      <c r="V46" s="87"/>
      <c r="AC46" s="447"/>
    </row>
    <row r="47" spans="1:29" ht="15" hidden="1" customHeight="1" x14ac:dyDescent="0.45">
      <c r="A47" s="37"/>
      <c r="B47" s="4"/>
      <c r="H47" s="120"/>
      <c r="I47"/>
      <c r="J47"/>
      <c r="K47"/>
      <c r="M47"/>
      <c r="N47"/>
      <c r="O47"/>
      <c r="P47"/>
      <c r="Q47"/>
      <c r="R47"/>
      <c r="S47"/>
      <c r="T47"/>
      <c r="U47"/>
      <c r="V47"/>
      <c r="W47"/>
      <c r="AC47" s="447"/>
    </row>
    <row r="48" spans="1:29" ht="15" hidden="1" customHeight="1" x14ac:dyDescent="0.45">
      <c r="A48" s="37"/>
      <c r="B48" s="4"/>
      <c r="C48" s="2" t="str">
        <f t="shared" ref="C48:C55" si="6">C17</f>
        <v>All</v>
      </c>
      <c r="D48" s="2" t="s">
        <v>136</v>
      </c>
      <c r="E48" s="23" t="s">
        <v>135</v>
      </c>
      <c r="H48" s="129">
        <v>0</v>
      </c>
      <c r="I48"/>
      <c r="J48"/>
      <c r="K48"/>
      <c r="M48"/>
      <c r="N48"/>
      <c r="O48"/>
      <c r="P48"/>
      <c r="Q48"/>
      <c r="R48"/>
      <c r="S48"/>
      <c r="T48"/>
      <c r="U48"/>
      <c r="V48"/>
      <c r="W48"/>
      <c r="AC48" s="447"/>
    </row>
    <row r="49" spans="1:30" ht="15" hidden="1" customHeight="1" x14ac:dyDescent="0.45">
      <c r="A49" s="37"/>
      <c r="B49" s="4"/>
      <c r="C49" s="2" t="str">
        <f t="shared" si="6"/>
        <v>All</v>
      </c>
      <c r="D49" s="2" t="s">
        <v>136</v>
      </c>
      <c r="E49" s="23" t="s">
        <v>135</v>
      </c>
      <c r="H49" s="129">
        <v>0</v>
      </c>
      <c r="I49"/>
      <c r="J49"/>
      <c r="K49"/>
      <c r="M49"/>
      <c r="N49"/>
      <c r="O49"/>
      <c r="P49"/>
      <c r="Q49"/>
      <c r="R49"/>
      <c r="S49"/>
      <c r="T49"/>
      <c r="U49"/>
      <c r="V49"/>
      <c r="W49"/>
      <c r="AC49" s="447"/>
    </row>
    <row r="50" spans="1:30" ht="15" hidden="1" customHeight="1" x14ac:dyDescent="0.45">
      <c r="A50" s="37"/>
      <c r="B50" s="4"/>
      <c r="C50" s="2" t="str">
        <f t="shared" si="6"/>
        <v>NA</v>
      </c>
      <c r="D50" s="2" t="s">
        <v>136</v>
      </c>
      <c r="E50" s="23" t="s">
        <v>135</v>
      </c>
      <c r="H50" s="129">
        <v>0</v>
      </c>
      <c r="I50"/>
      <c r="J50"/>
      <c r="K50"/>
      <c r="M50"/>
      <c r="N50"/>
      <c r="O50"/>
      <c r="P50"/>
      <c r="Q50"/>
      <c r="R50"/>
      <c r="S50"/>
      <c r="T50"/>
      <c r="U50"/>
      <c r="V50"/>
      <c r="W50"/>
      <c r="AC50" s="447"/>
    </row>
    <row r="51" spans="1:30" ht="15" hidden="1" customHeight="1" x14ac:dyDescent="0.45">
      <c r="A51" s="37"/>
      <c r="B51" s="4"/>
      <c r="C51" s="2" t="str">
        <f t="shared" si="6"/>
        <v>NA</v>
      </c>
      <c r="D51" s="2" t="s">
        <v>136</v>
      </c>
      <c r="E51" s="23" t="s">
        <v>135</v>
      </c>
      <c r="H51" s="129">
        <v>0</v>
      </c>
      <c r="I51"/>
      <c r="J51"/>
      <c r="K51"/>
      <c r="M51"/>
      <c r="N51"/>
      <c r="O51"/>
      <c r="P51"/>
      <c r="Q51"/>
      <c r="R51"/>
      <c r="S51"/>
      <c r="T51"/>
      <c r="U51"/>
      <c r="V51"/>
      <c r="W51"/>
      <c r="AC51" s="447"/>
    </row>
    <row r="52" spans="1:30" ht="15" hidden="1" customHeight="1" x14ac:dyDescent="0.45">
      <c r="A52" s="37"/>
      <c r="B52" s="4"/>
      <c r="C52" s="2" t="str">
        <f t="shared" si="6"/>
        <v>NA</v>
      </c>
      <c r="D52" s="2" t="s">
        <v>136</v>
      </c>
      <c r="E52" s="23" t="s">
        <v>135</v>
      </c>
      <c r="G52" s="124"/>
      <c r="H52" s="129">
        <v>0</v>
      </c>
      <c r="I52"/>
      <c r="J52"/>
      <c r="K52"/>
      <c r="M52"/>
      <c r="N52"/>
      <c r="O52"/>
      <c r="P52"/>
      <c r="Q52"/>
      <c r="R52"/>
      <c r="S52"/>
      <c r="T52"/>
      <c r="U52"/>
      <c r="V52"/>
      <c r="W52"/>
      <c r="AC52" s="447"/>
    </row>
    <row r="53" spans="1:30" ht="15" hidden="1" customHeight="1" x14ac:dyDescent="0.45">
      <c r="A53" s="37"/>
      <c r="B53" s="4"/>
      <c r="C53" s="2" t="str">
        <f t="shared" si="6"/>
        <v>NA</v>
      </c>
      <c r="D53" s="2" t="s">
        <v>136</v>
      </c>
      <c r="E53" s="23" t="s">
        <v>135</v>
      </c>
      <c r="G53" s="124"/>
      <c r="H53" s="129">
        <v>0</v>
      </c>
      <c r="I53"/>
      <c r="J53"/>
      <c r="K53"/>
      <c r="M53"/>
      <c r="N53"/>
      <c r="O53"/>
      <c r="P53"/>
      <c r="Q53"/>
      <c r="R53"/>
      <c r="S53"/>
      <c r="T53"/>
      <c r="U53"/>
      <c r="V53"/>
      <c r="W53"/>
      <c r="AC53" s="447"/>
    </row>
    <row r="54" spans="1:30" ht="15" hidden="1" customHeight="1" x14ac:dyDescent="0.45">
      <c r="A54" s="37"/>
      <c r="B54" s="4"/>
      <c r="C54" s="2" t="str">
        <f t="shared" si="6"/>
        <v>NA</v>
      </c>
      <c r="D54" s="2" t="s">
        <v>136</v>
      </c>
      <c r="E54" s="23" t="s">
        <v>135</v>
      </c>
      <c r="G54" s="124"/>
      <c r="H54" s="129">
        <v>0</v>
      </c>
      <c r="I54"/>
      <c r="J54"/>
      <c r="K54"/>
      <c r="M54"/>
      <c r="N54"/>
      <c r="O54"/>
      <c r="P54"/>
      <c r="Q54"/>
      <c r="R54"/>
      <c r="S54"/>
      <c r="T54"/>
      <c r="U54"/>
      <c r="V54"/>
      <c r="W54"/>
      <c r="AC54" s="447"/>
    </row>
    <row r="55" spans="1:30" ht="15" hidden="1" customHeight="1" x14ac:dyDescent="0.45">
      <c r="A55" s="37"/>
      <c r="B55" s="4"/>
      <c r="C55" s="2" t="str">
        <f t="shared" si="6"/>
        <v>NA</v>
      </c>
      <c r="D55" s="2" t="s">
        <v>136</v>
      </c>
      <c r="E55" s="23" t="s">
        <v>135</v>
      </c>
      <c r="G55" s="124"/>
      <c r="H55" s="129">
        <v>0</v>
      </c>
      <c r="I55"/>
      <c r="J55"/>
      <c r="K55"/>
      <c r="M55"/>
      <c r="N55"/>
      <c r="O55"/>
      <c r="P55"/>
      <c r="Q55"/>
      <c r="R55"/>
      <c r="S55"/>
      <c r="T55"/>
      <c r="U55"/>
      <c r="V55"/>
      <c r="W55"/>
      <c r="AC55" s="447"/>
    </row>
    <row r="56" spans="1:30" ht="15" customHeight="1" x14ac:dyDescent="0.45">
      <c r="A56" s="34"/>
      <c r="G56" s="124"/>
      <c r="H56" s="649">
        <f>320*4</f>
        <v>1280</v>
      </c>
      <c r="I56" s="649"/>
      <c r="J56"/>
      <c r="K56"/>
      <c r="M56"/>
      <c r="N56"/>
      <c r="O56"/>
      <c r="P56"/>
      <c r="Q56"/>
      <c r="R56"/>
      <c r="S56"/>
      <c r="T56"/>
      <c r="U56"/>
      <c r="V56"/>
      <c r="W56"/>
      <c r="X56"/>
      <c r="Z56"/>
      <c r="AC56" s="448"/>
      <c r="AD56"/>
    </row>
    <row r="57" spans="1:30" ht="15" customHeight="1" x14ac:dyDescent="0.45">
      <c r="A57" s="41" t="s">
        <v>57</v>
      </c>
      <c r="G57" s="124"/>
      <c r="H57" s="35"/>
      <c r="I57" s="649"/>
      <c r="J57" s="545"/>
      <c r="K57" s="545"/>
      <c r="M57" s="545"/>
      <c r="N57" s="545"/>
      <c r="O57" s="545"/>
      <c r="P57" s="545"/>
      <c r="Q57" s="545"/>
      <c r="R57" s="545"/>
      <c r="S57" s="545"/>
      <c r="T57" s="545"/>
      <c r="U57" s="545"/>
      <c r="V57" s="545"/>
      <c r="W57" s="545"/>
      <c r="X57" s="545"/>
      <c r="Z57" s="545"/>
      <c r="AC57" s="448"/>
      <c r="AD57" s="545"/>
    </row>
    <row r="58" spans="1:30" ht="15" customHeight="1" x14ac:dyDescent="0.45">
      <c r="A58" s="32"/>
      <c r="B58" s="4" t="s">
        <v>502</v>
      </c>
      <c r="G58" s="124"/>
      <c r="H58" s="24" t="s">
        <v>212</v>
      </c>
      <c r="J58"/>
      <c r="K58"/>
      <c r="M58"/>
      <c r="N58"/>
      <c r="O58"/>
      <c r="P58"/>
      <c r="Q58"/>
      <c r="R58"/>
      <c r="S58"/>
      <c r="T58"/>
      <c r="U58"/>
      <c r="V58"/>
      <c r="W58"/>
      <c r="X58"/>
      <c r="Z58"/>
      <c r="AC58" s="448"/>
      <c r="AD58"/>
    </row>
    <row r="59" spans="1:30" s="4" customFormat="1" ht="15" customHeight="1" x14ac:dyDescent="0.45">
      <c r="A59" s="92"/>
      <c r="C59" s="4" t="s">
        <v>114</v>
      </c>
      <c r="D59" s="181" t="s">
        <v>526</v>
      </c>
      <c r="E59" s="70" t="s">
        <v>135</v>
      </c>
      <c r="F59" s="70" t="s">
        <v>208</v>
      </c>
      <c r="G59" s="443"/>
      <c r="H59" s="444">
        <v>21</v>
      </c>
      <c r="I59" s="1" t="s">
        <v>151</v>
      </c>
      <c r="J59" s="1"/>
      <c r="K59" s="1"/>
      <c r="M59" s="1"/>
      <c r="N59" s="1"/>
      <c r="O59" s="1"/>
      <c r="P59" s="1"/>
      <c r="Q59" s="1"/>
      <c r="R59" s="1"/>
      <c r="S59" s="1"/>
      <c r="T59" s="1"/>
      <c r="U59" s="1"/>
      <c r="V59" s="1"/>
      <c r="W59" s="1"/>
      <c r="X59" s="1"/>
      <c r="Z59" s="1"/>
      <c r="AC59" s="449"/>
      <c r="AD59" s="1"/>
    </row>
    <row r="60" spans="1:30" ht="15" customHeight="1" x14ac:dyDescent="0.45">
      <c r="A60" s="32"/>
      <c r="B60" s="4"/>
      <c r="C60" s="2" t="s">
        <v>114</v>
      </c>
      <c r="D60" s="173" t="str">
        <f>'Capex 2'!B7</f>
        <v>Landscaping</v>
      </c>
      <c r="E60" s="23" t="s">
        <v>135</v>
      </c>
      <c r="F60" s="23" t="s">
        <v>208</v>
      </c>
      <c r="G60" s="124"/>
      <c r="H60" s="125">
        <v>21</v>
      </c>
      <c r="I60" t="s">
        <v>151</v>
      </c>
      <c r="J60"/>
      <c r="K60"/>
      <c r="M60"/>
      <c r="N60"/>
      <c r="O60"/>
      <c r="P60"/>
      <c r="Q60"/>
      <c r="R60"/>
      <c r="S60"/>
      <c r="T60"/>
      <c r="U60"/>
      <c r="V60"/>
      <c r="W60"/>
      <c r="X60"/>
      <c r="Z60"/>
      <c r="AC60" s="448"/>
      <c r="AD60"/>
    </row>
    <row r="61" spans="1:30" ht="15" customHeight="1" x14ac:dyDescent="0.45">
      <c r="A61" s="32"/>
      <c r="B61" s="4"/>
      <c r="C61" s="2" t="s">
        <v>114</v>
      </c>
      <c r="D61" s="544" t="str">
        <f>'Capex 2'!B8</f>
        <v>Building</v>
      </c>
      <c r="E61" s="23" t="s">
        <v>135</v>
      </c>
      <c r="F61" s="23" t="s">
        <v>208</v>
      </c>
      <c r="G61" s="124"/>
      <c r="H61" s="125">
        <v>21</v>
      </c>
      <c r="I61" t="s">
        <v>151</v>
      </c>
      <c r="J61"/>
      <c r="K61"/>
      <c r="M61"/>
      <c r="N61"/>
      <c r="O61"/>
      <c r="P61"/>
      <c r="Q61"/>
      <c r="R61"/>
      <c r="S61"/>
      <c r="T61"/>
      <c r="U61"/>
      <c r="V61"/>
      <c r="W61"/>
      <c r="X61"/>
      <c r="Z61"/>
      <c r="AC61" s="448"/>
      <c r="AD61"/>
    </row>
    <row r="62" spans="1:30" ht="15" customHeight="1" x14ac:dyDescent="0.45">
      <c r="A62" s="32"/>
      <c r="B62" s="4"/>
      <c r="C62" s="2" t="s">
        <v>114</v>
      </c>
      <c r="D62" s="544" t="str">
        <f>'Capex 2'!B9</f>
        <v>Storage</v>
      </c>
      <c r="E62" s="23" t="s">
        <v>135</v>
      </c>
      <c r="F62" s="23" t="s">
        <v>208</v>
      </c>
      <c r="G62" s="124"/>
      <c r="H62" s="125">
        <v>21</v>
      </c>
      <c r="I62" t="s">
        <v>151</v>
      </c>
      <c r="J62"/>
      <c r="K62"/>
      <c r="M62"/>
      <c r="N62"/>
      <c r="O62"/>
      <c r="P62"/>
      <c r="Q62"/>
      <c r="R62"/>
      <c r="S62"/>
      <c r="T62"/>
      <c r="U62"/>
      <c r="V62"/>
      <c r="W62"/>
      <c r="X62"/>
      <c r="Z62"/>
      <c r="AC62" s="448"/>
      <c r="AD62"/>
    </row>
    <row r="63" spans="1:30" ht="15" customHeight="1" x14ac:dyDescent="0.45">
      <c r="A63" s="32"/>
      <c r="B63" s="4"/>
      <c r="C63" s="2" t="s">
        <v>114</v>
      </c>
      <c r="D63" s="544" t="str">
        <f>'Capex 2'!B10</f>
        <v>Water system</v>
      </c>
      <c r="E63" s="23" t="s">
        <v>135</v>
      </c>
      <c r="F63" s="23" t="s">
        <v>208</v>
      </c>
      <c r="G63" s="124"/>
      <c r="H63" s="125">
        <v>21</v>
      </c>
      <c r="I63" t="s">
        <v>151</v>
      </c>
      <c r="J63"/>
      <c r="K63"/>
      <c r="L63"/>
      <c r="M63"/>
      <c r="N63"/>
      <c r="O63"/>
      <c r="P63"/>
      <c r="Q63"/>
      <c r="R63"/>
      <c r="S63"/>
      <c r="T63"/>
      <c r="U63"/>
      <c r="V63"/>
      <c r="W63"/>
      <c r="X63"/>
      <c r="Z63"/>
      <c r="AC63" s="448"/>
      <c r="AD63"/>
    </row>
    <row r="64" spans="1:30" ht="15" customHeight="1" x14ac:dyDescent="0.45">
      <c r="A64" s="32"/>
      <c r="B64" s="4"/>
      <c r="C64" s="2" t="s">
        <v>114</v>
      </c>
      <c r="D64" s="544" t="str">
        <f>'Capex 2'!B11</f>
        <v>Electricity</v>
      </c>
      <c r="E64" s="23" t="s">
        <v>135</v>
      </c>
      <c r="F64" s="23" t="s">
        <v>208</v>
      </c>
      <c r="G64" s="124"/>
      <c r="H64" s="125">
        <v>21</v>
      </c>
      <c r="I64" t="s">
        <v>151</v>
      </c>
      <c r="J64"/>
      <c r="K64"/>
      <c r="L64"/>
      <c r="M64"/>
      <c r="N64"/>
      <c r="O64"/>
      <c r="P64"/>
      <c r="Q64"/>
      <c r="R64"/>
      <c r="S64"/>
      <c r="T64"/>
      <c r="U64"/>
      <c r="V64"/>
      <c r="W64"/>
      <c r="X64"/>
      <c r="Z64"/>
      <c r="AC64" s="448"/>
      <c r="AD64"/>
    </row>
    <row r="65" spans="1:30" ht="15" customHeight="1" x14ac:dyDescent="0.45">
      <c r="A65" s="32"/>
      <c r="B65" s="4"/>
      <c r="C65" s="2" t="s">
        <v>114</v>
      </c>
      <c r="D65" s="544" t="str">
        <f>'Capex 2'!B12</f>
        <v>Waste management including biogas</v>
      </c>
      <c r="E65" s="23" t="s">
        <v>135</v>
      </c>
      <c r="F65" s="23" t="s">
        <v>208</v>
      </c>
      <c r="G65" s="124"/>
      <c r="H65" s="125">
        <v>21</v>
      </c>
      <c r="I65" t="s">
        <v>151</v>
      </c>
      <c r="J65"/>
      <c r="K65"/>
      <c r="L65"/>
      <c r="M65"/>
      <c r="N65"/>
      <c r="O65"/>
      <c r="P65"/>
      <c r="Q65"/>
      <c r="R65"/>
      <c r="S65"/>
      <c r="T65"/>
      <c r="U65"/>
      <c r="V65"/>
      <c r="W65"/>
      <c r="X65"/>
      <c r="Z65"/>
      <c r="AC65" s="448"/>
      <c r="AD65"/>
    </row>
    <row r="66" spans="1:30" ht="15" customHeight="1" x14ac:dyDescent="0.45">
      <c r="A66" s="32"/>
      <c r="B66" s="4"/>
      <c r="C66" s="2" t="s">
        <v>114</v>
      </c>
      <c r="D66" s="544" t="str">
        <f>'Capex 2'!B13</f>
        <v>Fruit bubble washing machine Contact www.pasenmachinery.com</v>
      </c>
      <c r="E66" s="23" t="s">
        <v>135</v>
      </c>
      <c r="F66" s="23" t="s">
        <v>208</v>
      </c>
      <c r="G66" s="124"/>
      <c r="H66" s="125">
        <v>21</v>
      </c>
      <c r="I66" t="s">
        <v>151</v>
      </c>
      <c r="J66"/>
      <c r="K66"/>
      <c r="L66"/>
      <c r="M66"/>
      <c r="N66"/>
      <c r="O66"/>
      <c r="P66"/>
      <c r="Q66"/>
      <c r="R66"/>
      <c r="S66"/>
      <c r="T66"/>
      <c r="U66"/>
      <c r="V66"/>
      <c r="W66"/>
      <c r="X66"/>
      <c r="Z66"/>
      <c r="AC66" s="448"/>
      <c r="AD66"/>
    </row>
    <row r="67" spans="1:30" ht="15" customHeight="1" x14ac:dyDescent="0.45">
      <c r="A67" s="32"/>
      <c r="B67" s="4"/>
      <c r="C67" s="2" t="s">
        <v>114</v>
      </c>
      <c r="D67" s="544" t="str">
        <f>'Capex 2'!B14</f>
        <v>Depulping tables</v>
      </c>
      <c r="E67" s="23" t="s">
        <v>135</v>
      </c>
      <c r="F67" s="23" t="s">
        <v>208</v>
      </c>
      <c r="G67" s="124"/>
      <c r="H67" s="125">
        <v>21</v>
      </c>
      <c r="I67" t="s">
        <v>151</v>
      </c>
      <c r="J67"/>
      <c r="K67"/>
      <c r="L67"/>
      <c r="M67"/>
      <c r="N67"/>
      <c r="O67"/>
      <c r="P67"/>
      <c r="Q67"/>
      <c r="R67"/>
      <c r="S67"/>
      <c r="T67"/>
      <c r="U67"/>
      <c r="V67"/>
      <c r="W67"/>
      <c r="X67"/>
      <c r="Z67"/>
      <c r="AC67" s="448"/>
      <c r="AD67"/>
    </row>
    <row r="68" spans="1:30" ht="15" customHeight="1" x14ac:dyDescent="0.45">
      <c r="A68" s="32"/>
      <c r="B68" s="4"/>
      <c r="C68" s="2" t="s">
        <v>114</v>
      </c>
      <c r="D68" s="545" t="str">
        <f>'Capex 2'!B15</f>
        <v>Steamer</v>
      </c>
      <c r="E68" s="23" t="s">
        <v>135</v>
      </c>
      <c r="F68" s="23" t="s">
        <v>208</v>
      </c>
      <c r="G68" s="124"/>
      <c r="H68" s="125">
        <v>21</v>
      </c>
      <c r="I68" t="s">
        <v>151</v>
      </c>
      <c r="J68"/>
      <c r="K68"/>
      <c r="L68"/>
      <c r="M68"/>
      <c r="N68"/>
      <c r="O68"/>
      <c r="P68"/>
      <c r="Q68"/>
      <c r="R68"/>
      <c r="S68"/>
      <c r="T68"/>
      <c r="U68"/>
      <c r="V68"/>
      <c r="W68"/>
      <c r="X68"/>
      <c r="Z68"/>
      <c r="AC68" s="448"/>
      <c r="AD68"/>
    </row>
    <row r="69" spans="1:30" ht="15" customHeight="1" x14ac:dyDescent="0.45">
      <c r="A69" s="32"/>
      <c r="B69" s="4"/>
      <c r="C69" s="2" t="s">
        <v>114</v>
      </c>
      <c r="D69" s="545" t="str">
        <f>'Capex 2'!B16</f>
        <v>Hangar dryer</v>
      </c>
      <c r="E69" s="23" t="s">
        <v>135</v>
      </c>
      <c r="F69" s="23" t="s">
        <v>208</v>
      </c>
      <c r="G69" s="124"/>
      <c r="H69" s="125">
        <v>21</v>
      </c>
      <c r="I69" t="s">
        <v>151</v>
      </c>
      <c r="J69"/>
      <c r="K69"/>
      <c r="L69"/>
      <c r="M69"/>
      <c r="N69"/>
      <c r="O69"/>
      <c r="P69"/>
      <c r="Q69"/>
      <c r="R69"/>
      <c r="S69"/>
      <c r="T69"/>
      <c r="U69"/>
      <c r="V69"/>
      <c r="W69"/>
      <c r="X69"/>
      <c r="Z69"/>
      <c r="AC69" s="448"/>
      <c r="AD69"/>
    </row>
    <row r="70" spans="1:30" ht="15" customHeight="1" x14ac:dyDescent="0.45">
      <c r="A70" s="32"/>
      <c r="B70" s="4"/>
      <c r="C70" s="2" t="s">
        <v>114</v>
      </c>
      <c r="D70" s="545" t="str">
        <f>'Capex 2'!B17</f>
        <v>Shelling machine,  Henan My Only Food Machine Co., Ltd.</v>
      </c>
      <c r="E70" s="23" t="s">
        <v>135</v>
      </c>
      <c r="F70" s="23" t="s">
        <v>208</v>
      </c>
      <c r="G70" s="124"/>
      <c r="H70" s="125">
        <v>21</v>
      </c>
      <c r="I70" t="s">
        <v>151</v>
      </c>
      <c r="J70"/>
      <c r="K70"/>
      <c r="L70"/>
      <c r="M70"/>
      <c r="N70"/>
      <c r="O70"/>
      <c r="P70"/>
      <c r="Q70"/>
      <c r="R70"/>
      <c r="S70"/>
      <c r="T70"/>
      <c r="U70"/>
      <c r="V70"/>
      <c r="W70"/>
      <c r="X70"/>
      <c r="Z70"/>
      <c r="AC70" s="448"/>
      <c r="AD70"/>
    </row>
    <row r="71" spans="1:30" ht="15" customHeight="1" x14ac:dyDescent="0.45">
      <c r="A71" s="32"/>
      <c r="B71" s="4"/>
      <c r="C71" s="2" t="s">
        <v>114</v>
      </c>
      <c r="D71" s="545" t="str">
        <f>'Capex 2'!B18</f>
        <v xml:space="preserve">Almond Packaging </v>
      </c>
      <c r="E71" s="23" t="s">
        <v>135</v>
      </c>
      <c r="F71" s="23" t="s">
        <v>208</v>
      </c>
      <c r="G71" s="124"/>
      <c r="H71" s="125">
        <v>21</v>
      </c>
      <c r="I71" t="s">
        <v>151</v>
      </c>
      <c r="J71"/>
      <c r="K71"/>
      <c r="L71"/>
      <c r="M71"/>
      <c r="N71"/>
      <c r="O71"/>
      <c r="P71"/>
      <c r="Q71"/>
      <c r="R71"/>
      <c r="S71"/>
      <c r="T71"/>
      <c r="U71"/>
      <c r="V71"/>
      <c r="W71"/>
      <c r="X71"/>
      <c r="Z71"/>
      <c r="AC71" s="448"/>
      <c r="AD71"/>
    </row>
    <row r="72" spans="1:30" ht="15" customHeight="1" x14ac:dyDescent="0.45">
      <c r="A72" s="32"/>
      <c r="B72" s="4"/>
      <c r="C72" s="2" t="s">
        <v>114</v>
      </c>
      <c r="D72" s="545" t="str">
        <f>'Capex 2'!B19</f>
        <v>Pulp dryer</v>
      </c>
      <c r="E72" s="23" t="s">
        <v>135</v>
      </c>
      <c r="F72" s="23" t="s">
        <v>208</v>
      </c>
      <c r="G72" s="124"/>
      <c r="H72" s="125">
        <v>21</v>
      </c>
      <c r="I72" t="s">
        <v>151</v>
      </c>
      <c r="J72"/>
      <c r="K72"/>
      <c r="L72"/>
      <c r="M72"/>
      <c r="N72"/>
      <c r="O72"/>
      <c r="P72"/>
      <c r="Q72"/>
      <c r="R72"/>
      <c r="S72"/>
      <c r="T72"/>
      <c r="U72"/>
      <c r="V72"/>
      <c r="W72"/>
      <c r="X72"/>
      <c r="Z72"/>
      <c r="AC72" s="448"/>
      <c r="AD72"/>
    </row>
    <row r="73" spans="1:30" ht="15" customHeight="1" x14ac:dyDescent="0.45">
      <c r="A73" s="32"/>
      <c r="B73" s="4"/>
      <c r="C73" s="2" t="s">
        <v>114</v>
      </c>
      <c r="D73" s="545" t="str">
        <f>'Capex 2'!B20</f>
        <v>Thermal installation</v>
      </c>
      <c r="E73" s="23" t="s">
        <v>135</v>
      </c>
      <c r="F73" s="23" t="s">
        <v>208</v>
      </c>
      <c r="G73" s="124"/>
      <c r="H73" s="125">
        <v>21</v>
      </c>
      <c r="I73" t="s">
        <v>151</v>
      </c>
      <c r="J73"/>
      <c r="K73"/>
      <c r="L73"/>
      <c r="M73"/>
      <c r="N73"/>
      <c r="O73"/>
      <c r="P73"/>
      <c r="Q73"/>
      <c r="R73"/>
      <c r="S73"/>
      <c r="T73"/>
      <c r="U73"/>
      <c r="V73"/>
      <c r="W73"/>
      <c r="X73"/>
      <c r="Z73"/>
      <c r="AC73" s="448"/>
      <c r="AD73"/>
    </row>
    <row r="74" spans="1:30" ht="15" customHeight="1" x14ac:dyDescent="0.45">
      <c r="A74" s="32"/>
      <c r="B74" s="4"/>
      <c r="C74" s="2" t="s">
        <v>114</v>
      </c>
      <c r="D74" s="545" t="str">
        <f>'Capex 2'!B21</f>
        <v>Dried pulp packaging machine  Zhejiang Ruibao Packaging Machine Co., Ltd.</v>
      </c>
      <c r="E74" s="23" t="s">
        <v>135</v>
      </c>
      <c r="F74" s="23" t="s">
        <v>208</v>
      </c>
      <c r="G74" s="124"/>
      <c r="H74" s="125">
        <v>21</v>
      </c>
      <c r="I74" t="s">
        <v>151</v>
      </c>
      <c r="J74"/>
      <c r="K74"/>
      <c r="L74"/>
      <c r="M74"/>
      <c r="N74"/>
      <c r="O74"/>
      <c r="P74"/>
      <c r="Q74"/>
      <c r="R74"/>
      <c r="S74"/>
      <c r="T74"/>
      <c r="U74"/>
      <c r="V74"/>
      <c r="W74"/>
      <c r="X74"/>
      <c r="Z74"/>
      <c r="AC74" s="448"/>
      <c r="AD74"/>
    </row>
    <row r="75" spans="1:30" ht="15" customHeight="1" x14ac:dyDescent="0.45">
      <c r="A75" s="32"/>
      <c r="B75" s="4"/>
      <c r="C75" s="2" t="s">
        <v>114</v>
      </c>
      <c r="D75" s="171" t="str">
        <f>'Capex 2'!B22</f>
        <v>Dried pulp packaging table</v>
      </c>
      <c r="E75" s="23" t="s">
        <v>135</v>
      </c>
      <c r="F75" s="23" t="s">
        <v>208</v>
      </c>
      <c r="G75" s="124"/>
      <c r="H75" s="125">
        <v>21</v>
      </c>
      <c r="I75" t="s">
        <v>151</v>
      </c>
      <c r="J75"/>
      <c r="K75"/>
      <c r="L75"/>
      <c r="M75"/>
      <c r="N75"/>
      <c r="O75"/>
      <c r="P75"/>
      <c r="Q75"/>
      <c r="R75"/>
      <c r="S75"/>
      <c r="T75"/>
      <c r="U75"/>
      <c r="V75"/>
      <c r="W75"/>
      <c r="X75"/>
      <c r="Z75"/>
      <c r="AC75" s="448"/>
      <c r="AD75"/>
    </row>
    <row r="76" spans="1:30" ht="15" customHeight="1" x14ac:dyDescent="0.45">
      <c r="A76" s="32"/>
      <c r="B76" s="4"/>
      <c r="C76" s="2" t="s">
        <v>114</v>
      </c>
      <c r="D76" s="171" t="str">
        <f>'Capex 2'!B23</f>
        <v>Production tools</v>
      </c>
      <c r="E76" s="23" t="s">
        <v>135</v>
      </c>
      <c r="F76" s="23" t="s">
        <v>208</v>
      </c>
      <c r="G76" s="124"/>
      <c r="H76" s="125">
        <v>21</v>
      </c>
      <c r="I76" t="s">
        <v>151</v>
      </c>
      <c r="J76"/>
      <c r="K76"/>
      <c r="L76"/>
      <c r="M76"/>
      <c r="N76"/>
      <c r="O76"/>
      <c r="P76"/>
      <c r="Q76"/>
      <c r="R76"/>
      <c r="S76"/>
      <c r="T76"/>
      <c r="U76"/>
      <c r="V76"/>
      <c r="W76"/>
      <c r="X76"/>
      <c r="Z76"/>
      <c r="AC76" s="448"/>
      <c r="AD76"/>
    </row>
    <row r="77" spans="1:30" ht="15" customHeight="1" x14ac:dyDescent="0.45">
      <c r="A77" s="32"/>
      <c r="B77" s="4"/>
      <c r="C77" s="2" t="s">
        <v>114</v>
      </c>
      <c r="D77" s="171" t="str">
        <f>'Capex 2'!B24</f>
        <v>Transport Installation and Commissioning</v>
      </c>
      <c r="E77" s="23" t="s">
        <v>135</v>
      </c>
      <c r="F77" s="23" t="s">
        <v>208</v>
      </c>
      <c r="G77" s="124"/>
      <c r="H77" s="125">
        <v>21</v>
      </c>
      <c r="I77" t="s">
        <v>151</v>
      </c>
      <c r="J77"/>
      <c r="K77"/>
      <c r="L77"/>
      <c r="M77"/>
      <c r="N77"/>
      <c r="O77"/>
      <c r="P77"/>
      <c r="Q77"/>
      <c r="R77"/>
      <c r="S77"/>
      <c r="T77"/>
      <c r="U77"/>
      <c r="V77"/>
      <c r="W77"/>
      <c r="X77"/>
      <c r="Z77"/>
      <c r="AC77" s="448"/>
      <c r="AD77"/>
    </row>
    <row r="78" spans="1:30" ht="15" customHeight="1" x14ac:dyDescent="0.45">
      <c r="A78" s="32"/>
      <c r="B78" s="4"/>
      <c r="C78" s="2" t="s">
        <v>114</v>
      </c>
      <c r="D78" s="171" t="str">
        <f>'Capex 2'!B25</f>
        <v>Vehicules</v>
      </c>
      <c r="E78" s="23" t="s">
        <v>135</v>
      </c>
      <c r="F78" s="23" t="s">
        <v>208</v>
      </c>
      <c r="G78" s="124"/>
      <c r="H78" s="125">
        <v>21</v>
      </c>
      <c r="I78" t="s">
        <v>151</v>
      </c>
      <c r="J78"/>
      <c r="K78"/>
      <c r="L78"/>
      <c r="M78"/>
      <c r="N78"/>
      <c r="O78"/>
      <c r="P78"/>
      <c r="Q78"/>
      <c r="R78"/>
      <c r="S78"/>
      <c r="T78"/>
      <c r="U78"/>
      <c r="V78"/>
      <c r="W78"/>
      <c r="X78"/>
      <c r="Z78"/>
      <c r="AC78" s="448"/>
      <c r="AD78"/>
    </row>
    <row r="79" spans="1:30" ht="15" customHeight="1" x14ac:dyDescent="0.45">
      <c r="A79" s="32"/>
      <c r="B79" s="4"/>
      <c r="C79" s="2" t="s">
        <v>114</v>
      </c>
      <c r="D79" s="171"/>
      <c r="E79" s="23" t="s">
        <v>135</v>
      </c>
      <c r="F79" s="23" t="s">
        <v>208</v>
      </c>
      <c r="G79" s="124"/>
      <c r="H79" s="125">
        <v>21</v>
      </c>
      <c r="I79" t="s">
        <v>151</v>
      </c>
      <c r="K79"/>
      <c r="L79"/>
      <c r="M79"/>
      <c r="N79"/>
      <c r="O79"/>
      <c r="P79"/>
      <c r="Q79"/>
      <c r="R79"/>
      <c r="S79"/>
      <c r="T79"/>
      <c r="U79"/>
      <c r="V79"/>
      <c r="W79"/>
      <c r="X79"/>
      <c r="Z79"/>
      <c r="AC79" s="448"/>
      <c r="AD79"/>
    </row>
    <row r="80" spans="1:30" ht="15" customHeight="1" x14ac:dyDescent="0.45">
      <c r="A80" s="32"/>
      <c r="B80" s="4"/>
      <c r="C80" s="2" t="s">
        <v>114</v>
      </c>
      <c r="D80" s="171"/>
      <c r="E80" s="23" t="s">
        <v>135</v>
      </c>
      <c r="F80" s="23" t="s">
        <v>208</v>
      </c>
      <c r="G80" s="124"/>
      <c r="H80" s="125">
        <v>21</v>
      </c>
      <c r="I80" t="s">
        <v>151</v>
      </c>
      <c r="K80"/>
      <c r="L80"/>
      <c r="M80"/>
      <c r="N80"/>
      <c r="O80"/>
      <c r="P80"/>
      <c r="Q80"/>
      <c r="R80"/>
      <c r="S80"/>
      <c r="T80"/>
      <c r="U80"/>
      <c r="V80"/>
      <c r="W80"/>
      <c r="X80"/>
      <c r="Z80"/>
      <c r="AC80" s="448"/>
      <c r="AD80"/>
    </row>
    <row r="81" spans="1:31" ht="15" customHeight="1" x14ac:dyDescent="0.45">
      <c r="A81" s="32"/>
      <c r="B81" s="4"/>
      <c r="C81" s="2" t="s">
        <v>114</v>
      </c>
      <c r="D81" s="173"/>
      <c r="E81" s="23" t="s">
        <v>135</v>
      </c>
      <c r="F81" s="23" t="s">
        <v>208</v>
      </c>
      <c r="G81" s="124"/>
      <c r="H81" s="125">
        <v>21</v>
      </c>
      <c r="I81" t="s">
        <v>151</v>
      </c>
      <c r="K81"/>
      <c r="L81"/>
      <c r="M81"/>
      <c r="N81"/>
      <c r="O81"/>
      <c r="P81"/>
      <c r="Q81"/>
      <c r="R81"/>
      <c r="S81"/>
      <c r="T81"/>
      <c r="U81"/>
      <c r="V81"/>
      <c r="W81"/>
      <c r="X81"/>
      <c r="Z81"/>
      <c r="AC81" s="448"/>
      <c r="AD81"/>
    </row>
    <row r="82" spans="1:31" ht="15" customHeight="1" x14ac:dyDescent="0.45">
      <c r="A82" s="32"/>
      <c r="B82" s="4"/>
      <c r="G82" s="124"/>
      <c r="J82"/>
      <c r="K82"/>
      <c r="L82"/>
      <c r="M82"/>
      <c r="N82"/>
      <c r="O82"/>
      <c r="P82"/>
      <c r="Q82"/>
      <c r="R82"/>
      <c r="S82"/>
      <c r="T82"/>
      <c r="U82"/>
      <c r="V82"/>
      <c r="W82"/>
      <c r="X82"/>
      <c r="Z82"/>
      <c r="AC82" s="448"/>
      <c r="AD82"/>
    </row>
    <row r="83" spans="1:31" ht="15" customHeight="1" x14ac:dyDescent="0.45">
      <c r="A83" s="32"/>
      <c r="B83" s="4" t="s">
        <v>503</v>
      </c>
      <c r="G83" s="124"/>
      <c r="H83" s="24" t="s">
        <v>212</v>
      </c>
      <c r="I83" s="24" t="s">
        <v>805</v>
      </c>
      <c r="J83"/>
      <c r="K83"/>
      <c r="L83"/>
      <c r="M83"/>
      <c r="N83"/>
      <c r="O83"/>
      <c r="P83"/>
      <c r="Q83"/>
      <c r="R83"/>
      <c r="S83"/>
      <c r="T83"/>
      <c r="U83"/>
      <c r="V83"/>
      <c r="W83"/>
      <c r="X83"/>
      <c r="Z83"/>
      <c r="AC83" s="448"/>
      <c r="AD83"/>
    </row>
    <row r="84" spans="1:31" ht="15" customHeight="1" x14ac:dyDescent="0.45">
      <c r="A84" s="32"/>
      <c r="B84" s="4"/>
      <c r="C84" s="2" t="s">
        <v>114</v>
      </c>
      <c r="D84" s="2" t="str">
        <f t="shared" ref="D84:D102" si="7">D60</f>
        <v>Landscaping</v>
      </c>
      <c r="E84" s="23" t="s">
        <v>545</v>
      </c>
      <c r="F84" s="23" t="s">
        <v>209</v>
      </c>
      <c r="H84" s="83">
        <f>'Capex 2'!F7*1.2</f>
        <v>72000000</v>
      </c>
      <c r="I84" s="83">
        <f t="shared" ref="I84:I105" si="8">IF(F84="XAF",H84/$H$14,H84)</f>
        <v>120200.33388981636</v>
      </c>
      <c r="J84" s="437"/>
      <c r="L84"/>
      <c r="M84"/>
      <c r="N84"/>
      <c r="O84"/>
      <c r="P84"/>
      <c r="Q84"/>
      <c r="R84"/>
      <c r="S84"/>
      <c r="T84"/>
      <c r="U84"/>
      <c r="V84"/>
      <c r="W84"/>
      <c r="X84"/>
      <c r="Y84"/>
      <c r="AA84"/>
      <c r="AC84" s="448"/>
      <c r="AE84"/>
    </row>
    <row r="85" spans="1:31" ht="15" customHeight="1" x14ac:dyDescent="0.45">
      <c r="A85" s="32"/>
      <c r="B85" s="4"/>
      <c r="C85" s="2" t="s">
        <v>114</v>
      </c>
      <c r="D85" s="2" t="str">
        <f t="shared" si="7"/>
        <v>Building</v>
      </c>
      <c r="E85" s="23" t="s">
        <v>545</v>
      </c>
      <c r="F85" s="23" t="s">
        <v>209</v>
      </c>
      <c r="H85" s="83">
        <f>'Capex 2'!F8*1.2</f>
        <v>20400000</v>
      </c>
      <c r="I85" s="83">
        <f t="shared" si="8"/>
        <v>34056.761268781302</v>
      </c>
      <c r="J85" s="437"/>
      <c r="L85"/>
      <c r="M85"/>
      <c r="N85"/>
      <c r="O85"/>
      <c r="P85"/>
      <c r="Q85"/>
      <c r="R85"/>
      <c r="S85"/>
      <c r="T85"/>
      <c r="U85"/>
      <c r="V85"/>
      <c r="W85"/>
      <c r="X85"/>
      <c r="Y85"/>
      <c r="AA85"/>
      <c r="AC85" s="448"/>
      <c r="AE85"/>
    </row>
    <row r="86" spans="1:31" ht="15" customHeight="1" x14ac:dyDescent="0.45">
      <c r="A86" s="32"/>
      <c r="B86" s="4"/>
      <c r="C86" s="2" t="s">
        <v>114</v>
      </c>
      <c r="D86" s="2" t="str">
        <f t="shared" si="7"/>
        <v>Storage</v>
      </c>
      <c r="E86" s="23" t="s">
        <v>545</v>
      </c>
      <c r="F86" s="23" t="s">
        <v>209</v>
      </c>
      <c r="H86" s="83">
        <f>'Capex 2'!F9*1.2</f>
        <v>8400000</v>
      </c>
      <c r="I86" s="83">
        <f t="shared" si="8"/>
        <v>14023.372287145243</v>
      </c>
      <c r="J86" s="437"/>
      <c r="L86"/>
      <c r="M86"/>
      <c r="N86"/>
      <c r="O86"/>
      <c r="P86"/>
      <c r="Q86"/>
      <c r="R86"/>
      <c r="S86"/>
      <c r="T86"/>
      <c r="U86"/>
      <c r="V86"/>
      <c r="W86"/>
      <c r="X86"/>
      <c r="Y86"/>
      <c r="AA86"/>
      <c r="AC86" s="448"/>
      <c r="AE86"/>
    </row>
    <row r="87" spans="1:31" ht="15" customHeight="1" x14ac:dyDescent="0.45">
      <c r="A87" s="32"/>
      <c r="B87" s="4"/>
      <c r="C87" s="2" t="s">
        <v>114</v>
      </c>
      <c r="D87" s="2" t="str">
        <f t="shared" si="7"/>
        <v>Water system</v>
      </c>
      <c r="E87" s="23" t="s">
        <v>545</v>
      </c>
      <c r="F87" s="23" t="s">
        <v>209</v>
      </c>
      <c r="H87" s="83">
        <f>'Capex 2'!F10*1.2</f>
        <v>8400000</v>
      </c>
      <c r="I87" s="83">
        <f t="shared" si="8"/>
        <v>14023.372287145243</v>
      </c>
      <c r="J87" s="437"/>
      <c r="L87"/>
      <c r="M87"/>
      <c r="N87"/>
      <c r="O87"/>
      <c r="P87"/>
      <c r="Q87"/>
      <c r="R87"/>
      <c r="S87"/>
      <c r="T87"/>
      <c r="U87"/>
      <c r="V87"/>
      <c r="W87"/>
      <c r="X87"/>
      <c r="Y87"/>
      <c r="AA87"/>
      <c r="AC87" s="448"/>
      <c r="AE87"/>
    </row>
    <row r="88" spans="1:31" ht="15" customHeight="1" x14ac:dyDescent="0.45">
      <c r="A88" s="32"/>
      <c r="B88" s="4"/>
      <c r="C88" s="2" t="s">
        <v>114</v>
      </c>
      <c r="D88" s="2" t="str">
        <f t="shared" si="7"/>
        <v>Electricity</v>
      </c>
      <c r="E88" s="23" t="s">
        <v>545</v>
      </c>
      <c r="F88" s="23" t="s">
        <v>209</v>
      </c>
      <c r="H88" s="83">
        <f>'Capex 2'!F11*1.2</f>
        <v>3600000</v>
      </c>
      <c r="I88" s="83">
        <f t="shared" si="8"/>
        <v>6010.0166944908178</v>
      </c>
      <c r="J88" s="437"/>
      <c r="L88"/>
      <c r="M88"/>
      <c r="N88"/>
      <c r="O88"/>
      <c r="P88"/>
      <c r="Q88"/>
      <c r="R88"/>
      <c r="S88"/>
      <c r="T88"/>
      <c r="U88"/>
      <c r="V88"/>
      <c r="W88"/>
      <c r="X88"/>
      <c r="Y88"/>
      <c r="AA88"/>
      <c r="AC88" s="448"/>
      <c r="AE88"/>
    </row>
    <row r="89" spans="1:31" ht="15" customHeight="1" x14ac:dyDescent="0.45">
      <c r="A89" s="32"/>
      <c r="B89" s="4"/>
      <c r="C89" s="2" t="s">
        <v>114</v>
      </c>
      <c r="D89" s="2" t="str">
        <f t="shared" si="7"/>
        <v>Waste management including biogas</v>
      </c>
      <c r="E89" s="23" t="s">
        <v>545</v>
      </c>
      <c r="F89" s="23" t="s">
        <v>209</v>
      </c>
      <c r="H89" s="83">
        <f>'Capex 2'!F12*1.2</f>
        <v>7200000</v>
      </c>
      <c r="I89" s="83">
        <f t="shared" si="8"/>
        <v>12020.033388981636</v>
      </c>
      <c r="J89" s="437"/>
      <c r="L89"/>
      <c r="M89"/>
      <c r="N89"/>
      <c r="O89"/>
      <c r="P89"/>
      <c r="Q89"/>
      <c r="R89"/>
      <c r="S89"/>
      <c r="T89"/>
      <c r="U89"/>
      <c r="V89"/>
      <c r="W89"/>
      <c r="X89"/>
      <c r="Y89"/>
      <c r="AA89"/>
      <c r="AC89" s="448"/>
      <c r="AE89"/>
    </row>
    <row r="90" spans="1:31" ht="15" customHeight="1" x14ac:dyDescent="0.45">
      <c r="A90" s="32"/>
      <c r="B90" s="4"/>
      <c r="C90" s="2" t="s">
        <v>114</v>
      </c>
      <c r="D90" s="2" t="str">
        <f t="shared" si="7"/>
        <v>Fruit bubble washing machine Contact www.pasenmachinery.com</v>
      </c>
      <c r="E90" s="23" t="s">
        <v>545</v>
      </c>
      <c r="F90" s="23" t="s">
        <v>209</v>
      </c>
      <c r="H90" s="83">
        <f>'Capex 2'!F13*1.2</f>
        <v>4620000</v>
      </c>
      <c r="I90" s="83">
        <f t="shared" si="8"/>
        <v>7712.8547579298829</v>
      </c>
      <c r="J90" s="437"/>
      <c r="M90"/>
      <c r="N90"/>
      <c r="O90"/>
      <c r="P90"/>
      <c r="Q90"/>
      <c r="R90"/>
      <c r="S90"/>
      <c r="T90"/>
      <c r="U90"/>
      <c r="V90"/>
      <c r="W90"/>
      <c r="X90"/>
      <c r="Y90"/>
      <c r="AA90"/>
      <c r="AC90" s="448"/>
      <c r="AE90"/>
    </row>
    <row r="91" spans="1:31" ht="15" customHeight="1" x14ac:dyDescent="0.45">
      <c r="A91" s="32"/>
      <c r="B91" s="4"/>
      <c r="C91" s="2" t="s">
        <v>114</v>
      </c>
      <c r="D91" s="2" t="str">
        <f t="shared" si="7"/>
        <v>Depulping tables</v>
      </c>
      <c r="E91" s="23" t="s">
        <v>545</v>
      </c>
      <c r="F91" s="23" t="s">
        <v>209</v>
      </c>
      <c r="H91" s="83">
        <f>'Capex 2'!F14*1.2</f>
        <v>1043694</v>
      </c>
      <c r="I91" s="83">
        <f t="shared" si="8"/>
        <v>1742.3939899833056</v>
      </c>
      <c r="J91" s="437"/>
      <c r="M91"/>
      <c r="N91"/>
      <c r="O91"/>
      <c r="P91"/>
      <c r="Q91"/>
      <c r="R91"/>
      <c r="S91"/>
      <c r="T91"/>
      <c r="U91"/>
      <c r="V91"/>
      <c r="W91"/>
      <c r="X91"/>
      <c r="Y91"/>
      <c r="AA91"/>
      <c r="AC91" s="448"/>
      <c r="AE91"/>
    </row>
    <row r="92" spans="1:31" ht="15" customHeight="1" x14ac:dyDescent="0.45">
      <c r="A92" s="32"/>
      <c r="B92" s="4"/>
      <c r="C92" s="2" t="s">
        <v>114</v>
      </c>
      <c r="D92" s="2" t="str">
        <f t="shared" si="7"/>
        <v>Steamer</v>
      </c>
      <c r="E92" s="23" t="s">
        <v>545</v>
      </c>
      <c r="F92" s="23" t="s">
        <v>209</v>
      </c>
      <c r="H92" s="83">
        <f>'Capex 2'!F15*1.2</f>
        <v>5400000</v>
      </c>
      <c r="I92" s="83">
        <f t="shared" si="8"/>
        <v>9015.0250417362276</v>
      </c>
      <c r="J92" s="437"/>
      <c r="M92"/>
      <c r="N92"/>
      <c r="O92"/>
      <c r="P92"/>
      <c r="Q92"/>
      <c r="R92"/>
      <c r="S92"/>
      <c r="T92"/>
      <c r="U92"/>
      <c r="V92"/>
      <c r="W92"/>
      <c r="X92"/>
      <c r="Y92"/>
      <c r="AA92"/>
      <c r="AC92" s="448"/>
      <c r="AE92"/>
    </row>
    <row r="93" spans="1:31" ht="15" customHeight="1" x14ac:dyDescent="0.45">
      <c r="A93" s="32"/>
      <c r="B93" s="4"/>
      <c r="C93" s="2" t="s">
        <v>114</v>
      </c>
      <c r="D93" s="2" t="str">
        <f t="shared" si="7"/>
        <v>Hangar dryer</v>
      </c>
      <c r="E93" s="23" t="s">
        <v>545</v>
      </c>
      <c r="F93" s="23" t="s">
        <v>209</v>
      </c>
      <c r="H93" s="83">
        <f>'Capex 2'!F16*1.2</f>
        <v>6600000</v>
      </c>
      <c r="I93" s="83">
        <f t="shared" si="8"/>
        <v>11018.363939899833</v>
      </c>
      <c r="J93" s="437"/>
      <c r="M93"/>
      <c r="N93"/>
      <c r="O93"/>
      <c r="P93"/>
      <c r="Q93"/>
      <c r="R93"/>
      <c r="S93"/>
      <c r="T93"/>
      <c r="U93"/>
      <c r="V93"/>
      <c r="W93"/>
      <c r="X93"/>
      <c r="Y93"/>
      <c r="AA93"/>
      <c r="AC93" s="448"/>
      <c r="AE93"/>
    </row>
    <row r="94" spans="1:31" ht="15" customHeight="1" x14ac:dyDescent="0.45">
      <c r="A94" s="32"/>
      <c r="B94" s="4"/>
      <c r="C94" s="2" t="s">
        <v>114</v>
      </c>
      <c r="D94" s="2" t="str">
        <f t="shared" si="7"/>
        <v>Shelling machine,  Henan My Only Food Machine Co., Ltd.</v>
      </c>
      <c r="E94" s="23" t="s">
        <v>545</v>
      </c>
      <c r="F94" s="23" t="s">
        <v>209</v>
      </c>
      <c r="H94" s="83">
        <f>'Capex 2'!F17*1.2</f>
        <v>5040000</v>
      </c>
      <c r="I94" s="83">
        <f t="shared" si="8"/>
        <v>8414.0233722871453</v>
      </c>
      <c r="J94" s="437"/>
      <c r="M94"/>
      <c r="N94"/>
      <c r="O94"/>
      <c r="P94"/>
      <c r="Q94"/>
      <c r="R94"/>
      <c r="S94"/>
      <c r="T94"/>
      <c r="U94"/>
      <c r="V94"/>
      <c r="W94"/>
      <c r="X94"/>
      <c r="Y94"/>
      <c r="AA94"/>
      <c r="AC94" s="448"/>
      <c r="AE94"/>
    </row>
    <row r="95" spans="1:31" ht="15" customHeight="1" x14ac:dyDescent="0.45">
      <c r="A95" s="32"/>
      <c r="B95" s="4"/>
      <c r="C95" s="2" t="s">
        <v>114</v>
      </c>
      <c r="D95" s="2" t="str">
        <f t="shared" si="7"/>
        <v xml:space="preserve">Almond Packaging </v>
      </c>
      <c r="E95" s="23" t="s">
        <v>545</v>
      </c>
      <c r="F95" s="23" t="s">
        <v>209</v>
      </c>
      <c r="H95" s="83">
        <f>'Capex 2'!F18*1.2</f>
        <v>600000</v>
      </c>
      <c r="I95" s="83">
        <f t="shared" si="8"/>
        <v>1001.669449081803</v>
      </c>
      <c r="J95" s="437"/>
      <c r="M95"/>
      <c r="N95"/>
      <c r="O95"/>
      <c r="P95"/>
      <c r="Q95"/>
      <c r="R95"/>
      <c r="S95"/>
      <c r="T95"/>
      <c r="U95"/>
      <c r="V95"/>
      <c r="W95"/>
      <c r="X95"/>
      <c r="Y95"/>
      <c r="AA95"/>
      <c r="AC95" s="448"/>
      <c r="AE95"/>
    </row>
    <row r="96" spans="1:31" ht="15" customHeight="1" x14ac:dyDescent="0.45">
      <c r="A96" s="32"/>
      <c r="B96" s="4"/>
      <c r="C96" s="2" t="s">
        <v>114</v>
      </c>
      <c r="D96" s="2" t="str">
        <f t="shared" si="7"/>
        <v>Pulp dryer</v>
      </c>
      <c r="E96" s="23" t="s">
        <v>545</v>
      </c>
      <c r="F96" s="23" t="s">
        <v>209</v>
      </c>
      <c r="H96" s="83">
        <f>'Capex 2'!F19*1.2</f>
        <v>36000000</v>
      </c>
      <c r="I96" s="83">
        <f t="shared" si="8"/>
        <v>60100.166944908182</v>
      </c>
      <c r="J96" s="437"/>
      <c r="M96"/>
      <c r="N96"/>
      <c r="O96"/>
      <c r="P96"/>
      <c r="Q96"/>
      <c r="R96"/>
      <c r="S96"/>
      <c r="T96"/>
      <c r="U96"/>
      <c r="V96"/>
      <c r="W96"/>
      <c r="X96"/>
      <c r="Y96"/>
      <c r="AA96"/>
      <c r="AC96" s="448"/>
      <c r="AE96"/>
    </row>
    <row r="97" spans="1:31" ht="15" customHeight="1" x14ac:dyDescent="0.45">
      <c r="A97" s="32"/>
      <c r="B97" s="4"/>
      <c r="C97" s="2" t="s">
        <v>114</v>
      </c>
      <c r="D97" s="2" t="str">
        <f t="shared" si="7"/>
        <v>Thermal installation</v>
      </c>
      <c r="E97" s="23" t="s">
        <v>545</v>
      </c>
      <c r="F97" s="23" t="s">
        <v>209</v>
      </c>
      <c r="H97" s="83">
        <f>'Capex 2'!F20*1.2</f>
        <v>11160000</v>
      </c>
      <c r="I97" s="83">
        <f t="shared" si="8"/>
        <v>18631.051752921536</v>
      </c>
      <c r="J97" s="437"/>
      <c r="M97"/>
      <c r="N97"/>
      <c r="O97"/>
      <c r="P97"/>
      <c r="Q97"/>
      <c r="R97"/>
      <c r="S97"/>
      <c r="T97"/>
      <c r="U97"/>
      <c r="V97"/>
      <c r="W97"/>
      <c r="X97"/>
      <c r="Y97"/>
      <c r="AA97"/>
      <c r="AC97" s="448"/>
      <c r="AE97"/>
    </row>
    <row r="98" spans="1:31" ht="15" customHeight="1" x14ac:dyDescent="0.45">
      <c r="A98" s="32"/>
      <c r="B98" s="4"/>
      <c r="C98" s="2" t="s">
        <v>114</v>
      </c>
      <c r="D98" s="2" t="str">
        <f t="shared" si="7"/>
        <v>Dried pulp packaging machine  Zhejiang Ruibao Packaging Machine Co., Ltd.</v>
      </c>
      <c r="E98" s="23" t="s">
        <v>545</v>
      </c>
      <c r="F98" s="23" t="s">
        <v>209</v>
      </c>
      <c r="H98" s="83">
        <f>'Capex 2'!F21*1.2</f>
        <v>2280000</v>
      </c>
      <c r="I98" s="83">
        <f t="shared" si="8"/>
        <v>3806.3439065108514</v>
      </c>
      <c r="J98" s="437"/>
      <c r="M98"/>
      <c r="N98"/>
      <c r="O98"/>
      <c r="P98"/>
      <c r="Q98"/>
      <c r="R98"/>
      <c r="S98"/>
      <c r="T98"/>
      <c r="U98"/>
      <c r="V98"/>
      <c r="W98"/>
      <c r="X98"/>
      <c r="Y98"/>
      <c r="AA98"/>
      <c r="AC98" s="448"/>
      <c r="AE98"/>
    </row>
    <row r="99" spans="1:31" ht="15" customHeight="1" x14ac:dyDescent="0.45">
      <c r="A99" s="32"/>
      <c r="B99" s="4"/>
      <c r="C99" s="2" t="s">
        <v>114</v>
      </c>
      <c r="D99" s="2" t="str">
        <f t="shared" si="7"/>
        <v>Dried pulp packaging table</v>
      </c>
      <c r="E99" s="23" t="s">
        <v>545</v>
      </c>
      <c r="F99" s="23" t="s">
        <v>209</v>
      </c>
      <c r="H99" s="83">
        <f>'Capex 2'!F22*1.2</f>
        <v>2088000</v>
      </c>
      <c r="I99" s="83">
        <f t="shared" si="8"/>
        <v>3485.8096828046746</v>
      </c>
      <c r="J99" s="437"/>
      <c r="M99"/>
      <c r="N99"/>
      <c r="O99"/>
      <c r="P99"/>
      <c r="Q99"/>
      <c r="R99"/>
      <c r="S99"/>
      <c r="T99"/>
      <c r="U99"/>
      <c r="V99"/>
      <c r="W99"/>
      <c r="X99"/>
      <c r="Y99"/>
      <c r="AA99"/>
      <c r="AC99" s="448"/>
      <c r="AE99"/>
    </row>
    <row r="100" spans="1:31" ht="15" customHeight="1" x14ac:dyDescent="0.45">
      <c r="A100" s="32"/>
      <c r="B100" s="4"/>
      <c r="C100" s="2" t="s">
        <v>114</v>
      </c>
      <c r="D100" s="2" t="str">
        <f t="shared" si="7"/>
        <v>Production tools</v>
      </c>
      <c r="E100" s="23" t="s">
        <v>545</v>
      </c>
      <c r="F100" s="23" t="s">
        <v>209</v>
      </c>
      <c r="H100" s="83">
        <f>'Capex 2'!F23*1.2</f>
        <v>9600000</v>
      </c>
      <c r="I100" s="83">
        <f t="shared" si="8"/>
        <v>16026.711185308848</v>
      </c>
      <c r="J100"/>
      <c r="M100"/>
      <c r="N100"/>
      <c r="O100"/>
      <c r="P100"/>
      <c r="Q100"/>
      <c r="R100"/>
      <c r="S100"/>
      <c r="T100"/>
      <c r="U100"/>
      <c r="V100"/>
      <c r="W100"/>
      <c r="X100"/>
      <c r="Y100"/>
      <c r="AA100"/>
      <c r="AC100" s="448"/>
      <c r="AE100"/>
    </row>
    <row r="101" spans="1:31" ht="15" customHeight="1" x14ac:dyDescent="0.45">
      <c r="A101" s="32"/>
      <c r="B101" s="4"/>
      <c r="C101" s="2" t="s">
        <v>114</v>
      </c>
      <c r="D101" s="2" t="str">
        <f t="shared" si="7"/>
        <v>Transport Installation and Commissioning</v>
      </c>
      <c r="E101" s="23" t="s">
        <v>545</v>
      </c>
      <c r="F101" s="23" t="s">
        <v>209</v>
      </c>
      <c r="H101" s="83">
        <f>'Capex 2'!F24*1.2</f>
        <v>43256923.5</v>
      </c>
      <c r="I101" s="83">
        <f t="shared" si="8"/>
        <v>72215.231218697823</v>
      </c>
      <c r="J101"/>
      <c r="M101"/>
      <c r="N101"/>
      <c r="O101"/>
      <c r="P101"/>
      <c r="Q101"/>
      <c r="R101"/>
      <c r="S101"/>
      <c r="T101"/>
      <c r="U101"/>
      <c r="V101"/>
      <c r="W101"/>
      <c r="X101"/>
      <c r="Y101"/>
      <c r="AA101"/>
      <c r="AC101" s="448"/>
      <c r="AE101"/>
    </row>
    <row r="102" spans="1:31" ht="15" customHeight="1" x14ac:dyDescent="0.45">
      <c r="A102" s="32"/>
      <c r="B102" s="4"/>
      <c r="C102" s="2" t="s">
        <v>114</v>
      </c>
      <c r="D102" s="2" t="str">
        <f t="shared" si="7"/>
        <v>Vehicules</v>
      </c>
      <c r="E102" s="23" t="s">
        <v>545</v>
      </c>
      <c r="F102" s="23" t="s">
        <v>209</v>
      </c>
      <c r="H102" s="83">
        <f>'Capex 2'!F25*1.2</f>
        <v>6960000</v>
      </c>
      <c r="I102" s="83">
        <f t="shared" si="8"/>
        <v>11619.365609348915</v>
      </c>
      <c r="J102"/>
      <c r="M102"/>
      <c r="N102"/>
      <c r="O102"/>
      <c r="P102"/>
      <c r="Q102"/>
      <c r="R102"/>
      <c r="S102"/>
      <c r="T102"/>
      <c r="U102"/>
      <c r="V102"/>
      <c r="W102"/>
      <c r="X102"/>
      <c r="Y102"/>
      <c r="AA102"/>
      <c r="AC102" s="448"/>
      <c r="AE102"/>
    </row>
    <row r="103" spans="1:31" ht="15" customHeight="1" x14ac:dyDescent="0.45">
      <c r="A103" s="32"/>
      <c r="B103" s="4"/>
      <c r="C103" s="2" t="s">
        <v>114</v>
      </c>
      <c r="D103" s="2">
        <f>D79</f>
        <v>0</v>
      </c>
      <c r="E103" s="23" t="s">
        <v>545</v>
      </c>
      <c r="F103" s="23" t="s">
        <v>209</v>
      </c>
      <c r="H103" s="83"/>
      <c r="I103" s="83">
        <f t="shared" si="8"/>
        <v>0</v>
      </c>
      <c r="J103"/>
      <c r="M103"/>
      <c r="N103"/>
      <c r="O103"/>
      <c r="P103"/>
      <c r="Q103"/>
      <c r="R103"/>
      <c r="S103"/>
      <c r="T103"/>
      <c r="U103"/>
      <c r="V103"/>
      <c r="W103"/>
      <c r="X103"/>
      <c r="Y103"/>
      <c r="AA103"/>
      <c r="AC103" s="448"/>
      <c r="AE103"/>
    </row>
    <row r="104" spans="1:31" ht="15" customHeight="1" x14ac:dyDescent="0.45">
      <c r="A104" s="32"/>
      <c r="B104" s="4"/>
      <c r="C104" s="2" t="s">
        <v>114</v>
      </c>
      <c r="D104" s="2">
        <f>D80</f>
        <v>0</v>
      </c>
      <c r="E104" s="23" t="s">
        <v>545</v>
      </c>
      <c r="F104" s="23" t="s">
        <v>209</v>
      </c>
      <c r="H104" s="83"/>
      <c r="I104" s="83">
        <f t="shared" si="8"/>
        <v>0</v>
      </c>
      <c r="J104"/>
      <c r="M104"/>
      <c r="N104"/>
      <c r="O104"/>
      <c r="P104"/>
      <c r="Q104"/>
      <c r="R104"/>
      <c r="S104"/>
      <c r="T104"/>
      <c r="U104"/>
      <c r="V104"/>
      <c r="W104"/>
      <c r="X104"/>
      <c r="Y104"/>
      <c r="AA104"/>
      <c r="AC104" s="448"/>
      <c r="AE104"/>
    </row>
    <row r="105" spans="1:31" ht="15" customHeight="1" x14ac:dyDescent="0.45">
      <c r="A105" s="32"/>
      <c r="B105" s="4"/>
      <c r="C105" s="2" t="s">
        <v>114</v>
      </c>
      <c r="D105" s="2">
        <f>D81</f>
        <v>0</v>
      </c>
      <c r="E105" s="23" t="s">
        <v>545</v>
      </c>
      <c r="F105" s="23" t="s">
        <v>209</v>
      </c>
      <c r="H105" s="83"/>
      <c r="I105" s="83">
        <f t="shared" si="8"/>
        <v>0</v>
      </c>
      <c r="J105"/>
      <c r="M105"/>
      <c r="N105"/>
      <c r="O105"/>
      <c r="P105"/>
      <c r="Q105"/>
      <c r="R105"/>
      <c r="S105"/>
      <c r="T105"/>
      <c r="U105"/>
      <c r="V105"/>
      <c r="W105"/>
      <c r="X105"/>
      <c r="Y105"/>
      <c r="AA105"/>
      <c r="AC105" s="448"/>
      <c r="AE105"/>
    </row>
    <row r="106" spans="1:31" ht="15" customHeight="1" x14ac:dyDescent="0.45">
      <c r="A106" s="32"/>
      <c r="B106" s="4"/>
      <c r="G106" s="124"/>
      <c r="K106"/>
      <c r="M106"/>
      <c r="N106"/>
      <c r="O106"/>
      <c r="P106"/>
      <c r="Q106"/>
      <c r="R106"/>
      <c r="S106"/>
      <c r="T106"/>
      <c r="U106"/>
      <c r="V106"/>
      <c r="W106"/>
      <c r="X106"/>
      <c r="Y106"/>
      <c r="AA106"/>
      <c r="AC106" s="448"/>
      <c r="AE106"/>
    </row>
    <row r="107" spans="1:31" ht="15" customHeight="1" x14ac:dyDescent="0.45">
      <c r="A107" s="32"/>
      <c r="B107" s="4" t="s">
        <v>500</v>
      </c>
      <c r="G107" s="124"/>
      <c r="H107" s="24" t="s">
        <v>212</v>
      </c>
      <c r="J107"/>
      <c r="K107"/>
      <c r="M107"/>
      <c r="N107"/>
      <c r="O107"/>
      <c r="P107"/>
      <c r="Q107"/>
      <c r="R107"/>
      <c r="S107"/>
      <c r="T107"/>
      <c r="U107"/>
      <c r="V107"/>
      <c r="W107"/>
      <c r="X107"/>
      <c r="Z107"/>
      <c r="AC107" s="448"/>
      <c r="AD107"/>
    </row>
    <row r="108" spans="1:31" s="4" customFormat="1" ht="15" customHeight="1" x14ac:dyDescent="0.45">
      <c r="A108" s="92"/>
      <c r="C108" s="4" t="s">
        <v>114</v>
      </c>
      <c r="D108" s="181" t="s">
        <v>516</v>
      </c>
      <c r="E108" s="70" t="s">
        <v>135</v>
      </c>
      <c r="F108" s="70" t="s">
        <v>208</v>
      </c>
      <c r="G108" s="443"/>
      <c r="H108" s="444">
        <v>21</v>
      </c>
      <c r="I108" s="1" t="s">
        <v>151</v>
      </c>
      <c r="J108" s="1"/>
      <c r="K108" s="1"/>
      <c r="M108" s="1"/>
      <c r="N108" s="1"/>
      <c r="O108" s="1"/>
      <c r="P108" s="1"/>
      <c r="Q108" s="1"/>
      <c r="R108" s="1"/>
      <c r="S108" s="1"/>
      <c r="T108" s="1"/>
      <c r="U108" s="1"/>
      <c r="V108" s="1"/>
      <c r="W108" s="1"/>
      <c r="X108" s="1"/>
      <c r="Z108" s="1"/>
      <c r="AC108" s="449"/>
      <c r="AD108" s="1"/>
    </row>
    <row r="109" spans="1:31" ht="15" customHeight="1" x14ac:dyDescent="0.45">
      <c r="A109" s="32"/>
      <c r="B109" s="4"/>
      <c r="C109" s="2" t="s">
        <v>114</v>
      </c>
      <c r="D109" s="442" t="str">
        <f>'Capex 2'!B28</f>
        <v>Landscaping</v>
      </c>
      <c r="E109" s="23" t="s">
        <v>135</v>
      </c>
      <c r="F109" s="23" t="s">
        <v>208</v>
      </c>
      <c r="G109" s="124"/>
      <c r="H109" s="125">
        <v>21</v>
      </c>
      <c r="I109" t="s">
        <v>151</v>
      </c>
      <c r="J109"/>
      <c r="K109"/>
      <c r="M109"/>
      <c r="N109"/>
      <c r="O109"/>
      <c r="P109"/>
      <c r="Q109"/>
      <c r="R109"/>
      <c r="S109"/>
      <c r="T109"/>
      <c r="U109"/>
      <c r="V109"/>
      <c r="W109"/>
      <c r="X109"/>
      <c r="Z109"/>
      <c r="AC109" s="448"/>
      <c r="AD109"/>
    </row>
    <row r="110" spans="1:31" ht="15" customHeight="1" x14ac:dyDescent="0.45">
      <c r="A110" s="32"/>
      <c r="B110" s="4"/>
      <c r="C110" s="2" t="s">
        <v>114</v>
      </c>
      <c r="D110" s="545" t="str">
        <f>'Capex 2'!B29</f>
        <v>Building</v>
      </c>
      <c r="E110" s="23" t="s">
        <v>135</v>
      </c>
      <c r="F110" s="23" t="s">
        <v>208</v>
      </c>
      <c r="G110" s="124"/>
      <c r="H110" s="125">
        <v>21</v>
      </c>
      <c r="I110" t="s">
        <v>151</v>
      </c>
      <c r="J110"/>
      <c r="K110"/>
      <c r="M110"/>
      <c r="N110"/>
      <c r="O110"/>
      <c r="P110"/>
      <c r="Q110"/>
      <c r="R110"/>
      <c r="S110"/>
      <c r="T110"/>
      <c r="U110"/>
      <c r="V110"/>
      <c r="W110"/>
      <c r="X110"/>
      <c r="Z110"/>
      <c r="AC110" s="448"/>
      <c r="AD110"/>
    </row>
    <row r="111" spans="1:31" ht="15" customHeight="1" x14ac:dyDescent="0.45">
      <c r="A111" s="32"/>
      <c r="B111" s="4"/>
      <c r="C111" s="2" t="s">
        <v>114</v>
      </c>
      <c r="D111" s="545" t="str">
        <f>'Capex 2'!B30</f>
        <v>Storage</v>
      </c>
      <c r="E111" s="23" t="s">
        <v>135</v>
      </c>
      <c r="F111" s="23" t="s">
        <v>208</v>
      </c>
      <c r="G111" s="124"/>
      <c r="H111" s="125">
        <v>21</v>
      </c>
      <c r="I111" t="s">
        <v>151</v>
      </c>
      <c r="J111"/>
      <c r="K111"/>
      <c r="M111"/>
      <c r="N111"/>
      <c r="O111"/>
      <c r="P111"/>
      <c r="Q111"/>
      <c r="R111"/>
      <c r="S111"/>
      <c r="T111"/>
      <c r="U111"/>
      <c r="V111"/>
      <c r="W111"/>
      <c r="X111"/>
      <c r="Z111"/>
      <c r="AC111" s="448"/>
      <c r="AD111"/>
    </row>
    <row r="112" spans="1:31" ht="15" customHeight="1" x14ac:dyDescent="0.45">
      <c r="A112" s="32"/>
      <c r="B112" s="4"/>
      <c r="C112" s="2" t="s">
        <v>114</v>
      </c>
      <c r="D112" s="545" t="str">
        <f>'Capex 2'!B31</f>
        <v>Water System</v>
      </c>
      <c r="E112" s="23" t="s">
        <v>135</v>
      </c>
      <c r="F112" s="23" t="s">
        <v>208</v>
      </c>
      <c r="G112" s="124"/>
      <c r="H112" s="125">
        <v>21</v>
      </c>
      <c r="I112" t="s">
        <v>151</v>
      </c>
      <c r="J112"/>
      <c r="K112"/>
      <c r="M112"/>
      <c r="N112"/>
      <c r="O112"/>
      <c r="P112"/>
      <c r="Q112"/>
      <c r="R112"/>
      <c r="S112"/>
      <c r="T112"/>
      <c r="U112"/>
      <c r="V112"/>
      <c r="W112"/>
      <c r="X112"/>
      <c r="Z112"/>
      <c r="AC112" s="448"/>
      <c r="AD112"/>
    </row>
    <row r="113" spans="1:30" ht="15" customHeight="1" x14ac:dyDescent="0.45">
      <c r="A113" s="32"/>
      <c r="B113" s="4"/>
      <c r="C113" s="2" t="s">
        <v>114</v>
      </c>
      <c r="D113" s="545" t="str">
        <f>'Capex 2'!B32</f>
        <v>Electricity</v>
      </c>
      <c r="E113" s="23" t="s">
        <v>135</v>
      </c>
      <c r="F113" s="23" t="s">
        <v>208</v>
      </c>
      <c r="G113" s="124"/>
      <c r="H113" s="125">
        <v>21</v>
      </c>
      <c r="I113" t="s">
        <v>151</v>
      </c>
      <c r="J113"/>
      <c r="K113"/>
      <c r="M113"/>
      <c r="N113"/>
      <c r="O113"/>
      <c r="P113"/>
      <c r="Q113"/>
      <c r="R113"/>
      <c r="S113"/>
      <c r="T113"/>
      <c r="U113"/>
      <c r="V113"/>
      <c r="W113"/>
      <c r="X113"/>
      <c r="Z113"/>
      <c r="AC113" s="448"/>
      <c r="AD113"/>
    </row>
    <row r="114" spans="1:30" ht="15" customHeight="1" x14ac:dyDescent="0.45">
      <c r="A114" s="32"/>
      <c r="B114" s="4"/>
      <c r="C114" s="2" t="s">
        <v>114</v>
      </c>
      <c r="D114" s="545" t="str">
        <f>'Capex 2'!B33</f>
        <v>Waste Management</v>
      </c>
      <c r="E114" s="23" t="s">
        <v>135</v>
      </c>
      <c r="F114" s="23" t="s">
        <v>208</v>
      </c>
      <c r="G114" s="124"/>
      <c r="H114" s="125">
        <v>21</v>
      </c>
      <c r="I114" t="s">
        <v>151</v>
      </c>
      <c r="J114"/>
      <c r="K114"/>
      <c r="M114"/>
      <c r="N114"/>
      <c r="O114"/>
      <c r="P114"/>
      <c r="Q114"/>
      <c r="R114"/>
      <c r="S114"/>
      <c r="T114"/>
      <c r="U114"/>
      <c r="V114"/>
      <c r="W114"/>
      <c r="X114"/>
      <c r="Z114"/>
      <c r="AC114" s="448"/>
      <c r="AD114"/>
    </row>
    <row r="115" spans="1:30" ht="15" customHeight="1" x14ac:dyDescent="0.45">
      <c r="A115" s="32"/>
      <c r="B115" s="4"/>
      <c r="C115" s="2" t="s">
        <v>114</v>
      </c>
      <c r="D115" s="545" t="str">
        <f>'Capex 2'!B34</f>
        <v>Dry cleaner NSD 0</v>
      </c>
      <c r="E115" s="23" t="s">
        <v>135</v>
      </c>
      <c r="F115" s="23" t="s">
        <v>208</v>
      </c>
      <c r="G115" s="124"/>
      <c r="H115" s="125">
        <v>21</v>
      </c>
      <c r="I115" t="s">
        <v>151</v>
      </c>
      <c r="J115"/>
      <c r="K115"/>
      <c r="M115"/>
      <c r="N115"/>
      <c r="O115"/>
      <c r="P115"/>
      <c r="Q115"/>
      <c r="R115"/>
      <c r="S115"/>
      <c r="T115"/>
      <c r="U115"/>
      <c r="V115"/>
      <c r="W115"/>
      <c r="X115"/>
      <c r="Z115"/>
      <c r="AC115" s="448"/>
      <c r="AD115"/>
    </row>
    <row r="116" spans="1:30" ht="15" customHeight="1" x14ac:dyDescent="0.45">
      <c r="A116" s="32"/>
      <c r="B116" s="4"/>
      <c r="C116" s="2" t="s">
        <v>114</v>
      </c>
      <c r="D116" s="545" t="str">
        <f>'Capex 2'!B35</f>
        <v xml:space="preserve">Crusher </v>
      </c>
      <c r="E116" s="23" t="s">
        <v>135</v>
      </c>
      <c r="F116" s="23" t="s">
        <v>208</v>
      </c>
      <c r="G116" s="124"/>
      <c r="H116" s="125">
        <v>21</v>
      </c>
      <c r="I116" t="s">
        <v>151</v>
      </c>
      <c r="J116"/>
      <c r="K116"/>
      <c r="M116"/>
      <c r="N116"/>
      <c r="O116"/>
      <c r="P116"/>
      <c r="Q116"/>
      <c r="R116"/>
      <c r="S116"/>
      <c r="T116"/>
      <c r="U116"/>
      <c r="V116"/>
      <c r="W116"/>
      <c r="X116"/>
      <c r="Z116"/>
      <c r="AC116" s="448"/>
      <c r="AD116"/>
    </row>
    <row r="117" spans="1:30" ht="15" customHeight="1" x14ac:dyDescent="0.45">
      <c r="A117" s="32"/>
      <c r="B117" s="4"/>
      <c r="C117" s="2" t="s">
        <v>114</v>
      </c>
      <c r="D117" s="545" t="str">
        <f>'Capex 2'!B36</f>
        <v>Shea nut drying/roasting unit</v>
      </c>
      <c r="E117" s="23" t="s">
        <v>135</v>
      </c>
      <c r="F117" s="23" t="s">
        <v>208</v>
      </c>
      <c r="G117" s="124"/>
      <c r="H117" s="125">
        <v>21</v>
      </c>
      <c r="I117" t="s">
        <v>151</v>
      </c>
      <c r="J117"/>
      <c r="K117"/>
      <c r="M117"/>
      <c r="N117"/>
      <c r="O117"/>
      <c r="P117"/>
      <c r="Q117"/>
      <c r="R117"/>
      <c r="S117"/>
      <c r="T117"/>
      <c r="U117"/>
      <c r="V117"/>
      <c r="W117"/>
      <c r="X117"/>
      <c r="Z117"/>
      <c r="AC117" s="448"/>
      <c r="AD117"/>
    </row>
    <row r="118" spans="1:30" ht="15" customHeight="1" x14ac:dyDescent="0.45">
      <c r="A118" s="32"/>
      <c r="B118" s="4"/>
      <c r="C118" s="2" t="s">
        <v>114</v>
      </c>
      <c r="D118" s="545" t="str">
        <f>'Capex 2'!B37</f>
        <v>Press MBU 40</v>
      </c>
      <c r="E118" s="23" t="s">
        <v>135</v>
      </c>
      <c r="F118" s="23" t="s">
        <v>208</v>
      </c>
      <c r="G118" s="124"/>
      <c r="H118" s="125">
        <v>21</v>
      </c>
      <c r="I118" t="s">
        <v>151</v>
      </c>
      <c r="J118"/>
      <c r="K118"/>
      <c r="M118"/>
      <c r="N118"/>
      <c r="O118"/>
      <c r="P118"/>
      <c r="Q118"/>
      <c r="R118"/>
      <c r="S118"/>
      <c r="T118"/>
      <c r="U118"/>
      <c r="V118"/>
      <c r="W118"/>
      <c r="X118"/>
      <c r="Z118"/>
      <c r="AC118" s="448"/>
      <c r="AD118"/>
    </row>
    <row r="119" spans="1:30" ht="15" customHeight="1" x14ac:dyDescent="0.45">
      <c r="A119" s="32"/>
      <c r="B119" s="4"/>
      <c r="C119" s="2" t="s">
        <v>114</v>
      </c>
      <c r="D119" s="545" t="str">
        <f>'Capex 2'!B38</f>
        <v>Thermal installation</v>
      </c>
      <c r="E119" s="23" t="s">
        <v>135</v>
      </c>
      <c r="F119" s="23" t="s">
        <v>208</v>
      </c>
      <c r="G119" s="124"/>
      <c r="H119" s="125">
        <v>21</v>
      </c>
      <c r="I119" t="s">
        <v>151</v>
      </c>
      <c r="J119"/>
      <c r="K119"/>
      <c r="M119"/>
      <c r="N119"/>
      <c r="O119"/>
      <c r="P119"/>
      <c r="Q119"/>
      <c r="R119"/>
      <c r="S119"/>
      <c r="T119"/>
      <c r="U119"/>
      <c r="V119"/>
      <c r="W119"/>
      <c r="X119"/>
      <c r="Z119"/>
      <c r="AC119" s="448"/>
      <c r="AD119"/>
    </row>
    <row r="120" spans="1:30" ht="15" customHeight="1" x14ac:dyDescent="0.45">
      <c r="A120" s="32"/>
      <c r="B120" s="4"/>
      <c r="C120" s="2" t="s">
        <v>114</v>
      </c>
      <c r="D120" s="545" t="str">
        <f>'Capex 2'!B39</f>
        <v>Filter Kinetic</v>
      </c>
      <c r="E120" s="23" t="s">
        <v>135</v>
      </c>
      <c r="F120" s="23" t="s">
        <v>208</v>
      </c>
      <c r="G120" s="124"/>
      <c r="H120" s="125">
        <v>21</v>
      </c>
      <c r="I120" t="s">
        <v>151</v>
      </c>
      <c r="J120"/>
      <c r="K120"/>
      <c r="M120"/>
      <c r="N120"/>
      <c r="O120"/>
      <c r="P120"/>
      <c r="Q120"/>
      <c r="R120"/>
      <c r="S120"/>
      <c r="T120"/>
      <c r="U120"/>
      <c r="V120"/>
      <c r="W120"/>
      <c r="X120"/>
      <c r="Z120"/>
      <c r="AC120" s="448"/>
      <c r="AD120"/>
    </row>
    <row r="121" spans="1:30" ht="15" customHeight="1" x14ac:dyDescent="0.45">
      <c r="A121" s="32"/>
      <c r="B121" s="4"/>
      <c r="C121" s="2" t="s">
        <v>114</v>
      </c>
      <c r="D121" s="545" t="str">
        <f>'Capex 2'!B40</f>
        <v>Packaging Filling and labelling machine</v>
      </c>
      <c r="E121" s="23" t="s">
        <v>135</v>
      </c>
      <c r="F121" s="23" t="s">
        <v>208</v>
      </c>
      <c r="G121" s="124"/>
      <c r="H121" s="125">
        <v>21</v>
      </c>
      <c r="I121" t="s">
        <v>151</v>
      </c>
      <c r="J121"/>
      <c r="K121"/>
      <c r="M121"/>
      <c r="N121"/>
      <c r="O121"/>
      <c r="P121"/>
      <c r="Q121"/>
      <c r="R121"/>
      <c r="S121"/>
      <c r="T121"/>
      <c r="U121"/>
      <c r="V121"/>
      <c r="W121"/>
      <c r="X121"/>
      <c r="Z121"/>
      <c r="AC121" s="448"/>
      <c r="AD121"/>
    </row>
    <row r="122" spans="1:30" ht="15" customHeight="1" x14ac:dyDescent="0.45">
      <c r="A122" s="32"/>
      <c r="B122" s="4"/>
      <c r="C122" s="2" t="s">
        <v>114</v>
      </c>
      <c r="D122" s="545" t="str">
        <f>'Capex 2'!B41</f>
        <v>Packaging table</v>
      </c>
      <c r="E122" s="23" t="s">
        <v>135</v>
      </c>
      <c r="F122" s="23" t="s">
        <v>208</v>
      </c>
      <c r="G122" s="124"/>
      <c r="H122" s="125">
        <v>21</v>
      </c>
      <c r="I122" t="s">
        <v>151</v>
      </c>
      <c r="J122"/>
      <c r="K122"/>
      <c r="M122"/>
      <c r="N122"/>
      <c r="O122"/>
      <c r="P122"/>
      <c r="Q122"/>
      <c r="R122"/>
      <c r="S122"/>
      <c r="T122"/>
      <c r="U122"/>
      <c r="V122"/>
      <c r="W122"/>
      <c r="X122"/>
      <c r="Z122"/>
      <c r="AC122" s="448"/>
      <c r="AD122"/>
    </row>
    <row r="123" spans="1:30" ht="15" customHeight="1" x14ac:dyDescent="0.45">
      <c r="A123" s="32"/>
      <c r="B123" s="4"/>
      <c r="C123" s="2" t="s">
        <v>114</v>
      </c>
      <c r="D123" s="545" t="str">
        <f>'Capex 2'!B42</f>
        <v>Production tools</v>
      </c>
      <c r="E123" s="23" t="s">
        <v>135</v>
      </c>
      <c r="F123" s="23" t="s">
        <v>208</v>
      </c>
      <c r="G123" s="124"/>
      <c r="H123" s="125">
        <v>21</v>
      </c>
      <c r="I123" t="s">
        <v>151</v>
      </c>
      <c r="J123"/>
      <c r="K123"/>
      <c r="M123"/>
      <c r="N123"/>
      <c r="O123"/>
      <c r="P123"/>
      <c r="Q123"/>
      <c r="R123"/>
      <c r="S123"/>
      <c r="T123"/>
      <c r="U123"/>
      <c r="V123"/>
      <c r="W123"/>
      <c r="X123"/>
      <c r="Z123"/>
      <c r="AC123" s="448"/>
      <c r="AD123"/>
    </row>
    <row r="124" spans="1:30" ht="15" customHeight="1" x14ac:dyDescent="0.45">
      <c r="A124" s="32"/>
      <c r="B124" s="4"/>
      <c r="C124" s="2" t="s">
        <v>114</v>
      </c>
      <c r="D124" s="545" t="str">
        <f>'Capex 2'!B43</f>
        <v>Transport Installation and Commissioning</v>
      </c>
      <c r="E124" s="23" t="s">
        <v>135</v>
      </c>
      <c r="F124" s="23" t="s">
        <v>208</v>
      </c>
      <c r="G124" s="124"/>
      <c r="H124" s="125">
        <v>21</v>
      </c>
      <c r="I124" t="s">
        <v>151</v>
      </c>
      <c r="J124"/>
      <c r="K124"/>
      <c r="M124"/>
      <c r="N124"/>
      <c r="O124"/>
      <c r="P124"/>
      <c r="Q124"/>
      <c r="R124"/>
      <c r="S124"/>
      <c r="T124"/>
      <c r="U124"/>
      <c r="V124"/>
      <c r="W124"/>
      <c r="X124"/>
      <c r="Z124"/>
      <c r="AC124" s="448"/>
      <c r="AD124"/>
    </row>
    <row r="125" spans="1:30" ht="15" customHeight="1" x14ac:dyDescent="0.45">
      <c r="A125" s="32"/>
      <c r="B125" s="4"/>
      <c r="C125" s="2" t="s">
        <v>114</v>
      </c>
      <c r="D125" s="545" t="str">
        <f>'Capex 2'!B44</f>
        <v>Vehicles</v>
      </c>
      <c r="E125" s="23" t="s">
        <v>135</v>
      </c>
      <c r="F125" s="23" t="s">
        <v>208</v>
      </c>
      <c r="G125" s="124"/>
      <c r="H125" s="125">
        <v>21</v>
      </c>
      <c r="I125" t="s">
        <v>151</v>
      </c>
      <c r="J125"/>
      <c r="K125"/>
      <c r="M125"/>
      <c r="N125"/>
      <c r="O125"/>
      <c r="P125"/>
      <c r="Q125"/>
      <c r="R125"/>
      <c r="S125"/>
      <c r="T125"/>
      <c r="U125"/>
      <c r="V125"/>
      <c r="W125"/>
      <c r="X125"/>
      <c r="Z125"/>
      <c r="AC125" s="448"/>
      <c r="AD125"/>
    </row>
    <row r="126" spans="1:30" ht="15" hidden="1" customHeight="1" x14ac:dyDescent="0.45">
      <c r="A126" s="32"/>
      <c r="B126" s="4"/>
      <c r="C126" s="2" t="s">
        <v>114</v>
      </c>
      <c r="D126" s="545">
        <f>'Capex 2'!B45</f>
        <v>0</v>
      </c>
      <c r="E126" s="23" t="s">
        <v>135</v>
      </c>
      <c r="F126" s="23" t="s">
        <v>208</v>
      </c>
      <c r="G126" s="124"/>
      <c r="H126" s="125">
        <v>21</v>
      </c>
      <c r="I126" t="s">
        <v>151</v>
      </c>
      <c r="J126"/>
      <c r="K126"/>
      <c r="M126"/>
      <c r="N126"/>
      <c r="O126"/>
      <c r="P126"/>
      <c r="Q126"/>
      <c r="R126"/>
      <c r="S126"/>
      <c r="T126"/>
      <c r="U126"/>
      <c r="V126"/>
      <c r="W126"/>
      <c r="X126"/>
      <c r="Z126"/>
      <c r="AC126" s="448"/>
      <c r="AD126"/>
    </row>
    <row r="127" spans="1:30" ht="15" customHeight="1" x14ac:dyDescent="0.45">
      <c r="A127" s="32"/>
      <c r="B127" s="4"/>
      <c r="C127" s="2" t="s">
        <v>114</v>
      </c>
      <c r="D127" s="545" t="s">
        <v>875</v>
      </c>
      <c r="E127" s="23" t="s">
        <v>135</v>
      </c>
      <c r="F127" s="23" t="s">
        <v>208</v>
      </c>
      <c r="G127" s="124"/>
      <c r="H127" s="125">
        <v>21</v>
      </c>
      <c r="I127" t="s">
        <v>151</v>
      </c>
      <c r="J127"/>
      <c r="K127"/>
      <c r="M127"/>
      <c r="N127"/>
      <c r="O127"/>
      <c r="P127"/>
      <c r="Q127"/>
      <c r="R127"/>
      <c r="S127"/>
      <c r="T127"/>
      <c r="U127"/>
      <c r="V127"/>
      <c r="W127"/>
      <c r="X127"/>
      <c r="Z127"/>
      <c r="AC127" s="448"/>
      <c r="AD127"/>
    </row>
    <row r="128" spans="1:30" ht="15" customHeight="1" x14ac:dyDescent="0.45">
      <c r="A128" s="32"/>
      <c r="B128" s="4"/>
      <c r="D128" s="442"/>
      <c r="G128" s="124"/>
      <c r="H128" s="125">
        <v>21</v>
      </c>
      <c r="I128" t="s">
        <v>151</v>
      </c>
      <c r="J128"/>
      <c r="K128"/>
      <c r="M128"/>
      <c r="N128"/>
      <c r="O128"/>
      <c r="P128"/>
      <c r="Q128"/>
      <c r="R128"/>
      <c r="S128"/>
      <c r="T128"/>
      <c r="U128"/>
      <c r="V128"/>
      <c r="W128"/>
      <c r="X128"/>
      <c r="Z128"/>
      <c r="AC128" s="448"/>
      <c r="AD128"/>
    </row>
    <row r="129" spans="1:30" ht="15" hidden="1" customHeight="1" x14ac:dyDescent="0.45">
      <c r="A129" s="32"/>
      <c r="B129" s="4"/>
      <c r="C129" s="2" t="s">
        <v>114</v>
      </c>
      <c r="D129" s="205"/>
      <c r="E129" s="23" t="s">
        <v>135</v>
      </c>
      <c r="F129" s="23" t="s">
        <v>208</v>
      </c>
      <c r="G129" s="124"/>
      <c r="H129" s="125">
        <v>10</v>
      </c>
      <c r="I129" t="s">
        <v>151</v>
      </c>
      <c r="J129"/>
      <c r="K129"/>
      <c r="M129"/>
      <c r="N129"/>
      <c r="O129"/>
      <c r="P129"/>
      <c r="Q129"/>
      <c r="R129"/>
      <c r="S129"/>
      <c r="T129"/>
      <c r="U129"/>
      <c r="V129"/>
      <c r="W129"/>
      <c r="X129"/>
      <c r="Z129"/>
      <c r="AC129" s="448"/>
      <c r="AD129"/>
    </row>
    <row r="130" spans="1:30" ht="15" hidden="1" customHeight="1" x14ac:dyDescent="0.45">
      <c r="A130" s="32"/>
      <c r="B130" s="4"/>
      <c r="C130" s="2" t="s">
        <v>114</v>
      </c>
      <c r="D130" s="442"/>
      <c r="E130" s="23" t="s">
        <v>135</v>
      </c>
      <c r="F130" s="23" t="s">
        <v>208</v>
      </c>
      <c r="G130" s="124"/>
      <c r="H130" s="125">
        <v>10</v>
      </c>
      <c r="I130" t="s">
        <v>151</v>
      </c>
      <c r="J130"/>
      <c r="K130"/>
      <c r="M130"/>
      <c r="N130"/>
      <c r="O130"/>
      <c r="P130"/>
      <c r="Q130"/>
      <c r="R130"/>
      <c r="S130"/>
      <c r="T130"/>
      <c r="U130"/>
      <c r="V130"/>
      <c r="W130"/>
      <c r="X130"/>
      <c r="Z130"/>
      <c r="AC130" s="448"/>
      <c r="AD130"/>
    </row>
    <row r="131" spans="1:30" ht="15" hidden="1" customHeight="1" x14ac:dyDescent="0.45">
      <c r="A131" s="32"/>
      <c r="B131" s="4"/>
      <c r="C131" s="2" t="s">
        <v>114</v>
      </c>
      <c r="D131" s="442"/>
      <c r="E131" s="23" t="s">
        <v>135</v>
      </c>
      <c r="F131" s="23" t="s">
        <v>208</v>
      </c>
      <c r="G131" s="124"/>
      <c r="H131" s="125">
        <v>10</v>
      </c>
      <c r="I131" t="s">
        <v>151</v>
      </c>
      <c r="J131"/>
      <c r="K131"/>
      <c r="M131"/>
      <c r="N131"/>
      <c r="O131"/>
      <c r="P131"/>
      <c r="Q131"/>
      <c r="R131"/>
      <c r="S131"/>
      <c r="T131"/>
      <c r="U131"/>
      <c r="V131"/>
      <c r="W131"/>
      <c r="X131"/>
      <c r="Z131"/>
      <c r="AC131" s="448"/>
      <c r="AD131"/>
    </row>
    <row r="132" spans="1:30" ht="15" hidden="1" customHeight="1" x14ac:dyDescent="0.45">
      <c r="A132" s="32"/>
      <c r="B132" s="4"/>
      <c r="C132" s="2" t="s">
        <v>114</v>
      </c>
      <c r="D132" s="442"/>
      <c r="E132" s="23" t="s">
        <v>135</v>
      </c>
      <c r="F132" s="23" t="s">
        <v>208</v>
      </c>
      <c r="G132" s="124"/>
      <c r="H132" s="125">
        <v>10</v>
      </c>
      <c r="I132" t="s">
        <v>151</v>
      </c>
      <c r="J132"/>
      <c r="K132"/>
      <c r="M132"/>
      <c r="N132"/>
      <c r="O132"/>
      <c r="P132"/>
      <c r="Q132"/>
      <c r="R132"/>
      <c r="S132"/>
      <c r="T132"/>
      <c r="U132"/>
      <c r="V132"/>
      <c r="W132"/>
      <c r="X132"/>
      <c r="Z132"/>
      <c r="AC132" s="448"/>
      <c r="AD132"/>
    </row>
    <row r="133" spans="1:30" ht="15" hidden="1" customHeight="1" x14ac:dyDescent="0.45">
      <c r="A133" s="32"/>
      <c r="B133" s="4"/>
      <c r="C133" s="2" t="s">
        <v>114</v>
      </c>
      <c r="D133" s="442"/>
      <c r="E133" s="23" t="s">
        <v>135</v>
      </c>
      <c r="F133" s="23" t="s">
        <v>208</v>
      </c>
      <c r="G133" s="124"/>
      <c r="H133" s="125">
        <v>10</v>
      </c>
      <c r="I133" t="s">
        <v>151</v>
      </c>
      <c r="J133"/>
      <c r="K133"/>
      <c r="M133"/>
      <c r="N133"/>
      <c r="O133"/>
      <c r="P133"/>
      <c r="Q133"/>
      <c r="R133"/>
      <c r="S133"/>
      <c r="T133"/>
      <c r="U133"/>
      <c r="V133"/>
      <c r="W133"/>
      <c r="X133"/>
      <c r="Z133"/>
      <c r="AC133" s="448"/>
      <c r="AD133"/>
    </row>
    <row r="134" spans="1:30" ht="15" hidden="1" customHeight="1" x14ac:dyDescent="0.45">
      <c r="A134" s="32"/>
      <c r="B134" s="4"/>
      <c r="C134" s="2" t="s">
        <v>114</v>
      </c>
      <c r="D134" s="173"/>
      <c r="E134" s="23" t="s">
        <v>135</v>
      </c>
      <c r="F134" s="23" t="s">
        <v>208</v>
      </c>
      <c r="G134" s="124"/>
      <c r="H134" s="125">
        <v>10</v>
      </c>
      <c r="I134" t="s">
        <v>151</v>
      </c>
      <c r="J134"/>
      <c r="K134"/>
      <c r="M134"/>
      <c r="N134"/>
      <c r="O134"/>
      <c r="P134"/>
      <c r="Q134"/>
      <c r="R134"/>
      <c r="S134"/>
      <c r="T134"/>
      <c r="U134"/>
      <c r="V134"/>
      <c r="W134"/>
      <c r="X134"/>
      <c r="Z134"/>
      <c r="AC134" s="448"/>
      <c r="AD134"/>
    </row>
    <row r="135" spans="1:30" ht="15" hidden="1" customHeight="1" x14ac:dyDescent="0.45">
      <c r="A135" s="32"/>
      <c r="B135" s="4"/>
      <c r="C135" s="2" t="s">
        <v>114</v>
      </c>
      <c r="D135" s="173"/>
      <c r="E135" s="23" t="s">
        <v>135</v>
      </c>
      <c r="F135" s="23" t="s">
        <v>208</v>
      </c>
      <c r="G135" s="124"/>
      <c r="H135" s="125">
        <v>10</v>
      </c>
      <c r="I135" t="s">
        <v>151</v>
      </c>
      <c r="J135"/>
      <c r="K135"/>
      <c r="M135"/>
      <c r="N135"/>
      <c r="O135"/>
      <c r="P135"/>
      <c r="Q135"/>
      <c r="R135"/>
      <c r="S135"/>
      <c r="T135"/>
      <c r="U135"/>
      <c r="V135"/>
      <c r="W135"/>
      <c r="X135"/>
      <c r="Z135"/>
      <c r="AC135" s="448"/>
      <c r="AD135"/>
    </row>
    <row r="136" spans="1:30" ht="15" hidden="1" customHeight="1" x14ac:dyDescent="0.45">
      <c r="A136" s="32"/>
      <c r="B136" s="4"/>
      <c r="C136" s="2" t="s">
        <v>114</v>
      </c>
      <c r="D136" s="173"/>
      <c r="E136" s="23" t="s">
        <v>135</v>
      </c>
      <c r="F136" s="23" t="s">
        <v>208</v>
      </c>
      <c r="G136" s="124"/>
      <c r="H136" s="125">
        <v>10</v>
      </c>
      <c r="I136" t="s">
        <v>151</v>
      </c>
      <c r="J136"/>
      <c r="K136"/>
      <c r="M136"/>
      <c r="N136"/>
      <c r="O136"/>
      <c r="P136"/>
      <c r="Q136"/>
      <c r="R136"/>
      <c r="S136"/>
      <c r="T136"/>
      <c r="U136"/>
      <c r="V136"/>
      <c r="W136"/>
      <c r="X136"/>
      <c r="Z136"/>
      <c r="AC136" s="448"/>
      <c r="AD136"/>
    </row>
    <row r="137" spans="1:30" ht="15" hidden="1" customHeight="1" x14ac:dyDescent="0.45">
      <c r="A137" s="32"/>
      <c r="B137" s="4"/>
      <c r="C137" s="2" t="s">
        <v>114</v>
      </c>
      <c r="D137" s="173"/>
      <c r="E137" s="23" t="s">
        <v>135</v>
      </c>
      <c r="F137" s="23" t="s">
        <v>208</v>
      </c>
      <c r="G137" s="124"/>
      <c r="H137" s="125">
        <v>10</v>
      </c>
      <c r="I137" t="s">
        <v>151</v>
      </c>
      <c r="J137"/>
      <c r="K137"/>
      <c r="M137"/>
      <c r="N137"/>
      <c r="O137"/>
      <c r="P137"/>
      <c r="Q137"/>
      <c r="R137"/>
      <c r="S137"/>
      <c r="T137"/>
      <c r="U137"/>
      <c r="V137"/>
      <c r="W137"/>
      <c r="X137"/>
      <c r="Z137"/>
      <c r="AC137" s="448"/>
      <c r="AD137"/>
    </row>
    <row r="138" spans="1:30" ht="15" hidden="1" customHeight="1" x14ac:dyDescent="0.45">
      <c r="A138" s="32"/>
      <c r="B138" s="4"/>
      <c r="C138" s="2" t="s">
        <v>114</v>
      </c>
      <c r="D138" s="173"/>
      <c r="E138" s="23" t="s">
        <v>135</v>
      </c>
      <c r="F138" s="23" t="s">
        <v>208</v>
      </c>
      <c r="G138" s="124"/>
      <c r="H138" s="125">
        <v>10</v>
      </c>
      <c r="I138" t="s">
        <v>151</v>
      </c>
      <c r="J138"/>
      <c r="K138"/>
      <c r="M138"/>
      <c r="N138"/>
      <c r="O138"/>
      <c r="P138"/>
      <c r="Q138"/>
      <c r="R138"/>
      <c r="S138"/>
      <c r="T138"/>
      <c r="U138"/>
      <c r="V138"/>
      <c r="W138"/>
      <c r="X138"/>
      <c r="Z138"/>
      <c r="AC138" s="448"/>
      <c r="AD138"/>
    </row>
    <row r="139" spans="1:30" ht="15" hidden="1" customHeight="1" x14ac:dyDescent="0.45">
      <c r="A139" s="32"/>
      <c r="B139" s="4"/>
      <c r="C139" s="2" t="s">
        <v>114</v>
      </c>
      <c r="D139" s="173"/>
      <c r="E139" s="23" t="s">
        <v>135</v>
      </c>
      <c r="F139" s="23" t="s">
        <v>208</v>
      </c>
      <c r="G139" s="124"/>
      <c r="H139" s="125">
        <v>10</v>
      </c>
      <c r="I139" t="s">
        <v>151</v>
      </c>
      <c r="J139"/>
      <c r="K139"/>
      <c r="M139"/>
      <c r="N139"/>
      <c r="O139"/>
      <c r="P139"/>
      <c r="Q139"/>
      <c r="R139"/>
      <c r="S139"/>
      <c r="T139"/>
      <c r="U139"/>
      <c r="V139"/>
      <c r="W139"/>
      <c r="X139"/>
      <c r="Z139"/>
      <c r="AC139" s="448"/>
      <c r="AD139"/>
    </row>
    <row r="140" spans="1:30" ht="15" hidden="1" customHeight="1" x14ac:dyDescent="0.45">
      <c r="A140" s="32"/>
      <c r="B140" s="4"/>
      <c r="C140" s="2" t="s">
        <v>114</v>
      </c>
      <c r="D140" s="173"/>
      <c r="E140" s="23" t="s">
        <v>135</v>
      </c>
      <c r="F140" s="23" t="s">
        <v>208</v>
      </c>
      <c r="G140" s="124"/>
      <c r="H140" s="125">
        <v>10</v>
      </c>
      <c r="I140" t="s">
        <v>151</v>
      </c>
      <c r="K140"/>
      <c r="M140"/>
      <c r="N140"/>
      <c r="O140"/>
      <c r="P140"/>
      <c r="Q140"/>
      <c r="R140"/>
      <c r="S140"/>
      <c r="T140"/>
      <c r="U140"/>
      <c r="V140"/>
      <c r="W140"/>
      <c r="X140"/>
      <c r="Z140"/>
      <c r="AC140" s="448"/>
      <c r="AD140"/>
    </row>
    <row r="141" spans="1:30" ht="15" hidden="1" customHeight="1" x14ac:dyDescent="0.45">
      <c r="A141" s="32"/>
      <c r="B141" s="4"/>
      <c r="C141" s="2" t="s">
        <v>114</v>
      </c>
      <c r="D141" s="173"/>
      <c r="E141" s="23" t="s">
        <v>135</v>
      </c>
      <c r="F141" s="23" t="s">
        <v>208</v>
      </c>
      <c r="G141" s="124"/>
      <c r="H141" s="125">
        <v>10</v>
      </c>
      <c r="I141" t="s">
        <v>151</v>
      </c>
      <c r="K141"/>
      <c r="M141"/>
      <c r="N141"/>
      <c r="O141"/>
      <c r="P141"/>
      <c r="Q141"/>
      <c r="R141"/>
      <c r="S141"/>
      <c r="T141"/>
      <c r="U141"/>
      <c r="V141"/>
      <c r="W141"/>
      <c r="X141"/>
      <c r="Z141"/>
      <c r="AC141" s="448"/>
      <c r="AD141"/>
    </row>
    <row r="142" spans="1:30" ht="15" hidden="1" customHeight="1" x14ac:dyDescent="0.45">
      <c r="A142" s="32"/>
      <c r="B142" s="4"/>
      <c r="C142" s="2" t="s">
        <v>114</v>
      </c>
      <c r="D142" s="173"/>
      <c r="E142" s="23" t="s">
        <v>135</v>
      </c>
      <c r="F142" s="23" t="s">
        <v>208</v>
      </c>
      <c r="G142" s="124"/>
      <c r="H142" s="125">
        <v>10</v>
      </c>
      <c r="I142" t="s">
        <v>151</v>
      </c>
      <c r="K142"/>
      <c r="M142"/>
      <c r="N142"/>
      <c r="O142"/>
      <c r="P142"/>
      <c r="Q142"/>
      <c r="R142"/>
      <c r="S142"/>
      <c r="T142"/>
      <c r="U142"/>
      <c r="V142"/>
      <c r="W142"/>
      <c r="X142"/>
      <c r="Z142"/>
      <c r="AC142" s="448"/>
      <c r="AD142"/>
    </row>
    <row r="143" spans="1:30" ht="15" hidden="1" customHeight="1" x14ac:dyDescent="0.45">
      <c r="A143" s="32"/>
      <c r="B143" s="4"/>
      <c r="C143" s="2" t="s">
        <v>114</v>
      </c>
      <c r="D143" s="173"/>
      <c r="E143" s="23" t="s">
        <v>135</v>
      </c>
      <c r="F143" s="23" t="s">
        <v>208</v>
      </c>
      <c r="G143" s="124"/>
      <c r="H143" s="125">
        <v>10</v>
      </c>
      <c r="I143" t="s">
        <v>151</v>
      </c>
      <c r="K143"/>
      <c r="M143"/>
      <c r="N143"/>
      <c r="O143"/>
      <c r="P143"/>
      <c r="Q143"/>
      <c r="R143"/>
      <c r="S143"/>
      <c r="T143"/>
      <c r="U143"/>
      <c r="V143"/>
      <c r="W143"/>
      <c r="X143"/>
      <c r="Z143"/>
      <c r="AC143" s="448"/>
      <c r="AD143"/>
    </row>
    <row r="144" spans="1:30" ht="15" hidden="1" customHeight="1" x14ac:dyDescent="0.45">
      <c r="A144" s="32"/>
      <c r="B144" s="4"/>
      <c r="C144" s="2" t="s">
        <v>114</v>
      </c>
      <c r="D144" s="173"/>
      <c r="E144" s="23" t="s">
        <v>135</v>
      </c>
      <c r="F144" s="23" t="s">
        <v>208</v>
      </c>
      <c r="G144" s="124"/>
      <c r="H144" s="125">
        <v>10</v>
      </c>
      <c r="I144" t="s">
        <v>151</v>
      </c>
      <c r="K144"/>
      <c r="M144"/>
      <c r="N144"/>
      <c r="O144"/>
      <c r="P144"/>
      <c r="Q144"/>
      <c r="R144"/>
      <c r="S144"/>
      <c r="T144"/>
      <c r="U144"/>
      <c r="V144"/>
      <c r="W144"/>
      <c r="X144"/>
      <c r="Z144"/>
      <c r="AC144" s="448"/>
      <c r="AD144"/>
    </row>
    <row r="145" spans="1:30" ht="15" customHeight="1" x14ac:dyDescent="0.45">
      <c r="A145" s="32"/>
      <c r="B145" s="4"/>
      <c r="G145" s="124"/>
      <c r="J145"/>
      <c r="K145"/>
      <c r="M145"/>
      <c r="N145"/>
      <c r="O145"/>
      <c r="P145"/>
      <c r="Q145"/>
      <c r="R145"/>
      <c r="S145"/>
      <c r="T145"/>
      <c r="U145"/>
      <c r="V145"/>
      <c r="W145"/>
      <c r="X145"/>
      <c r="Z145"/>
      <c r="AC145" s="448"/>
      <c r="AD145"/>
    </row>
    <row r="146" spans="1:30" ht="15" customHeight="1" x14ac:dyDescent="0.45">
      <c r="A146" s="32"/>
      <c r="B146" s="4" t="s">
        <v>501</v>
      </c>
      <c r="G146" s="124"/>
      <c r="H146" s="24" t="s">
        <v>212</v>
      </c>
      <c r="I146" s="24" t="s">
        <v>805</v>
      </c>
      <c r="J146"/>
      <c r="K146"/>
      <c r="M146"/>
      <c r="N146"/>
      <c r="O146"/>
      <c r="P146"/>
      <c r="Q146"/>
      <c r="R146"/>
      <c r="S146"/>
      <c r="T146"/>
      <c r="U146"/>
      <c r="V146"/>
      <c r="W146"/>
      <c r="X146"/>
      <c r="Z146"/>
      <c r="AC146" s="448"/>
      <c r="AD146"/>
    </row>
    <row r="147" spans="1:30" ht="15" customHeight="1" x14ac:dyDescent="0.45">
      <c r="A147" s="32"/>
      <c r="B147" s="4"/>
      <c r="C147" s="2" t="s">
        <v>114</v>
      </c>
      <c r="D147" s="2" t="str">
        <f t="shared" ref="D147:D164" si="9">D109</f>
        <v>Landscaping</v>
      </c>
      <c r="E147" s="23" t="s">
        <v>546</v>
      </c>
      <c r="F147" s="23" t="s">
        <v>209</v>
      </c>
      <c r="G147" s="124"/>
      <c r="H147" s="83">
        <f>'Capex 2'!F28*1.2</f>
        <v>72000000</v>
      </c>
      <c r="I147" s="83">
        <f t="shared" ref="I147:I182" si="10">IF(F147="XAF",H147/$H$14,H147)</f>
        <v>120200.33388981636</v>
      </c>
      <c r="J147"/>
      <c r="K147"/>
      <c r="M147"/>
      <c r="N147"/>
      <c r="O147"/>
      <c r="P147"/>
      <c r="Q147"/>
      <c r="R147"/>
      <c r="S147"/>
      <c r="T147"/>
      <c r="U147"/>
      <c r="V147"/>
      <c r="W147"/>
      <c r="X147"/>
      <c r="Z147"/>
      <c r="AC147" s="448"/>
      <c r="AD147"/>
    </row>
    <row r="148" spans="1:30" ht="15" customHeight="1" x14ac:dyDescent="0.45">
      <c r="A148" s="32"/>
      <c r="B148" s="4"/>
      <c r="C148" s="2" t="s">
        <v>114</v>
      </c>
      <c r="D148" s="2" t="str">
        <f t="shared" si="9"/>
        <v>Building</v>
      </c>
      <c r="E148" s="23" t="s">
        <v>546</v>
      </c>
      <c r="F148" s="23" t="s">
        <v>209</v>
      </c>
      <c r="G148" s="124"/>
      <c r="H148" s="83">
        <f>'Capex 2'!F29*1.2</f>
        <v>30000000</v>
      </c>
      <c r="I148" s="83">
        <f t="shared" si="10"/>
        <v>50083.472454090152</v>
      </c>
      <c r="J148"/>
      <c r="K148"/>
      <c r="M148"/>
      <c r="N148"/>
      <c r="O148"/>
      <c r="P148"/>
      <c r="Q148"/>
      <c r="R148"/>
      <c r="S148"/>
      <c r="T148"/>
      <c r="U148"/>
      <c r="V148"/>
      <c r="W148"/>
      <c r="X148"/>
      <c r="Z148"/>
      <c r="AC148" s="448"/>
      <c r="AD148"/>
    </row>
    <row r="149" spans="1:30" ht="15" customHeight="1" x14ac:dyDescent="0.45">
      <c r="A149" s="32"/>
      <c r="B149" s="4"/>
      <c r="C149" s="2" t="s">
        <v>114</v>
      </c>
      <c r="D149" s="2" t="str">
        <f t="shared" si="9"/>
        <v>Storage</v>
      </c>
      <c r="E149" s="23" t="s">
        <v>546</v>
      </c>
      <c r="F149" s="23" t="s">
        <v>209</v>
      </c>
      <c r="G149" s="124"/>
      <c r="H149" s="83">
        <f>'Capex 2'!F30*1.2</f>
        <v>8400000</v>
      </c>
      <c r="I149" s="83">
        <f t="shared" si="10"/>
        <v>14023.372287145243</v>
      </c>
      <c r="J149"/>
      <c r="K149"/>
      <c r="M149"/>
      <c r="N149"/>
      <c r="O149"/>
      <c r="P149"/>
      <c r="Q149"/>
      <c r="R149"/>
      <c r="S149"/>
      <c r="T149"/>
      <c r="U149"/>
      <c r="V149"/>
      <c r="W149"/>
      <c r="X149"/>
      <c r="Z149"/>
      <c r="AC149" s="448"/>
      <c r="AD149"/>
    </row>
    <row r="150" spans="1:30" ht="15" customHeight="1" x14ac:dyDescent="0.45">
      <c r="A150" s="32"/>
      <c r="B150" s="4"/>
      <c r="C150" s="2" t="s">
        <v>114</v>
      </c>
      <c r="D150" s="2" t="str">
        <f t="shared" si="9"/>
        <v>Water System</v>
      </c>
      <c r="E150" s="23" t="s">
        <v>546</v>
      </c>
      <c r="F150" s="23" t="s">
        <v>209</v>
      </c>
      <c r="G150" s="124"/>
      <c r="H150" s="83">
        <f>'Capex 2'!F31*1.2</f>
        <v>8400000</v>
      </c>
      <c r="I150" s="83">
        <f t="shared" si="10"/>
        <v>14023.372287145243</v>
      </c>
      <c r="J150"/>
      <c r="K150"/>
      <c r="M150"/>
      <c r="N150"/>
      <c r="O150"/>
      <c r="P150"/>
      <c r="Q150"/>
      <c r="R150"/>
      <c r="S150"/>
      <c r="T150"/>
      <c r="U150"/>
      <c r="V150"/>
      <c r="W150"/>
      <c r="X150"/>
      <c r="Z150"/>
      <c r="AC150" s="448"/>
      <c r="AD150"/>
    </row>
    <row r="151" spans="1:30" ht="15" customHeight="1" x14ac:dyDescent="0.45">
      <c r="A151" s="32"/>
      <c r="B151" s="4"/>
      <c r="C151" s="2" t="s">
        <v>114</v>
      </c>
      <c r="D151" s="2" t="str">
        <f t="shared" si="9"/>
        <v>Electricity</v>
      </c>
      <c r="E151" s="23" t="s">
        <v>546</v>
      </c>
      <c r="F151" s="23" t="s">
        <v>209</v>
      </c>
      <c r="G151" s="124"/>
      <c r="H151" s="83">
        <f>'Capex 2'!F32*1.2</f>
        <v>3600000</v>
      </c>
      <c r="I151" s="83">
        <f t="shared" si="10"/>
        <v>6010.0166944908178</v>
      </c>
      <c r="J151"/>
      <c r="K151"/>
      <c r="M151"/>
      <c r="N151"/>
      <c r="O151"/>
      <c r="P151"/>
      <c r="Q151"/>
      <c r="R151"/>
      <c r="S151"/>
      <c r="T151"/>
      <c r="U151"/>
      <c r="V151"/>
      <c r="W151"/>
      <c r="X151"/>
      <c r="Z151"/>
      <c r="AC151" s="448"/>
      <c r="AD151"/>
    </row>
    <row r="152" spans="1:30" ht="15" customHeight="1" x14ac:dyDescent="0.45">
      <c r="A152" s="32"/>
      <c r="B152" s="4"/>
      <c r="C152" s="2" t="s">
        <v>114</v>
      </c>
      <c r="D152" s="2" t="str">
        <f t="shared" si="9"/>
        <v>Waste Management</v>
      </c>
      <c r="E152" s="23" t="s">
        <v>546</v>
      </c>
      <c r="F152" s="23" t="s">
        <v>209</v>
      </c>
      <c r="G152" s="124"/>
      <c r="H152" s="83">
        <f>'Capex 2'!F33*1.2</f>
        <v>3600000</v>
      </c>
      <c r="I152" s="83">
        <f t="shared" si="10"/>
        <v>6010.0166944908178</v>
      </c>
      <c r="J152"/>
      <c r="K152"/>
      <c r="M152"/>
      <c r="N152"/>
      <c r="O152"/>
      <c r="P152"/>
      <c r="Q152"/>
      <c r="R152"/>
      <c r="S152"/>
      <c r="T152"/>
      <c r="U152"/>
      <c r="V152"/>
      <c r="W152"/>
      <c r="X152"/>
      <c r="Z152"/>
      <c r="AC152" s="448"/>
      <c r="AD152"/>
    </row>
    <row r="153" spans="1:30" ht="15" customHeight="1" x14ac:dyDescent="0.45">
      <c r="A153" s="32"/>
      <c r="B153" s="4"/>
      <c r="C153" s="2" t="s">
        <v>114</v>
      </c>
      <c r="D153" s="2" t="str">
        <f t="shared" si="9"/>
        <v>Dry cleaner NSD 0</v>
      </c>
      <c r="E153" s="23" t="s">
        <v>546</v>
      </c>
      <c r="F153" s="23" t="s">
        <v>209</v>
      </c>
      <c r="G153" s="124"/>
      <c r="H153" s="83">
        <f>'Capex 2'!F34*1.2</f>
        <v>21600000</v>
      </c>
      <c r="I153" s="83">
        <f t="shared" si="10"/>
        <v>36060.100166944911</v>
      </c>
      <c r="J153"/>
      <c r="K153"/>
      <c r="M153"/>
      <c r="N153"/>
      <c r="O153"/>
      <c r="P153"/>
      <c r="Q153"/>
      <c r="R153"/>
      <c r="S153"/>
      <c r="T153"/>
      <c r="U153"/>
      <c r="V153"/>
      <c r="W153"/>
      <c r="X153"/>
      <c r="Z153"/>
      <c r="AC153" s="448"/>
      <c r="AD153"/>
    </row>
    <row r="154" spans="1:30" ht="15" customHeight="1" x14ac:dyDescent="0.45">
      <c r="A154" s="32"/>
      <c r="B154" s="4"/>
      <c r="C154" s="2" t="s">
        <v>114</v>
      </c>
      <c r="D154" s="2" t="str">
        <f t="shared" si="9"/>
        <v xml:space="preserve">Crusher </v>
      </c>
      <c r="E154" s="23" t="s">
        <v>546</v>
      </c>
      <c r="F154" s="23" t="s">
        <v>209</v>
      </c>
      <c r="G154" s="124"/>
      <c r="H154" s="83">
        <f>'Capex 2'!F35*1.2</f>
        <v>3535200</v>
      </c>
      <c r="I154" s="83">
        <f t="shared" si="10"/>
        <v>5901.8363939899837</v>
      </c>
      <c r="J154"/>
      <c r="K154"/>
      <c r="M154"/>
      <c r="N154"/>
      <c r="O154"/>
      <c r="P154"/>
      <c r="Q154"/>
      <c r="R154"/>
      <c r="S154"/>
      <c r="T154"/>
      <c r="U154"/>
      <c r="V154"/>
      <c r="W154"/>
      <c r="X154"/>
      <c r="Z154"/>
      <c r="AC154" s="448"/>
      <c r="AD154"/>
    </row>
    <row r="155" spans="1:30" ht="15" customHeight="1" x14ac:dyDescent="0.45">
      <c r="A155" s="32"/>
      <c r="B155" s="4"/>
      <c r="C155" s="2" t="s">
        <v>114</v>
      </c>
      <c r="D155" s="2" t="str">
        <f t="shared" si="9"/>
        <v>Shea nut drying/roasting unit</v>
      </c>
      <c r="E155" s="23" t="s">
        <v>546</v>
      </c>
      <c r="F155" s="23" t="s">
        <v>209</v>
      </c>
      <c r="G155" s="124"/>
      <c r="H155" s="83">
        <f>'Capex 2'!F36*1.2</f>
        <v>2710200</v>
      </c>
      <c r="I155" s="83">
        <f t="shared" si="10"/>
        <v>4524.5409015025043</v>
      </c>
      <c r="J155"/>
      <c r="K155"/>
      <c r="M155"/>
      <c r="N155"/>
      <c r="O155"/>
      <c r="P155"/>
      <c r="Q155"/>
      <c r="R155"/>
      <c r="S155"/>
      <c r="T155"/>
      <c r="U155"/>
      <c r="V155"/>
      <c r="W155"/>
      <c r="X155"/>
      <c r="Z155"/>
      <c r="AC155" s="448"/>
      <c r="AD155"/>
    </row>
    <row r="156" spans="1:30" ht="15" customHeight="1" x14ac:dyDescent="0.45">
      <c r="A156" s="32"/>
      <c r="B156" s="4"/>
      <c r="C156" s="2" t="s">
        <v>114</v>
      </c>
      <c r="D156" s="2" t="str">
        <f t="shared" si="9"/>
        <v>Press MBU 40</v>
      </c>
      <c r="E156" s="23" t="s">
        <v>546</v>
      </c>
      <c r="F156" s="23" t="s">
        <v>209</v>
      </c>
      <c r="G156" s="124"/>
      <c r="H156" s="83">
        <f>'Capex 2'!F37*1.2</f>
        <v>24223200</v>
      </c>
      <c r="I156" s="83">
        <f t="shared" si="10"/>
        <v>40439.398998330551</v>
      </c>
      <c r="J156"/>
      <c r="K156"/>
      <c r="M156"/>
      <c r="N156"/>
      <c r="O156"/>
      <c r="P156"/>
      <c r="Q156"/>
      <c r="R156"/>
      <c r="S156"/>
      <c r="T156"/>
      <c r="U156"/>
      <c r="V156"/>
      <c r="W156"/>
      <c r="X156"/>
      <c r="Z156"/>
      <c r="AC156" s="448"/>
      <c r="AD156"/>
    </row>
    <row r="157" spans="1:30" ht="15" customHeight="1" x14ac:dyDescent="0.45">
      <c r="A157" s="32"/>
      <c r="B157" s="4"/>
      <c r="C157" s="2" t="s">
        <v>114</v>
      </c>
      <c r="D157" s="2" t="str">
        <f t="shared" si="9"/>
        <v>Thermal installation</v>
      </c>
      <c r="E157" s="23" t="s">
        <v>546</v>
      </c>
      <c r="F157" s="23" t="s">
        <v>209</v>
      </c>
      <c r="G157" s="124"/>
      <c r="H157" s="83">
        <f>'Capex 2'!F38*1.2</f>
        <v>22320000</v>
      </c>
      <c r="I157" s="83">
        <f t="shared" si="10"/>
        <v>37262.103505843072</v>
      </c>
      <c r="J157"/>
      <c r="K157"/>
      <c r="M157"/>
      <c r="N157"/>
      <c r="O157"/>
      <c r="P157"/>
      <c r="Q157"/>
      <c r="R157"/>
      <c r="S157"/>
      <c r="T157"/>
      <c r="U157"/>
      <c r="V157"/>
      <c r="W157"/>
      <c r="X157"/>
      <c r="Z157"/>
      <c r="AC157" s="448"/>
      <c r="AD157"/>
    </row>
    <row r="158" spans="1:30" ht="15" customHeight="1" x14ac:dyDescent="0.45">
      <c r="A158" s="32"/>
      <c r="B158" s="4"/>
      <c r="C158" s="2" t="s">
        <v>114</v>
      </c>
      <c r="D158" s="2" t="str">
        <f t="shared" si="9"/>
        <v>Filter Kinetic</v>
      </c>
      <c r="E158" s="23" t="s">
        <v>546</v>
      </c>
      <c r="F158" s="23" t="s">
        <v>209</v>
      </c>
      <c r="G158" s="124"/>
      <c r="H158" s="83">
        <f>'Capex 2'!F39*1.2</f>
        <v>3310200</v>
      </c>
      <c r="I158" s="83">
        <f t="shared" si="10"/>
        <v>5526.210350584307</v>
      </c>
      <c r="J158"/>
      <c r="K158"/>
      <c r="M158"/>
      <c r="N158"/>
      <c r="O158"/>
      <c r="P158"/>
      <c r="Q158"/>
      <c r="R158"/>
      <c r="S158"/>
      <c r="T158"/>
      <c r="U158"/>
      <c r="V158"/>
      <c r="W158"/>
      <c r="X158"/>
      <c r="Z158"/>
      <c r="AC158" s="448"/>
      <c r="AD158"/>
    </row>
    <row r="159" spans="1:30" ht="15" customHeight="1" x14ac:dyDescent="0.45">
      <c r="A159" s="32"/>
      <c r="B159" s="4"/>
      <c r="C159" s="2" t="s">
        <v>114</v>
      </c>
      <c r="D159" s="2" t="str">
        <f t="shared" si="9"/>
        <v>Packaging Filling and labelling machine</v>
      </c>
      <c r="E159" s="23" t="s">
        <v>546</v>
      </c>
      <c r="F159" s="23" t="s">
        <v>209</v>
      </c>
      <c r="G159" s="124"/>
      <c r="H159" s="83">
        <f>'Capex 2'!F40*1.2</f>
        <v>4810200</v>
      </c>
      <c r="I159" s="83">
        <f t="shared" si="10"/>
        <v>8030.3839732888146</v>
      </c>
      <c r="J159"/>
      <c r="K159"/>
      <c r="M159"/>
      <c r="N159"/>
      <c r="O159"/>
      <c r="P159"/>
      <c r="Q159"/>
      <c r="R159"/>
      <c r="S159"/>
      <c r="T159"/>
      <c r="U159"/>
      <c r="V159"/>
      <c r="W159"/>
      <c r="X159"/>
      <c r="Z159"/>
      <c r="AC159" s="448"/>
      <c r="AD159"/>
    </row>
    <row r="160" spans="1:30" ht="15" customHeight="1" x14ac:dyDescent="0.45">
      <c r="A160" s="32"/>
      <c r="B160" s="4"/>
      <c r="C160" s="2" t="s">
        <v>114</v>
      </c>
      <c r="D160" s="2" t="str">
        <f t="shared" si="9"/>
        <v>Packaging table</v>
      </c>
      <c r="E160" s="23" t="s">
        <v>546</v>
      </c>
      <c r="F160" s="23" t="s">
        <v>209</v>
      </c>
      <c r="G160" s="124"/>
      <c r="H160" s="83">
        <f>'Capex 2'!F41*1.2</f>
        <v>2088000</v>
      </c>
      <c r="I160" s="83">
        <f t="shared" si="10"/>
        <v>3485.8096828046746</v>
      </c>
      <c r="J160"/>
      <c r="K160"/>
      <c r="M160"/>
      <c r="N160"/>
      <c r="O160"/>
      <c r="P160"/>
      <c r="Q160"/>
      <c r="R160"/>
      <c r="S160"/>
      <c r="T160"/>
      <c r="U160"/>
      <c r="V160"/>
      <c r="W160"/>
      <c r="X160"/>
      <c r="Z160"/>
      <c r="AC160" s="448"/>
      <c r="AD160"/>
    </row>
    <row r="161" spans="1:31" ht="15" customHeight="1" x14ac:dyDescent="0.45">
      <c r="A161" s="32"/>
      <c r="B161" s="4"/>
      <c r="C161" s="2" t="s">
        <v>114</v>
      </c>
      <c r="D161" s="2" t="str">
        <f t="shared" si="9"/>
        <v>Production tools</v>
      </c>
      <c r="E161" s="23" t="s">
        <v>546</v>
      </c>
      <c r="F161" s="23" t="s">
        <v>209</v>
      </c>
      <c r="G161" s="124"/>
      <c r="H161" s="83">
        <f>'Capex 2'!F42*1.2</f>
        <v>4800000</v>
      </c>
      <c r="I161" s="83">
        <f t="shared" si="10"/>
        <v>8013.3555926544241</v>
      </c>
      <c r="J161"/>
      <c r="K161"/>
      <c r="M161"/>
      <c r="N161"/>
      <c r="O161"/>
      <c r="P161"/>
      <c r="Q161"/>
      <c r="R161"/>
      <c r="S161"/>
      <c r="T161"/>
      <c r="U161"/>
      <c r="V161"/>
      <c r="W161"/>
      <c r="X161"/>
      <c r="Z161"/>
      <c r="AC161" s="448"/>
      <c r="AD161"/>
    </row>
    <row r="162" spans="1:31" ht="15" customHeight="1" x14ac:dyDescent="0.45">
      <c r="A162" s="32"/>
      <c r="B162" s="4"/>
      <c r="C162" s="2" t="s">
        <v>114</v>
      </c>
      <c r="D162" s="2" t="str">
        <f t="shared" si="9"/>
        <v>Transport Installation and Commissioning</v>
      </c>
      <c r="E162" s="23" t="s">
        <v>546</v>
      </c>
      <c r="F162" s="23" t="s">
        <v>209</v>
      </c>
      <c r="G162" s="124"/>
      <c r="H162" s="83">
        <f>'Capex 2'!F43*1.2</f>
        <v>52538250</v>
      </c>
      <c r="I162" s="83">
        <f t="shared" si="10"/>
        <v>87709.933222036721</v>
      </c>
      <c r="J162"/>
      <c r="K162"/>
      <c r="M162"/>
      <c r="N162"/>
      <c r="O162"/>
      <c r="P162"/>
      <c r="Q162"/>
      <c r="R162"/>
      <c r="S162"/>
      <c r="T162"/>
      <c r="U162"/>
      <c r="V162"/>
      <c r="W162"/>
      <c r="X162"/>
      <c r="Z162"/>
      <c r="AC162" s="448"/>
      <c r="AD162"/>
    </row>
    <row r="163" spans="1:31" ht="15" customHeight="1" x14ac:dyDescent="0.45">
      <c r="A163" s="32"/>
      <c r="B163" s="4"/>
      <c r="C163" s="2" t="s">
        <v>114</v>
      </c>
      <c r="D163" s="2" t="str">
        <f t="shared" si="9"/>
        <v>Vehicles</v>
      </c>
      <c r="E163" s="23" t="s">
        <v>546</v>
      </c>
      <c r="F163" s="23" t="s">
        <v>209</v>
      </c>
      <c r="G163" s="124"/>
      <c r="H163" s="83">
        <f>'Capex 2'!F44*1.2</f>
        <v>6960000</v>
      </c>
      <c r="I163" s="83">
        <f t="shared" si="10"/>
        <v>11619.365609348915</v>
      </c>
      <c r="J163"/>
      <c r="K163"/>
      <c r="M163"/>
      <c r="N163"/>
      <c r="O163"/>
      <c r="P163"/>
      <c r="Q163"/>
      <c r="R163"/>
      <c r="S163"/>
      <c r="T163"/>
      <c r="U163"/>
      <c r="V163"/>
      <c r="W163"/>
      <c r="X163"/>
      <c r="Z163"/>
      <c r="AC163" s="448"/>
      <c r="AD163"/>
    </row>
    <row r="164" spans="1:31" ht="15" hidden="1" customHeight="1" x14ac:dyDescent="0.45">
      <c r="A164" s="32"/>
      <c r="B164" s="4"/>
      <c r="C164" s="2" t="s">
        <v>114</v>
      </c>
      <c r="D164" s="2">
        <f t="shared" si="9"/>
        <v>0</v>
      </c>
      <c r="E164" s="23" t="s">
        <v>546</v>
      </c>
      <c r="F164" s="23" t="s">
        <v>209</v>
      </c>
      <c r="G164" s="124"/>
      <c r="H164" s="83">
        <f>'Capex 2'!F45*1.2</f>
        <v>0</v>
      </c>
      <c r="I164" s="83">
        <f t="shared" si="10"/>
        <v>0</v>
      </c>
      <c r="J164" s="401"/>
      <c r="K164"/>
      <c r="M164"/>
      <c r="N164"/>
      <c r="O164"/>
      <c r="P164"/>
      <c r="Q164"/>
      <c r="R164"/>
      <c r="S164"/>
      <c r="T164"/>
      <c r="U164"/>
      <c r="V164"/>
      <c r="W164"/>
      <c r="X164"/>
      <c r="Z164"/>
      <c r="AC164" s="448"/>
      <c r="AD164"/>
    </row>
    <row r="165" spans="1:31" ht="15" customHeight="1" x14ac:dyDescent="0.45">
      <c r="A165" s="32"/>
      <c r="B165" s="4"/>
      <c r="C165" s="2" t="s">
        <v>114</v>
      </c>
      <c r="D165" s="2" t="str">
        <f t="shared" ref="D165:D182" si="11">D127</f>
        <v>Centralised capex</v>
      </c>
      <c r="E165" s="23" t="s">
        <v>546</v>
      </c>
      <c r="F165" s="23" t="s">
        <v>209</v>
      </c>
      <c r="G165" s="124"/>
      <c r="H165" s="83">
        <f>'Capex 2'!F61*1.2</f>
        <v>71940000</v>
      </c>
      <c r="I165" s="83">
        <f t="shared" si="10"/>
        <v>120100.16694490818</v>
      </c>
      <c r="J165" s="401"/>
      <c r="K165"/>
      <c r="M165"/>
      <c r="N165"/>
      <c r="O165"/>
      <c r="P165"/>
      <c r="Q165"/>
      <c r="R165"/>
      <c r="S165"/>
      <c r="T165"/>
      <c r="U165"/>
      <c r="V165"/>
      <c r="W165"/>
      <c r="X165"/>
      <c r="Z165"/>
      <c r="AC165" s="448"/>
      <c r="AD165"/>
    </row>
    <row r="166" spans="1:31" ht="15" hidden="1" customHeight="1" x14ac:dyDescent="0.45">
      <c r="A166" s="32"/>
      <c r="B166" s="4"/>
      <c r="C166" s="2" t="s">
        <v>114</v>
      </c>
      <c r="D166" s="2">
        <f t="shared" si="11"/>
        <v>0</v>
      </c>
      <c r="E166" s="23" t="s">
        <v>546</v>
      </c>
      <c r="F166" s="23" t="s">
        <v>209</v>
      </c>
      <c r="G166" s="124"/>
      <c r="H166" s="83"/>
      <c r="I166" s="83"/>
      <c r="J166"/>
      <c r="K166"/>
      <c r="M166"/>
      <c r="N166"/>
      <c r="O166"/>
      <c r="P166"/>
      <c r="Q166"/>
      <c r="R166"/>
      <c r="S166"/>
      <c r="T166"/>
      <c r="U166"/>
      <c r="V166"/>
      <c r="W166"/>
      <c r="X166"/>
      <c r="Z166"/>
      <c r="AC166" s="448"/>
      <c r="AD166"/>
    </row>
    <row r="167" spans="1:31" ht="15" hidden="1" customHeight="1" x14ac:dyDescent="0.45">
      <c r="A167" s="32"/>
      <c r="B167" s="4"/>
      <c r="C167" s="2" t="s">
        <v>114</v>
      </c>
      <c r="D167" s="2">
        <f t="shared" si="11"/>
        <v>0</v>
      </c>
      <c r="E167" s="23" t="s">
        <v>546</v>
      </c>
      <c r="F167" s="23" t="s">
        <v>209</v>
      </c>
      <c r="G167" s="124"/>
      <c r="H167" s="83">
        <f>'Capex Data'!H58</f>
        <v>0</v>
      </c>
      <c r="I167" s="83">
        <f t="shared" si="10"/>
        <v>0</v>
      </c>
      <c r="J167"/>
      <c r="K167"/>
      <c r="M167"/>
      <c r="N167"/>
      <c r="O167"/>
      <c r="P167"/>
      <c r="Q167"/>
      <c r="R167"/>
      <c r="S167"/>
      <c r="T167"/>
      <c r="U167"/>
      <c r="V167"/>
      <c r="W167"/>
      <c r="X167"/>
      <c r="Z167"/>
      <c r="AC167" s="448"/>
      <c r="AD167"/>
    </row>
    <row r="168" spans="1:31" ht="15" hidden="1" customHeight="1" x14ac:dyDescent="0.45">
      <c r="A168" s="32"/>
      <c r="B168" s="4"/>
      <c r="C168" s="2" t="s">
        <v>114</v>
      </c>
      <c r="D168" s="2">
        <f t="shared" si="11"/>
        <v>0</v>
      </c>
      <c r="E168" s="23" t="s">
        <v>546</v>
      </c>
      <c r="F168" s="23" t="s">
        <v>209</v>
      </c>
      <c r="G168" s="124"/>
      <c r="H168" s="83">
        <f>'Capex Data'!H59</f>
        <v>0</v>
      </c>
      <c r="I168" s="83">
        <f t="shared" si="10"/>
        <v>0</v>
      </c>
      <c r="J168"/>
      <c r="K168"/>
      <c r="M168"/>
      <c r="N168"/>
      <c r="O168"/>
      <c r="P168"/>
      <c r="Q168"/>
      <c r="R168"/>
      <c r="S168"/>
      <c r="T168"/>
      <c r="U168"/>
      <c r="V168"/>
      <c r="W168"/>
      <c r="X168"/>
      <c r="Z168"/>
      <c r="AC168" s="448"/>
      <c r="AD168"/>
    </row>
    <row r="169" spans="1:31" ht="15" hidden="1" customHeight="1" x14ac:dyDescent="0.45">
      <c r="A169" s="32"/>
      <c r="B169" s="4"/>
      <c r="C169" s="2" t="s">
        <v>114</v>
      </c>
      <c r="D169" s="2">
        <f t="shared" si="11"/>
        <v>0</v>
      </c>
      <c r="E169" s="23" t="s">
        <v>546</v>
      </c>
      <c r="F169" s="23" t="s">
        <v>209</v>
      </c>
      <c r="G169" s="124"/>
      <c r="H169" s="83">
        <f>'Capex Data'!H60</f>
        <v>0</v>
      </c>
      <c r="I169" s="83">
        <f t="shared" si="10"/>
        <v>0</v>
      </c>
      <c r="J169"/>
      <c r="K169"/>
      <c r="M169"/>
      <c r="N169"/>
      <c r="O169"/>
      <c r="P169"/>
      <c r="Q169"/>
      <c r="R169"/>
      <c r="S169"/>
      <c r="T169"/>
      <c r="U169"/>
      <c r="V169"/>
      <c r="W169"/>
      <c r="X169"/>
      <c r="Z169"/>
      <c r="AC169" s="448"/>
      <c r="AD169"/>
    </row>
    <row r="170" spans="1:31" ht="15" hidden="1" customHeight="1" x14ac:dyDescent="0.45">
      <c r="A170" s="32"/>
      <c r="B170" s="4"/>
      <c r="C170" s="2" t="s">
        <v>114</v>
      </c>
      <c r="D170" s="2">
        <f t="shared" si="11"/>
        <v>0</v>
      </c>
      <c r="E170" s="23" t="s">
        <v>546</v>
      </c>
      <c r="F170" s="23" t="s">
        <v>209</v>
      </c>
      <c r="G170" s="124"/>
      <c r="H170" s="83">
        <f>'Capex Data'!H61</f>
        <v>0</v>
      </c>
      <c r="I170" s="83">
        <f t="shared" si="10"/>
        <v>0</v>
      </c>
      <c r="J170"/>
      <c r="K170"/>
      <c r="M170"/>
      <c r="N170"/>
      <c r="O170"/>
      <c r="P170"/>
      <c r="Q170"/>
      <c r="R170"/>
      <c r="S170"/>
      <c r="T170"/>
      <c r="U170"/>
      <c r="V170"/>
      <c r="W170"/>
      <c r="X170"/>
      <c r="Z170"/>
      <c r="AC170" s="448"/>
      <c r="AD170"/>
    </row>
    <row r="171" spans="1:31" ht="15" hidden="1" customHeight="1" x14ac:dyDescent="0.45">
      <c r="A171" s="32"/>
      <c r="B171" s="4"/>
      <c r="C171" s="2" t="s">
        <v>114</v>
      </c>
      <c r="D171" s="2">
        <f t="shared" si="11"/>
        <v>0</v>
      </c>
      <c r="E171" s="23" t="s">
        <v>546</v>
      </c>
      <c r="F171" s="23" t="s">
        <v>209</v>
      </c>
      <c r="G171" s="124"/>
      <c r="H171" s="83">
        <f>'Capex Data'!H62</f>
        <v>0</v>
      </c>
      <c r="I171" s="83">
        <f t="shared" si="10"/>
        <v>0</v>
      </c>
      <c r="J171"/>
      <c r="K171"/>
      <c r="M171"/>
      <c r="N171"/>
      <c r="O171"/>
      <c r="P171"/>
      <c r="Q171"/>
      <c r="R171"/>
      <c r="S171"/>
      <c r="T171"/>
      <c r="U171"/>
      <c r="V171"/>
      <c r="W171"/>
      <c r="X171"/>
      <c r="Z171"/>
      <c r="AC171" s="448"/>
      <c r="AD171"/>
    </row>
    <row r="172" spans="1:31" ht="15" hidden="1" customHeight="1" x14ac:dyDescent="0.45">
      <c r="A172" s="32"/>
      <c r="B172" s="4"/>
      <c r="C172" s="2" t="s">
        <v>114</v>
      </c>
      <c r="D172" s="2">
        <f t="shared" si="11"/>
        <v>0</v>
      </c>
      <c r="E172" s="23" t="s">
        <v>546</v>
      </c>
      <c r="F172" s="23" t="s">
        <v>209</v>
      </c>
      <c r="H172" s="83">
        <f>'Capex Data'!H63</f>
        <v>0</v>
      </c>
      <c r="I172" s="83">
        <f t="shared" si="10"/>
        <v>0</v>
      </c>
      <c r="J172"/>
      <c r="M172"/>
      <c r="N172"/>
      <c r="O172"/>
      <c r="P172"/>
      <c r="Q172"/>
      <c r="R172"/>
      <c r="S172"/>
      <c r="T172"/>
      <c r="U172"/>
      <c r="V172"/>
      <c r="W172"/>
      <c r="X172"/>
      <c r="Y172"/>
      <c r="AA172"/>
      <c r="AC172" s="448"/>
      <c r="AE172"/>
    </row>
    <row r="173" spans="1:31" ht="15" hidden="1" customHeight="1" x14ac:dyDescent="0.45">
      <c r="A173" s="32"/>
      <c r="B173" s="4"/>
      <c r="C173" s="2" t="s">
        <v>114</v>
      </c>
      <c r="D173" s="2">
        <f t="shared" si="11"/>
        <v>0</v>
      </c>
      <c r="E173" s="23" t="s">
        <v>546</v>
      </c>
      <c r="F173" s="23" t="s">
        <v>209</v>
      </c>
      <c r="H173" s="83">
        <f>'Capex Data'!H64</f>
        <v>0</v>
      </c>
      <c r="I173" s="83">
        <f t="shared" si="10"/>
        <v>0</v>
      </c>
      <c r="J173"/>
      <c r="M173"/>
      <c r="N173"/>
      <c r="O173"/>
      <c r="P173"/>
      <c r="Q173"/>
      <c r="R173"/>
      <c r="S173"/>
      <c r="T173"/>
      <c r="U173"/>
      <c r="V173"/>
      <c r="W173"/>
      <c r="X173"/>
      <c r="Y173"/>
      <c r="AA173"/>
      <c r="AC173" s="448"/>
      <c r="AE173"/>
    </row>
    <row r="174" spans="1:31" ht="15" hidden="1" customHeight="1" x14ac:dyDescent="0.45">
      <c r="A174" s="32"/>
      <c r="B174" s="4"/>
      <c r="C174" s="2" t="s">
        <v>114</v>
      </c>
      <c r="D174" s="2">
        <f t="shared" si="11"/>
        <v>0</v>
      </c>
      <c r="E174" s="23" t="s">
        <v>546</v>
      </c>
      <c r="F174" s="23" t="s">
        <v>209</v>
      </c>
      <c r="H174" s="83">
        <f>'Capex Data'!H65</f>
        <v>0</v>
      </c>
      <c r="I174" s="83">
        <f t="shared" si="10"/>
        <v>0</v>
      </c>
      <c r="J174"/>
      <c r="M174"/>
      <c r="N174"/>
      <c r="O174"/>
      <c r="P174"/>
      <c r="Q174"/>
      <c r="R174"/>
      <c r="S174"/>
      <c r="T174"/>
      <c r="U174"/>
      <c r="V174"/>
      <c r="W174"/>
      <c r="X174"/>
      <c r="Y174"/>
      <c r="AA174"/>
      <c r="AC174" s="448"/>
      <c r="AE174"/>
    </row>
    <row r="175" spans="1:31" ht="15" hidden="1" customHeight="1" x14ac:dyDescent="0.45">
      <c r="A175" s="32"/>
      <c r="B175" s="4"/>
      <c r="C175" s="2" t="s">
        <v>114</v>
      </c>
      <c r="D175" s="2">
        <f t="shared" si="11"/>
        <v>0</v>
      </c>
      <c r="E175" s="23" t="s">
        <v>546</v>
      </c>
      <c r="F175" s="23" t="s">
        <v>209</v>
      </c>
      <c r="H175" s="83">
        <f>'Capex Data'!H66</f>
        <v>0</v>
      </c>
      <c r="I175" s="83">
        <f t="shared" si="10"/>
        <v>0</v>
      </c>
      <c r="J175"/>
      <c r="M175"/>
      <c r="N175"/>
      <c r="O175"/>
      <c r="P175"/>
      <c r="Q175"/>
      <c r="R175"/>
      <c r="S175"/>
      <c r="T175"/>
      <c r="U175"/>
      <c r="V175"/>
      <c r="W175"/>
      <c r="X175"/>
      <c r="Y175"/>
      <c r="AA175"/>
      <c r="AC175" s="448"/>
      <c r="AE175"/>
    </row>
    <row r="176" spans="1:31" ht="15" hidden="1" customHeight="1" x14ac:dyDescent="0.45">
      <c r="A176" s="32"/>
      <c r="B176" s="4"/>
      <c r="C176" s="2" t="s">
        <v>114</v>
      </c>
      <c r="D176" s="2">
        <f t="shared" si="11"/>
        <v>0</v>
      </c>
      <c r="E176" s="23" t="s">
        <v>546</v>
      </c>
      <c r="F176" s="23" t="s">
        <v>209</v>
      </c>
      <c r="H176" s="83">
        <f>'Capex Data'!H67</f>
        <v>0</v>
      </c>
      <c r="I176" s="83">
        <f t="shared" si="10"/>
        <v>0</v>
      </c>
      <c r="J176"/>
      <c r="M176"/>
      <c r="N176"/>
      <c r="O176"/>
      <c r="P176"/>
      <c r="Q176"/>
      <c r="R176"/>
      <c r="S176"/>
      <c r="T176"/>
      <c r="U176"/>
      <c r="V176"/>
      <c r="W176"/>
      <c r="X176"/>
      <c r="Y176"/>
      <c r="AA176"/>
      <c r="AC176" s="448"/>
      <c r="AE176"/>
    </row>
    <row r="177" spans="1:41" ht="15" hidden="1" customHeight="1" x14ac:dyDescent="0.45">
      <c r="A177" s="32"/>
      <c r="B177" s="4"/>
      <c r="C177" s="2" t="s">
        <v>114</v>
      </c>
      <c r="D177" s="2">
        <f t="shared" si="11"/>
        <v>0</v>
      </c>
      <c r="E177" s="23" t="s">
        <v>546</v>
      </c>
      <c r="F177" s="23" t="s">
        <v>209</v>
      </c>
      <c r="H177" s="83">
        <f>'Capex Data'!H68</f>
        <v>0</v>
      </c>
      <c r="I177" s="83">
        <f t="shared" si="10"/>
        <v>0</v>
      </c>
      <c r="J177"/>
      <c r="M177"/>
      <c r="N177"/>
      <c r="O177"/>
      <c r="P177"/>
      <c r="Q177"/>
      <c r="R177"/>
      <c r="S177"/>
      <c r="T177"/>
      <c r="U177"/>
      <c r="V177"/>
      <c r="W177"/>
      <c r="X177"/>
      <c r="Y177"/>
      <c r="AA177"/>
      <c r="AC177" s="448"/>
      <c r="AE177"/>
    </row>
    <row r="178" spans="1:41" ht="15" hidden="1" customHeight="1" x14ac:dyDescent="0.45">
      <c r="A178" s="32"/>
      <c r="B178" s="4"/>
      <c r="C178" s="2" t="s">
        <v>114</v>
      </c>
      <c r="D178" s="2">
        <f t="shared" si="11"/>
        <v>0</v>
      </c>
      <c r="E178" s="23" t="s">
        <v>546</v>
      </c>
      <c r="F178" s="23" t="s">
        <v>209</v>
      </c>
      <c r="H178" s="83">
        <f>'Capex Data'!H69</f>
        <v>0</v>
      </c>
      <c r="I178" s="83">
        <f t="shared" si="10"/>
        <v>0</v>
      </c>
      <c r="J178"/>
      <c r="M178"/>
      <c r="N178"/>
      <c r="O178"/>
      <c r="P178"/>
      <c r="Q178"/>
      <c r="R178"/>
      <c r="S178"/>
      <c r="T178"/>
      <c r="U178"/>
      <c r="V178"/>
      <c r="W178"/>
      <c r="X178"/>
      <c r="Y178"/>
      <c r="AA178"/>
      <c r="AC178" s="448" t="s">
        <v>547</v>
      </c>
      <c r="AE178"/>
    </row>
    <row r="179" spans="1:41" ht="15" hidden="1" customHeight="1" x14ac:dyDescent="0.45">
      <c r="A179" s="32"/>
      <c r="B179" s="4"/>
      <c r="C179" s="2" t="s">
        <v>114</v>
      </c>
      <c r="D179" s="2">
        <f t="shared" si="11"/>
        <v>0</v>
      </c>
      <c r="E179" s="23" t="s">
        <v>546</v>
      </c>
      <c r="F179" s="23" t="s">
        <v>209</v>
      </c>
      <c r="H179" s="83">
        <f>'Capex Data'!H70</f>
        <v>0</v>
      </c>
      <c r="I179" s="83">
        <f t="shared" si="10"/>
        <v>0</v>
      </c>
      <c r="J179"/>
      <c r="M179"/>
      <c r="N179"/>
      <c r="O179"/>
      <c r="P179"/>
      <c r="Q179"/>
      <c r="R179"/>
      <c r="S179"/>
      <c r="T179"/>
      <c r="U179"/>
      <c r="V179"/>
      <c r="W179"/>
      <c r="X179"/>
      <c r="Y179"/>
      <c r="AA179"/>
      <c r="AC179" s="448" t="s">
        <v>547</v>
      </c>
      <c r="AE179"/>
    </row>
    <row r="180" spans="1:41" ht="15" hidden="1" customHeight="1" x14ac:dyDescent="0.45">
      <c r="A180" s="32"/>
      <c r="B180" s="4"/>
      <c r="C180" s="2" t="s">
        <v>114</v>
      </c>
      <c r="D180" s="2">
        <f t="shared" si="11"/>
        <v>0</v>
      </c>
      <c r="E180" s="23" t="s">
        <v>546</v>
      </c>
      <c r="F180" s="23" t="s">
        <v>209</v>
      </c>
      <c r="H180" s="83">
        <f>'Capex Data'!H71</f>
        <v>0</v>
      </c>
      <c r="I180" s="83">
        <f t="shared" si="10"/>
        <v>0</v>
      </c>
      <c r="J180"/>
      <c r="M180"/>
      <c r="N180"/>
      <c r="O180"/>
      <c r="P180"/>
      <c r="Q180"/>
      <c r="R180"/>
      <c r="S180"/>
      <c r="T180"/>
      <c r="U180"/>
      <c r="V180"/>
      <c r="W180"/>
      <c r="X180"/>
      <c r="Y180"/>
      <c r="AA180"/>
      <c r="AC180" s="448" t="s">
        <v>547</v>
      </c>
      <c r="AE180"/>
    </row>
    <row r="181" spans="1:41" ht="15" hidden="1" customHeight="1" x14ac:dyDescent="0.45">
      <c r="A181" s="32"/>
      <c r="B181" s="4"/>
      <c r="C181" s="2" t="s">
        <v>114</v>
      </c>
      <c r="D181" s="2">
        <f t="shared" si="11"/>
        <v>0</v>
      </c>
      <c r="E181" s="23" t="s">
        <v>546</v>
      </c>
      <c r="F181" s="23" t="s">
        <v>209</v>
      </c>
      <c r="H181" s="83">
        <f>'Capex Data'!H72</f>
        <v>0</v>
      </c>
      <c r="I181" s="83">
        <f t="shared" si="10"/>
        <v>0</v>
      </c>
      <c r="J181"/>
      <c r="M181"/>
      <c r="N181"/>
      <c r="O181"/>
      <c r="P181"/>
      <c r="Q181"/>
      <c r="R181"/>
      <c r="S181"/>
      <c r="T181"/>
      <c r="U181"/>
      <c r="V181"/>
      <c r="W181"/>
      <c r="X181"/>
      <c r="Y181"/>
      <c r="AA181"/>
      <c r="AC181" s="448"/>
      <c r="AE181"/>
    </row>
    <row r="182" spans="1:41" ht="15" hidden="1" customHeight="1" x14ac:dyDescent="0.45">
      <c r="A182" s="32"/>
      <c r="B182" s="4"/>
      <c r="C182" s="2" t="s">
        <v>114</v>
      </c>
      <c r="D182" s="2">
        <f t="shared" si="11"/>
        <v>0</v>
      </c>
      <c r="E182" s="23" t="s">
        <v>546</v>
      </c>
      <c r="F182" s="23" t="s">
        <v>209</v>
      </c>
      <c r="H182" s="83">
        <f>'Capex Data'!H73</f>
        <v>0</v>
      </c>
      <c r="I182" s="83">
        <f t="shared" si="10"/>
        <v>0</v>
      </c>
      <c r="J182"/>
      <c r="M182"/>
      <c r="N182"/>
      <c r="O182"/>
      <c r="P182"/>
      <c r="Q182"/>
      <c r="R182"/>
      <c r="S182"/>
      <c r="T182"/>
      <c r="U182"/>
      <c r="V182"/>
      <c r="W182"/>
      <c r="X182"/>
      <c r="Y182"/>
      <c r="AA182"/>
      <c r="AC182" s="448" t="s">
        <v>547</v>
      </c>
      <c r="AE182"/>
    </row>
    <row r="183" spans="1:41" ht="15" customHeight="1" x14ac:dyDescent="0.45">
      <c r="A183" s="32"/>
      <c r="B183" s="4"/>
      <c r="G183" s="124"/>
      <c r="K183"/>
      <c r="M183"/>
      <c r="N183"/>
      <c r="O183"/>
      <c r="P183"/>
      <c r="Q183"/>
      <c r="R183"/>
      <c r="S183"/>
      <c r="T183"/>
      <c r="U183"/>
      <c r="V183"/>
      <c r="W183"/>
      <c r="X183"/>
      <c r="Y183"/>
      <c r="AA183"/>
      <c r="AC183" s="448"/>
      <c r="AE183"/>
    </row>
    <row r="184" spans="1:41" ht="15" customHeight="1" x14ac:dyDescent="0.45">
      <c r="A184" s="32"/>
      <c r="B184" s="4"/>
      <c r="C184" s="2" t="s">
        <v>114</v>
      </c>
      <c r="D184" s="2" t="s">
        <v>117</v>
      </c>
      <c r="E184" s="23" t="s">
        <v>115</v>
      </c>
      <c r="F184" s="23" t="s">
        <v>208</v>
      </c>
      <c r="G184" s="124"/>
      <c r="H184" s="119">
        <v>0.02</v>
      </c>
      <c r="I184" s="167" t="s">
        <v>151</v>
      </c>
      <c r="J184"/>
      <c r="K184"/>
      <c r="M184"/>
      <c r="N184"/>
      <c r="O184"/>
      <c r="P184"/>
      <c r="Q184"/>
      <c r="R184"/>
      <c r="S184"/>
      <c r="T184"/>
      <c r="U184"/>
      <c r="V184"/>
      <c r="W184"/>
      <c r="X184"/>
      <c r="Y184"/>
      <c r="AA184"/>
      <c r="AC184" s="448"/>
      <c r="AE184"/>
    </row>
    <row r="185" spans="1:41" ht="15" customHeight="1" x14ac:dyDescent="0.45">
      <c r="A185" s="32"/>
      <c r="B185" s="4"/>
      <c r="E185" s="2"/>
      <c r="F185" s="2"/>
      <c r="G185" s="124"/>
      <c r="K185"/>
      <c r="M185"/>
      <c r="N185"/>
      <c r="O185"/>
      <c r="P185"/>
      <c r="Q185"/>
      <c r="R185"/>
      <c r="S185"/>
      <c r="T185"/>
      <c r="U185"/>
      <c r="V185"/>
      <c r="W185"/>
      <c r="X185"/>
      <c r="Y185"/>
      <c r="AA185"/>
      <c r="AC185" s="448"/>
      <c r="AE185"/>
    </row>
    <row r="186" spans="1:41" ht="15" customHeight="1" x14ac:dyDescent="0.45">
      <c r="A186" s="32"/>
      <c r="B186" s="4" t="s">
        <v>768</v>
      </c>
      <c r="G186" s="124"/>
      <c r="H186" s="24" t="s">
        <v>212</v>
      </c>
      <c r="I186" s="24" t="s">
        <v>805</v>
      </c>
      <c r="K186"/>
      <c r="M186"/>
      <c r="N186"/>
      <c r="O186"/>
      <c r="P186"/>
      <c r="Q186"/>
      <c r="R186"/>
      <c r="S186"/>
      <c r="T186"/>
      <c r="U186"/>
      <c r="V186"/>
      <c r="W186"/>
      <c r="X186"/>
      <c r="Y186"/>
      <c r="AA186"/>
      <c r="AC186" s="448"/>
      <c r="AE186"/>
    </row>
    <row r="187" spans="1:41" ht="15" customHeight="1" x14ac:dyDescent="0.45">
      <c r="A187" s="32"/>
      <c r="B187" s="4"/>
      <c r="C187" s="2" t="s">
        <v>114</v>
      </c>
      <c r="D187" s="2" t="s">
        <v>510</v>
      </c>
      <c r="E187" s="23" t="s">
        <v>545</v>
      </c>
      <c r="F187" s="23" t="s">
        <v>209</v>
      </c>
      <c r="G187" s="124"/>
      <c r="H187" s="83" t="s">
        <v>139</v>
      </c>
      <c r="I187" s="542">
        <f>SUM(I84:I105)*H189</f>
        <v>8502.4580133555937</v>
      </c>
      <c r="J187"/>
      <c r="M187"/>
      <c r="N187"/>
      <c r="O187"/>
      <c r="P187"/>
      <c r="Q187"/>
      <c r="R187"/>
      <c r="S187"/>
      <c r="T187"/>
      <c r="U187"/>
      <c r="V187"/>
      <c r="W187"/>
      <c r="X187"/>
      <c r="Y187"/>
      <c r="AA187"/>
      <c r="AC187" s="448"/>
      <c r="AE187"/>
    </row>
    <row r="188" spans="1:41" ht="15" customHeight="1" x14ac:dyDescent="0.45">
      <c r="A188" s="32"/>
      <c r="B188" s="4"/>
      <c r="C188" s="2" t="s">
        <v>114</v>
      </c>
      <c r="D188" s="2" t="s">
        <v>512</v>
      </c>
      <c r="E188" s="23" t="s">
        <v>546</v>
      </c>
      <c r="F188" s="23" t="s">
        <v>209</v>
      </c>
      <c r="G188" s="124"/>
      <c r="H188" s="83" t="s">
        <v>139</v>
      </c>
      <c r="I188" s="542">
        <f>SUM(I147:I182)*H189</f>
        <v>11580.475792988313</v>
      </c>
      <c r="J188"/>
      <c r="M188"/>
      <c r="N188"/>
      <c r="O188"/>
      <c r="P188"/>
      <c r="Q188"/>
      <c r="R188"/>
      <c r="S188"/>
      <c r="T188"/>
      <c r="U188"/>
      <c r="V188"/>
      <c r="W188"/>
      <c r="X188"/>
      <c r="Y188"/>
      <c r="AA188"/>
      <c r="AC188" s="448"/>
      <c r="AE188"/>
    </row>
    <row r="189" spans="1:41" ht="15" customHeight="1" x14ac:dyDescent="0.45">
      <c r="A189" s="32"/>
      <c r="B189" s="4"/>
      <c r="C189" s="2" t="s">
        <v>114</v>
      </c>
      <c r="D189" s="2" t="s">
        <v>161</v>
      </c>
      <c r="E189" s="23" t="s">
        <v>115</v>
      </c>
      <c r="F189" s="23" t="s">
        <v>208</v>
      </c>
      <c r="G189" s="36"/>
      <c r="H189" s="119">
        <v>0.02</v>
      </c>
      <c r="I189" s="167"/>
      <c r="J189"/>
      <c r="M189"/>
      <c r="N189"/>
      <c r="O189"/>
      <c r="P189"/>
      <c r="Q189"/>
      <c r="R189"/>
      <c r="S189"/>
      <c r="T189"/>
      <c r="U189"/>
      <c r="V189"/>
      <c r="W189"/>
      <c r="X189"/>
      <c r="Y189"/>
      <c r="AA189"/>
      <c r="AC189" s="448"/>
      <c r="AE189"/>
    </row>
    <row r="190" spans="1:41" customFormat="1" ht="15" customHeight="1" x14ac:dyDescent="0.45">
      <c r="D190" s="2"/>
      <c r="K190" s="2"/>
      <c r="L190" s="457"/>
      <c r="Z190" s="2"/>
      <c r="AC190" s="448"/>
      <c r="AO190" s="2"/>
    </row>
    <row r="191" spans="1:41" s="545" customFormat="1" ht="15" customHeight="1" x14ac:dyDescent="0.45">
      <c r="A191" s="1" t="s">
        <v>772</v>
      </c>
      <c r="D191" s="2"/>
      <c r="K191" s="2"/>
      <c r="L191" s="457"/>
      <c r="N191"/>
      <c r="O191"/>
      <c r="P191"/>
      <c r="Q191"/>
      <c r="R191"/>
      <c r="S191"/>
      <c r="Z191" s="2"/>
      <c r="AC191" s="448"/>
      <c r="AO191" s="2"/>
    </row>
    <row r="192" spans="1:41" customFormat="1" ht="15" customHeight="1" x14ac:dyDescent="0.45">
      <c r="B192" s="1" t="s">
        <v>739</v>
      </c>
      <c r="D192" s="2"/>
      <c r="H192" s="24" t="s">
        <v>212</v>
      </c>
      <c r="I192" s="24"/>
      <c r="K192" s="2"/>
      <c r="L192" s="457"/>
      <c r="Z192" s="2"/>
      <c r="AC192" s="448"/>
      <c r="AO192" s="2"/>
    </row>
    <row r="193" spans="1:41" customFormat="1" ht="15" customHeight="1" x14ac:dyDescent="0.45">
      <c r="C193" t="s">
        <v>114</v>
      </c>
      <c r="D193" s="2" t="s">
        <v>740</v>
      </c>
      <c r="E193" s="136" t="s">
        <v>21</v>
      </c>
      <c r="F193" s="136"/>
      <c r="H193" s="119">
        <v>1</v>
      </c>
      <c r="I193" s="543"/>
      <c r="K193" s="2"/>
      <c r="L193" s="457"/>
      <c r="Z193" s="2"/>
      <c r="AC193" s="448" t="s">
        <v>551</v>
      </c>
      <c r="AO193" s="2"/>
    </row>
    <row r="194" spans="1:41" customFormat="1" ht="15" customHeight="1" x14ac:dyDescent="0.45">
      <c r="D194" s="2"/>
      <c r="K194" s="2"/>
      <c r="L194" s="457"/>
      <c r="Z194" s="2"/>
      <c r="AC194" s="448"/>
      <c r="AO194" s="2"/>
    </row>
    <row r="195" spans="1:41" customFormat="1" ht="15" customHeight="1" x14ac:dyDescent="0.45">
      <c r="B195" s="1" t="s">
        <v>774</v>
      </c>
      <c r="D195" s="2"/>
      <c r="H195" s="24" t="s">
        <v>212</v>
      </c>
      <c r="I195" s="24" t="s">
        <v>805</v>
      </c>
      <c r="K195" s="2"/>
      <c r="L195" s="457"/>
      <c r="Z195" s="2"/>
      <c r="AC195" s="448"/>
      <c r="AO195" s="2"/>
    </row>
    <row r="196" spans="1:41" customFormat="1" ht="15" customHeight="1" x14ac:dyDescent="0.45">
      <c r="C196" t="s">
        <v>114</v>
      </c>
      <c r="D196" s="2" t="s">
        <v>728</v>
      </c>
      <c r="E196" s="136" t="s">
        <v>211</v>
      </c>
      <c r="F196" s="136" t="s">
        <v>209</v>
      </c>
      <c r="H196" s="83">
        <f>I196*H14</f>
        <v>299500</v>
      </c>
      <c r="I196" s="460">
        <v>500</v>
      </c>
      <c r="J196" s="437">
        <f>H196/1000</f>
        <v>299.5</v>
      </c>
      <c r="K196" s="2"/>
      <c r="L196" s="457"/>
      <c r="Z196" s="2"/>
      <c r="AC196" s="448" t="s">
        <v>551</v>
      </c>
      <c r="AO196" s="2"/>
    </row>
    <row r="197" spans="1:41" customFormat="1" ht="15" customHeight="1" x14ac:dyDescent="0.45"/>
    <row r="198" spans="1:41" ht="15" customHeight="1" x14ac:dyDescent="0.45">
      <c r="A198" s="32"/>
      <c r="B198" s="4" t="s">
        <v>769</v>
      </c>
      <c r="G198" s="124"/>
      <c r="H198" s="24" t="s">
        <v>212</v>
      </c>
      <c r="N198"/>
      <c r="O198"/>
      <c r="P198"/>
      <c r="Q198"/>
      <c r="R198"/>
      <c r="S198"/>
      <c r="AC198" s="448"/>
    </row>
    <row r="199" spans="1:41" ht="15" customHeight="1" x14ac:dyDescent="0.45">
      <c r="A199" s="37"/>
      <c r="B199" s="4"/>
      <c r="C199" s="2" t="s">
        <v>114</v>
      </c>
      <c r="D199" s="2" t="s">
        <v>751</v>
      </c>
      <c r="E199" s="23" t="s">
        <v>21</v>
      </c>
      <c r="F199" s="23" t="s">
        <v>208</v>
      </c>
      <c r="G199" s="124"/>
      <c r="H199" s="119">
        <v>0.4</v>
      </c>
      <c r="I199"/>
      <c r="J199"/>
      <c r="M199"/>
      <c r="N199"/>
      <c r="O199"/>
      <c r="P199"/>
      <c r="Q199"/>
      <c r="R199"/>
      <c r="S199"/>
      <c r="T199"/>
      <c r="U199"/>
      <c r="V199"/>
      <c r="W199"/>
      <c r="X199"/>
      <c r="AC199" s="448"/>
      <c r="AD199"/>
    </row>
    <row r="200" spans="1:41" customFormat="1" ht="15" customHeight="1" x14ac:dyDescent="0.45">
      <c r="D200" s="2"/>
      <c r="K200" s="2"/>
      <c r="L200" s="457"/>
      <c r="Z200" s="2"/>
      <c r="AC200" s="448"/>
      <c r="AO200" s="2"/>
    </row>
    <row r="201" spans="1:41" s="545" customFormat="1" ht="15" customHeight="1" x14ac:dyDescent="0.45">
      <c r="B201" s="1" t="s">
        <v>754</v>
      </c>
      <c r="D201" s="2"/>
      <c r="H201" s="24" t="s">
        <v>212</v>
      </c>
      <c r="I201" s="24" t="s">
        <v>805</v>
      </c>
      <c r="K201" s="2"/>
      <c r="L201" s="457"/>
      <c r="N201"/>
      <c r="O201"/>
      <c r="P201"/>
      <c r="Q201"/>
      <c r="R201"/>
      <c r="S201"/>
      <c r="Z201" s="2"/>
      <c r="AC201" s="448"/>
      <c r="AO201" s="2"/>
    </row>
    <row r="202" spans="1:41" s="545" customFormat="1" ht="15" customHeight="1" x14ac:dyDescent="0.45">
      <c r="C202" s="545" t="s">
        <v>114</v>
      </c>
      <c r="D202" s="2" t="s">
        <v>755</v>
      </c>
      <c r="E202" s="136" t="s">
        <v>211</v>
      </c>
      <c r="F202" s="136" t="s">
        <v>209</v>
      </c>
      <c r="H202" s="83">
        <f>I202*H59</f>
        <v>2100</v>
      </c>
      <c r="I202" s="460">
        <v>100</v>
      </c>
      <c r="K202" s="2"/>
      <c r="L202" s="457"/>
      <c r="Z202" s="2"/>
      <c r="AC202" s="448" t="s">
        <v>551</v>
      </c>
      <c r="AO202" s="2"/>
    </row>
    <row r="203" spans="1:41" s="545" customFormat="1" ht="15" customHeight="1" x14ac:dyDescent="0.45">
      <c r="D203" s="2"/>
      <c r="K203" s="2"/>
      <c r="L203" s="457"/>
      <c r="Z203" s="2"/>
      <c r="AC203" s="448"/>
      <c r="AO203" s="2"/>
    </row>
    <row r="204" spans="1:41" s="545" customFormat="1" ht="15" customHeight="1" x14ac:dyDescent="0.45">
      <c r="A204" s="1" t="s">
        <v>773</v>
      </c>
      <c r="D204" s="2"/>
      <c r="K204" s="2"/>
      <c r="L204" s="457"/>
      <c r="Z204" s="2"/>
      <c r="AC204" s="448"/>
      <c r="AO204" s="2"/>
    </row>
    <row r="205" spans="1:41" s="545" customFormat="1" ht="15" customHeight="1" x14ac:dyDescent="0.45">
      <c r="B205" s="1" t="s">
        <v>775</v>
      </c>
      <c r="D205" s="2"/>
      <c r="H205" s="24" t="s">
        <v>212</v>
      </c>
      <c r="I205" s="24"/>
      <c r="K205" s="2"/>
      <c r="L205" s="457"/>
      <c r="Z205" s="2"/>
      <c r="AC205" s="448"/>
      <c r="AO205" s="2"/>
    </row>
    <row r="206" spans="1:41" s="545" customFormat="1" ht="15" customHeight="1" x14ac:dyDescent="0.45">
      <c r="C206" s="545" t="s">
        <v>114</v>
      </c>
      <c r="D206" s="2" t="s">
        <v>783</v>
      </c>
      <c r="E206" s="136" t="s">
        <v>21</v>
      </c>
      <c r="F206" s="136"/>
      <c r="H206" s="119">
        <v>0</v>
      </c>
      <c r="I206" s="543"/>
      <c r="K206" s="2"/>
      <c r="L206" s="457"/>
      <c r="Z206" s="2"/>
      <c r="AC206" s="448" t="s">
        <v>551</v>
      </c>
      <c r="AO206" s="2"/>
    </row>
    <row r="207" spans="1:41" s="545" customFormat="1" ht="15" customHeight="1" x14ac:dyDescent="0.45">
      <c r="D207" s="2"/>
      <c r="K207" s="2"/>
      <c r="L207" s="457"/>
      <c r="Z207" s="2"/>
      <c r="AC207" s="448"/>
      <c r="AO207" s="2"/>
    </row>
    <row r="208" spans="1:41" s="545" customFormat="1" ht="15" customHeight="1" x14ac:dyDescent="0.45">
      <c r="B208" s="1" t="s">
        <v>776</v>
      </c>
      <c r="D208" s="2"/>
      <c r="H208" s="24" t="s">
        <v>212</v>
      </c>
      <c r="I208" s="24" t="s">
        <v>805</v>
      </c>
      <c r="K208" s="2"/>
      <c r="L208" s="457"/>
      <c r="Z208" s="2"/>
      <c r="AC208" s="448"/>
      <c r="AO208" s="2"/>
    </row>
    <row r="209" spans="1:41" s="545" customFormat="1" ht="15" customHeight="1" x14ac:dyDescent="0.45">
      <c r="C209" s="545" t="s">
        <v>114</v>
      </c>
      <c r="D209" s="2" t="s">
        <v>782</v>
      </c>
      <c r="E209" s="136" t="s">
        <v>211</v>
      </c>
      <c r="F209" s="136" t="s">
        <v>209</v>
      </c>
      <c r="H209" s="83">
        <f>I209*H14</f>
        <v>3594000</v>
      </c>
      <c r="I209" s="460">
        <v>6000</v>
      </c>
      <c r="K209" s="2"/>
      <c r="L209" s="457"/>
      <c r="Z209" s="2"/>
      <c r="AC209" s="448" t="s">
        <v>551</v>
      </c>
      <c r="AO209" s="2"/>
    </row>
    <row r="210" spans="1:41" s="545" customFormat="1" ht="15" customHeight="1" x14ac:dyDescent="0.45">
      <c r="D210" s="2"/>
      <c r="K210" s="2"/>
      <c r="L210" s="457"/>
      <c r="Z210" s="2"/>
      <c r="AC210" s="448"/>
      <c r="AO210" s="2"/>
    </row>
    <row r="211" spans="1:41" s="545" customFormat="1" ht="15" customHeight="1" x14ac:dyDescent="0.45">
      <c r="B211" s="1" t="s">
        <v>754</v>
      </c>
      <c r="D211" s="2"/>
      <c r="H211" s="24" t="s">
        <v>212</v>
      </c>
      <c r="I211" s="24" t="s">
        <v>805</v>
      </c>
      <c r="K211" s="2"/>
      <c r="L211" s="457"/>
      <c r="Z211" s="2"/>
      <c r="AC211" s="448"/>
      <c r="AO211" s="2"/>
    </row>
    <row r="212" spans="1:41" s="545" customFormat="1" ht="15" customHeight="1" x14ac:dyDescent="0.45">
      <c r="C212" s="545" t="s">
        <v>114</v>
      </c>
      <c r="D212" s="2" t="s">
        <v>781</v>
      </c>
      <c r="E212" s="136" t="s">
        <v>211</v>
      </c>
      <c r="F212" s="136" t="s">
        <v>209</v>
      </c>
      <c r="H212" s="83">
        <f>I212*H68</f>
        <v>0</v>
      </c>
      <c r="I212" s="460">
        <v>0</v>
      </c>
      <c r="K212" s="2"/>
      <c r="L212" s="457"/>
      <c r="Z212" s="2"/>
      <c r="AC212" s="448" t="s">
        <v>551</v>
      </c>
      <c r="AO212" s="2"/>
    </row>
    <row r="213" spans="1:41" s="545" customFormat="1" ht="15" customHeight="1" x14ac:dyDescent="0.45">
      <c r="D213" s="2"/>
      <c r="K213" s="2"/>
      <c r="L213" s="457"/>
      <c r="Z213" s="2"/>
      <c r="AC213" s="448"/>
      <c r="AO213" s="2"/>
    </row>
    <row r="214" spans="1:41" s="545" customFormat="1" ht="15" customHeight="1" x14ac:dyDescent="0.45">
      <c r="A214" s="1" t="s">
        <v>777</v>
      </c>
      <c r="D214" s="2"/>
      <c r="K214" s="2"/>
      <c r="L214" s="457"/>
      <c r="Z214" s="2"/>
      <c r="AC214" s="448"/>
      <c r="AO214" s="2"/>
    </row>
    <row r="215" spans="1:41" customFormat="1" ht="15" customHeight="1" x14ac:dyDescent="0.45">
      <c r="B215" s="4" t="s">
        <v>202</v>
      </c>
      <c r="D215" s="2"/>
      <c r="H215" s="24" t="s">
        <v>212</v>
      </c>
      <c r="I215" s="24" t="s">
        <v>805</v>
      </c>
      <c r="K215" s="2"/>
      <c r="L215" s="457"/>
      <c r="AC215" s="448"/>
      <c r="AO215" s="2"/>
    </row>
    <row r="216" spans="1:41" customFormat="1" ht="15" customHeight="1" x14ac:dyDescent="0.45">
      <c r="B216" s="4"/>
      <c r="D216" s="2" t="s">
        <v>802</v>
      </c>
      <c r="E216" s="136" t="s">
        <v>806</v>
      </c>
      <c r="F216" s="136" t="s">
        <v>806</v>
      </c>
      <c r="H216" s="82">
        <f>'Implementation &amp; Management'!$I$35</f>
        <v>190000</v>
      </c>
      <c r="I216" s="83">
        <f>IF(F216="XAF",H216/$H$14,H216)</f>
        <v>190000</v>
      </c>
      <c r="J216" t="s">
        <v>164</v>
      </c>
      <c r="K216" s="2"/>
      <c r="L216" s="682"/>
      <c r="AC216" s="448"/>
      <c r="AO216" s="2"/>
    </row>
    <row r="217" spans="1:41" customFormat="1" ht="15" customHeight="1" x14ac:dyDescent="0.45">
      <c r="D217" s="2"/>
      <c r="K217" s="2"/>
      <c r="L217" s="457"/>
      <c r="Z217" s="2"/>
      <c r="AC217" s="448"/>
      <c r="AO217" s="2"/>
    </row>
    <row r="218" spans="1:41" ht="15" customHeight="1" x14ac:dyDescent="0.45">
      <c r="A218" s="37"/>
      <c r="B218" s="4" t="s">
        <v>517</v>
      </c>
      <c r="H218" s="24" t="s">
        <v>212</v>
      </c>
      <c r="I218" s="24" t="s">
        <v>805</v>
      </c>
      <c r="J218"/>
      <c r="M218"/>
      <c r="N218"/>
      <c r="O218"/>
      <c r="P218"/>
      <c r="Q218"/>
      <c r="R218"/>
      <c r="S218"/>
      <c r="T218"/>
      <c r="U218"/>
      <c r="V218"/>
      <c r="W218"/>
      <c r="X218"/>
      <c r="Y218"/>
      <c r="Z218"/>
      <c r="AA218"/>
      <c r="AB218"/>
      <c r="AC218" s="448"/>
      <c r="AD218"/>
      <c r="AE218"/>
      <c r="AF218"/>
      <c r="AG218"/>
    </row>
    <row r="219" spans="1:41" ht="15" customHeight="1" x14ac:dyDescent="0.45">
      <c r="A219" s="37"/>
      <c r="B219" s="4"/>
      <c r="C219" s="2" t="s">
        <v>114</v>
      </c>
      <c r="D219" s="2" t="s">
        <v>523</v>
      </c>
      <c r="E219" s="23" t="s">
        <v>807</v>
      </c>
      <c r="F219" s="23" t="s">
        <v>806</v>
      </c>
      <c r="H219" s="82">
        <v>20000</v>
      </c>
      <c r="I219" s="83">
        <f t="shared" ref="I219:I224" si="12">IF(F219="XAF",H219/$H$14,H219)</f>
        <v>20000</v>
      </c>
      <c r="J219"/>
      <c r="M219"/>
      <c r="N219"/>
      <c r="O219"/>
      <c r="P219"/>
      <c r="Q219"/>
      <c r="R219"/>
      <c r="S219"/>
      <c r="T219"/>
      <c r="U219"/>
      <c r="V219"/>
      <c r="W219"/>
      <c r="X219"/>
      <c r="Y219"/>
      <c r="Z219"/>
      <c r="AA219"/>
      <c r="AB219"/>
      <c r="AC219" s="448"/>
      <c r="AD219"/>
      <c r="AE219"/>
      <c r="AF219"/>
      <c r="AG219"/>
    </row>
    <row r="220" spans="1:41" ht="15" customHeight="1" x14ac:dyDescent="0.45">
      <c r="A220" s="37"/>
      <c r="B220" s="4"/>
      <c r="C220" s="2" t="s">
        <v>114</v>
      </c>
      <c r="D220" s="2" t="s">
        <v>786</v>
      </c>
      <c r="E220" s="23" t="s">
        <v>807</v>
      </c>
      <c r="F220" s="23" t="s">
        <v>806</v>
      </c>
      <c r="H220" s="82">
        <f>'Implementation &amp; Management'!F35/50</f>
        <v>3502.938230383973</v>
      </c>
      <c r="I220" s="83">
        <f t="shared" si="12"/>
        <v>3502.938230383973</v>
      </c>
      <c r="J220" t="s">
        <v>164</v>
      </c>
      <c r="L220" s="681"/>
      <c r="M220"/>
      <c r="N220"/>
      <c r="O220"/>
      <c r="P220"/>
      <c r="Q220"/>
      <c r="R220"/>
      <c r="S220"/>
      <c r="T220"/>
      <c r="U220"/>
      <c r="V220"/>
      <c r="W220"/>
      <c r="X220"/>
      <c r="Y220"/>
      <c r="Z220"/>
      <c r="AA220"/>
      <c r="AB220"/>
      <c r="AC220" s="448"/>
      <c r="AD220"/>
      <c r="AE220"/>
      <c r="AF220"/>
      <c r="AG220"/>
    </row>
    <row r="221" spans="1:41" ht="15" customHeight="1" x14ac:dyDescent="0.45">
      <c r="A221" s="37"/>
      <c r="B221" s="4"/>
      <c r="C221" s="2" t="s">
        <v>114</v>
      </c>
      <c r="D221" s="2" t="s">
        <v>791</v>
      </c>
      <c r="E221" s="23" t="s">
        <v>545</v>
      </c>
      <c r="F221" s="23" t="s">
        <v>209</v>
      </c>
      <c r="H221" s="82">
        <f>'Operational Costs'!$K$15</f>
        <v>14376000</v>
      </c>
      <c r="I221" s="83">
        <f t="shared" si="12"/>
        <v>24000</v>
      </c>
      <c r="J221" t="s">
        <v>242</v>
      </c>
      <c r="M221"/>
      <c r="N221"/>
      <c r="O221"/>
      <c r="P221"/>
      <c r="Q221"/>
      <c r="R221"/>
      <c r="S221"/>
      <c r="T221"/>
      <c r="U221"/>
      <c r="V221"/>
      <c r="W221"/>
      <c r="X221"/>
      <c r="Y221"/>
      <c r="Z221"/>
      <c r="AA221"/>
      <c r="AB221"/>
      <c r="AC221" s="450"/>
      <c r="AD221"/>
      <c r="AF221"/>
      <c r="AG221"/>
    </row>
    <row r="222" spans="1:41" ht="15" customHeight="1" x14ac:dyDescent="0.45">
      <c r="A222" s="37"/>
      <c r="B222" s="4"/>
      <c r="C222" s="2" t="s">
        <v>114</v>
      </c>
      <c r="D222" s="2" t="s">
        <v>792</v>
      </c>
      <c r="E222" s="23" t="s">
        <v>545</v>
      </c>
      <c r="F222" s="23" t="s">
        <v>209</v>
      </c>
      <c r="H222" s="82">
        <f>'Operational Costs'!$K$16</f>
        <v>95600400</v>
      </c>
      <c r="I222" s="83">
        <f t="shared" si="12"/>
        <v>159600</v>
      </c>
      <c r="J222" t="s">
        <v>242</v>
      </c>
      <c r="M222"/>
      <c r="N222"/>
      <c r="O222"/>
      <c r="P222"/>
      <c r="Q222"/>
      <c r="R222"/>
      <c r="S222"/>
      <c r="T222"/>
      <c r="U222"/>
      <c r="V222"/>
      <c r="W222"/>
      <c r="X222"/>
      <c r="Y222"/>
      <c r="Z222"/>
      <c r="AA222"/>
      <c r="AB222"/>
      <c r="AC222" s="450"/>
      <c r="AD222"/>
      <c r="AF222"/>
      <c r="AG222"/>
    </row>
    <row r="223" spans="1:41" ht="15" customHeight="1" x14ac:dyDescent="0.45">
      <c r="A223" s="37"/>
      <c r="B223" s="4"/>
      <c r="C223" s="2" t="s">
        <v>114</v>
      </c>
      <c r="D223" s="2" t="s">
        <v>724</v>
      </c>
      <c r="E223" s="23" t="s">
        <v>545</v>
      </c>
      <c r="F223" s="23" t="s">
        <v>209</v>
      </c>
      <c r="H223" s="82">
        <f>'Operational Costs'!$K$17</f>
        <v>14376000</v>
      </c>
      <c r="I223" s="83">
        <f t="shared" si="12"/>
        <v>24000</v>
      </c>
      <c r="J223" t="s">
        <v>242</v>
      </c>
      <c r="M223"/>
      <c r="N223"/>
      <c r="O223"/>
      <c r="P223"/>
      <c r="Q223"/>
      <c r="R223"/>
      <c r="S223"/>
      <c r="T223"/>
      <c r="U223"/>
      <c r="V223"/>
      <c r="W223"/>
      <c r="X223"/>
      <c r="Y223"/>
      <c r="Z223"/>
      <c r="AA223"/>
      <c r="AB223"/>
      <c r="AC223" s="450"/>
      <c r="AD223"/>
      <c r="AF223"/>
      <c r="AG223"/>
    </row>
    <row r="224" spans="1:41" ht="15" customHeight="1" x14ac:dyDescent="0.45">
      <c r="A224" s="37"/>
      <c r="B224" s="4"/>
      <c r="C224" s="2" t="s">
        <v>114</v>
      </c>
      <c r="D224" s="2" t="s">
        <v>766</v>
      </c>
      <c r="E224" s="23" t="s">
        <v>545</v>
      </c>
      <c r="F224" s="23" t="s">
        <v>209</v>
      </c>
      <c r="H224" s="82">
        <f>H209*H29*H206</f>
        <v>0</v>
      </c>
      <c r="I224" s="83">
        <f t="shared" si="12"/>
        <v>0</v>
      </c>
      <c r="J224" s="545"/>
      <c r="M224" s="545"/>
      <c r="N224" s="545"/>
      <c r="O224" s="545"/>
      <c r="P224" s="545"/>
      <c r="Q224" s="545"/>
      <c r="R224" s="545"/>
      <c r="S224" s="545"/>
      <c r="T224" s="545"/>
      <c r="U224" s="545"/>
      <c r="V224" s="545"/>
      <c r="W224" s="545"/>
      <c r="X224" s="545"/>
      <c r="Y224" s="545"/>
      <c r="Z224" s="545"/>
      <c r="AA224" s="545"/>
      <c r="AB224" s="545"/>
      <c r="AC224" s="450"/>
      <c r="AD224" s="545"/>
      <c r="AE224" s="545"/>
      <c r="AF224" s="545"/>
      <c r="AG224" s="545"/>
    </row>
    <row r="225" spans="1:41" ht="15" customHeight="1" x14ac:dyDescent="0.45">
      <c r="A225" s="37"/>
      <c r="G225" s="38"/>
      <c r="H225" s="46"/>
      <c r="I225" s="46"/>
      <c r="J225"/>
      <c r="M225"/>
      <c r="N225"/>
      <c r="O225"/>
      <c r="P225"/>
      <c r="Q225"/>
      <c r="R225"/>
      <c r="S225"/>
      <c r="T225"/>
      <c r="U225"/>
      <c r="V225"/>
      <c r="W225"/>
      <c r="X225"/>
      <c r="Y225"/>
      <c r="AA225"/>
      <c r="AC225" s="448"/>
      <c r="AE225"/>
    </row>
    <row r="226" spans="1:41" ht="15" customHeight="1" x14ac:dyDescent="0.45">
      <c r="A226" s="37"/>
      <c r="B226" s="4" t="s">
        <v>518</v>
      </c>
      <c r="H226" s="24" t="s">
        <v>212</v>
      </c>
      <c r="I226" s="24" t="s">
        <v>805</v>
      </c>
      <c r="J226"/>
      <c r="M226"/>
      <c r="N226"/>
      <c r="O226"/>
      <c r="P226"/>
      <c r="Q226"/>
      <c r="R226"/>
      <c r="S226"/>
      <c r="T226"/>
      <c r="U226"/>
      <c r="V226"/>
      <c r="W226"/>
      <c r="X226"/>
      <c r="Y226"/>
      <c r="Z226"/>
      <c r="AA226"/>
      <c r="AB226"/>
      <c r="AC226" s="448"/>
      <c r="AD226"/>
      <c r="AE226"/>
      <c r="AF226"/>
      <c r="AG226"/>
    </row>
    <row r="227" spans="1:41" ht="15" customHeight="1" x14ac:dyDescent="0.45">
      <c r="A227" s="37"/>
      <c r="B227" s="4"/>
      <c r="C227" s="2" t="s">
        <v>114</v>
      </c>
      <c r="D227" s="2" t="s">
        <v>881</v>
      </c>
      <c r="E227" s="23" t="s">
        <v>808</v>
      </c>
      <c r="F227" s="23" t="s">
        <v>806</v>
      </c>
      <c r="H227" s="82">
        <v>100000</v>
      </c>
      <c r="I227" s="83">
        <f t="shared" ref="I227:I232" si="13">IF(F227="XAF",H227/$H$14,H227)</f>
        <v>100000</v>
      </c>
      <c r="J227"/>
      <c r="M227"/>
      <c r="N227"/>
      <c r="O227"/>
      <c r="P227"/>
      <c r="Q227"/>
      <c r="R227"/>
      <c r="S227"/>
      <c r="T227"/>
      <c r="U227"/>
      <c r="V227"/>
      <c r="W227"/>
      <c r="X227"/>
      <c r="Y227"/>
      <c r="Z227"/>
      <c r="AA227"/>
      <c r="AB227"/>
      <c r="AC227" s="448"/>
      <c r="AD227"/>
      <c r="AE227"/>
      <c r="AF227"/>
      <c r="AG227"/>
    </row>
    <row r="228" spans="1:41" ht="15" customHeight="1" x14ac:dyDescent="0.45">
      <c r="A228" s="37"/>
      <c r="B228" s="4"/>
      <c r="C228" s="2" t="s">
        <v>114</v>
      </c>
      <c r="D228" s="2" t="s">
        <v>787</v>
      </c>
      <c r="E228" s="23" t="s">
        <v>546</v>
      </c>
      <c r="F228" s="23" t="s">
        <v>209</v>
      </c>
      <c r="H228" s="82">
        <f>'Operational Costs'!$K$20</f>
        <v>17970000</v>
      </c>
      <c r="I228" s="83">
        <f t="shared" si="13"/>
        <v>30000</v>
      </c>
      <c r="J228" t="s">
        <v>242</v>
      </c>
      <c r="M228"/>
      <c r="N228"/>
      <c r="O228"/>
      <c r="P228"/>
      <c r="Q228"/>
      <c r="R228"/>
      <c r="S228"/>
      <c r="T228"/>
      <c r="U228"/>
      <c r="V228"/>
      <c r="W228"/>
      <c r="X228"/>
      <c r="Y228"/>
      <c r="Z228"/>
      <c r="AA228"/>
      <c r="AB228"/>
      <c r="AC228" s="450"/>
      <c r="AD228"/>
      <c r="AF228"/>
      <c r="AG228"/>
    </row>
    <row r="229" spans="1:41" ht="15" customHeight="1" x14ac:dyDescent="0.45">
      <c r="A229" s="37"/>
      <c r="B229" s="4"/>
      <c r="C229" s="2" t="s">
        <v>114</v>
      </c>
      <c r="D229" s="2" t="s">
        <v>788</v>
      </c>
      <c r="E229" s="23" t="s">
        <v>546</v>
      </c>
      <c r="F229" s="23" t="s">
        <v>209</v>
      </c>
      <c r="H229" s="82">
        <f>'Operational Costs'!$K$21</f>
        <v>32346000</v>
      </c>
      <c r="I229" s="83">
        <f t="shared" si="13"/>
        <v>54000</v>
      </c>
      <c r="J229" t="s">
        <v>242</v>
      </c>
      <c r="M229"/>
      <c r="N229"/>
      <c r="O229"/>
      <c r="P229"/>
      <c r="Q229"/>
      <c r="R229"/>
      <c r="S229"/>
      <c r="T229"/>
      <c r="U229"/>
      <c r="V229"/>
      <c r="W229"/>
      <c r="X229"/>
      <c r="Y229"/>
      <c r="Z229"/>
      <c r="AA229"/>
      <c r="AB229"/>
      <c r="AC229" s="450"/>
      <c r="AD229"/>
      <c r="AF229"/>
      <c r="AG229"/>
    </row>
    <row r="230" spans="1:41" ht="15" customHeight="1" x14ac:dyDescent="0.45">
      <c r="A230" s="37"/>
      <c r="B230" s="4"/>
      <c r="C230" s="2" t="s">
        <v>114</v>
      </c>
      <c r="D230" s="2" t="s">
        <v>789</v>
      </c>
      <c r="E230" s="23" t="s">
        <v>546</v>
      </c>
      <c r="F230" s="23" t="s">
        <v>209</v>
      </c>
      <c r="H230" s="82">
        <f>'Operational Costs'!$K$22</f>
        <v>21564000</v>
      </c>
      <c r="I230" s="83">
        <f t="shared" si="13"/>
        <v>36000</v>
      </c>
      <c r="J230" t="s">
        <v>242</v>
      </c>
      <c r="M230"/>
      <c r="N230"/>
      <c r="O230"/>
      <c r="P230"/>
      <c r="Q230"/>
      <c r="R230"/>
      <c r="S230"/>
      <c r="T230"/>
      <c r="U230"/>
      <c r="V230"/>
      <c r="W230"/>
      <c r="X230"/>
      <c r="Y230"/>
      <c r="Z230"/>
      <c r="AA230"/>
      <c r="AB230"/>
      <c r="AC230" s="450"/>
      <c r="AD230"/>
      <c r="AF230"/>
      <c r="AG230"/>
    </row>
    <row r="231" spans="1:41" ht="15" customHeight="1" x14ac:dyDescent="0.45">
      <c r="A231" s="37"/>
      <c r="B231" s="4"/>
      <c r="C231" s="2" t="s">
        <v>114</v>
      </c>
      <c r="D231" s="2" t="s">
        <v>790</v>
      </c>
      <c r="E231" s="23" t="s">
        <v>546</v>
      </c>
      <c r="F231" s="23" t="s">
        <v>209</v>
      </c>
      <c r="H231" s="82">
        <f>'Operational Costs'!$I$12*H28</f>
        <v>8985000</v>
      </c>
      <c r="I231" s="83">
        <f t="shared" si="13"/>
        <v>15000</v>
      </c>
      <c r="J231" t="s">
        <v>242</v>
      </c>
      <c r="M231"/>
      <c r="N231"/>
      <c r="O231"/>
      <c r="P231"/>
      <c r="Q231"/>
      <c r="R231"/>
      <c r="S231"/>
      <c r="T231"/>
      <c r="U231"/>
      <c r="V231"/>
      <c r="W231"/>
      <c r="X231"/>
      <c r="Y231"/>
      <c r="Z231"/>
      <c r="AA231"/>
      <c r="AB231"/>
      <c r="AC231" s="450" t="s">
        <v>548</v>
      </c>
      <c r="AD231"/>
      <c r="AF231"/>
      <c r="AG231"/>
    </row>
    <row r="232" spans="1:41" ht="15" customHeight="1" x14ac:dyDescent="0.45">
      <c r="A232" s="37"/>
      <c r="B232" s="4"/>
      <c r="C232" s="2" t="s">
        <v>114</v>
      </c>
      <c r="D232" s="2" t="s">
        <v>729</v>
      </c>
      <c r="E232" s="23" t="s">
        <v>546</v>
      </c>
      <c r="F232" s="23" t="s">
        <v>209</v>
      </c>
      <c r="H232" s="82">
        <f>H196*H27*H193*H17/H18</f>
        <v>449250000</v>
      </c>
      <c r="I232" s="83">
        <f t="shared" si="13"/>
        <v>750000</v>
      </c>
      <c r="J232"/>
      <c r="M232"/>
      <c r="N232"/>
      <c r="O232"/>
      <c r="P232"/>
      <c r="Q232"/>
      <c r="R232"/>
      <c r="S232"/>
      <c r="T232"/>
      <c r="U232"/>
      <c r="V232"/>
      <c r="W232"/>
      <c r="X232"/>
      <c r="Y232"/>
      <c r="Z232"/>
      <c r="AA232"/>
      <c r="AB232"/>
      <c r="AC232" s="450"/>
      <c r="AD232"/>
      <c r="AE232"/>
      <c r="AF232"/>
      <c r="AG232"/>
    </row>
    <row r="233" spans="1:41" customFormat="1" ht="15" customHeight="1" x14ac:dyDescent="0.45">
      <c r="H233" s="401"/>
      <c r="L233" s="457"/>
      <c r="AC233" s="448"/>
    </row>
    <row r="234" spans="1:41" ht="15" customHeight="1" x14ac:dyDescent="0.45">
      <c r="A234" s="37"/>
      <c r="B234" s="4"/>
      <c r="C234" s="2" t="s">
        <v>114</v>
      </c>
      <c r="D234" s="2" t="s">
        <v>147</v>
      </c>
      <c r="E234" s="23" t="s">
        <v>115</v>
      </c>
      <c r="F234" s="23" t="s">
        <v>208</v>
      </c>
      <c r="H234" s="119">
        <v>0.02</v>
      </c>
      <c r="I234" s="167" t="s">
        <v>151</v>
      </c>
      <c r="J234"/>
      <c r="M234"/>
      <c r="N234"/>
      <c r="O234"/>
      <c r="P234"/>
      <c r="Q234"/>
      <c r="R234"/>
      <c r="S234"/>
      <c r="T234"/>
      <c r="U234"/>
      <c r="V234"/>
      <c r="W234"/>
      <c r="X234"/>
      <c r="Y234"/>
      <c r="AC234" s="448"/>
      <c r="AE234"/>
    </row>
    <row r="235" spans="1:41" customFormat="1" x14ac:dyDescent="0.45">
      <c r="D235" s="2"/>
      <c r="H235" s="151"/>
      <c r="I235" s="151"/>
      <c r="K235" s="2"/>
      <c r="L235" s="457"/>
      <c r="O235" s="2"/>
      <c r="P235" s="2"/>
      <c r="Q235" s="2"/>
      <c r="R235" s="2"/>
      <c r="S235" s="2"/>
      <c r="Z235" s="2"/>
      <c r="AC235" s="448"/>
      <c r="AO235" s="2"/>
    </row>
    <row r="236" spans="1:41" s="545" customFormat="1" x14ac:dyDescent="0.45">
      <c r="A236" s="1" t="s">
        <v>778</v>
      </c>
      <c r="D236" s="2"/>
      <c r="H236" s="151"/>
      <c r="I236" s="151"/>
      <c r="K236" s="2"/>
      <c r="L236" s="457"/>
      <c r="O236" s="2"/>
      <c r="P236" s="2"/>
      <c r="Q236" s="2"/>
      <c r="R236" s="2"/>
      <c r="S236" s="2"/>
      <c r="Z236" s="2"/>
      <c r="AC236" s="448"/>
      <c r="AO236" s="2"/>
    </row>
    <row r="237" spans="1:41" ht="37.5" customHeight="1" x14ac:dyDescent="0.45">
      <c r="A237" s="38"/>
      <c r="B237" s="4" t="s">
        <v>756</v>
      </c>
      <c r="H237" s="259" t="s">
        <v>821</v>
      </c>
      <c r="I237" s="259" t="s">
        <v>566</v>
      </c>
      <c r="J237" s="259" t="s">
        <v>565</v>
      </c>
      <c r="L237" s="2"/>
      <c r="T237"/>
      <c r="U237"/>
      <c r="V237"/>
      <c r="W237"/>
      <c r="X237"/>
      <c r="Y237"/>
      <c r="AC237" s="448"/>
      <c r="AE237"/>
    </row>
    <row r="238" spans="1:41" ht="15" customHeight="1" x14ac:dyDescent="0.45">
      <c r="A238" s="38"/>
      <c r="B238" s="4"/>
      <c r="D238" s="2" t="s">
        <v>558</v>
      </c>
      <c r="E238" s="259"/>
      <c r="H238" s="459">
        <v>3200</v>
      </c>
      <c r="I238" s="458">
        <v>0.8</v>
      </c>
      <c r="J238" s="458">
        <v>0.2</v>
      </c>
      <c r="K238"/>
      <c r="L238" s="2"/>
      <c r="T238"/>
      <c r="U238"/>
      <c r="V238"/>
      <c r="W238"/>
      <c r="X238"/>
      <c r="Y238"/>
      <c r="AC238" s="448"/>
      <c r="AE238"/>
    </row>
    <row r="239" spans="1:41" ht="15" customHeight="1" x14ac:dyDescent="0.45">
      <c r="A239" s="38"/>
      <c r="B239" s="4"/>
      <c r="D239" s="2" t="s">
        <v>559</v>
      </c>
      <c r="E239" s="259"/>
      <c r="H239" s="459">
        <v>3700</v>
      </c>
      <c r="I239" s="458">
        <v>0.2</v>
      </c>
      <c r="J239" s="458">
        <v>0.1</v>
      </c>
      <c r="K239"/>
      <c r="L239" s="2"/>
      <c r="T239"/>
      <c r="U239"/>
      <c r="V239"/>
      <c r="W239"/>
      <c r="X239"/>
      <c r="Y239"/>
      <c r="AC239" s="448"/>
      <c r="AE239"/>
    </row>
    <row r="240" spans="1:41" ht="15" customHeight="1" x14ac:dyDescent="0.45">
      <c r="A240" s="38"/>
      <c r="B240" s="4"/>
      <c r="D240" s="2" t="s">
        <v>557</v>
      </c>
      <c r="E240" s="259"/>
      <c r="H240" s="459">
        <v>2200</v>
      </c>
      <c r="I240" s="458">
        <v>0</v>
      </c>
      <c r="J240" s="458">
        <v>0.7</v>
      </c>
      <c r="K240"/>
      <c r="L240" s="2"/>
      <c r="T240"/>
      <c r="U240"/>
      <c r="V240"/>
      <c r="W240"/>
      <c r="X240"/>
      <c r="Y240"/>
      <c r="AC240" s="448"/>
      <c r="AE240"/>
    </row>
    <row r="241" spans="1:41" ht="15" hidden="1" customHeight="1" x14ac:dyDescent="0.45">
      <c r="A241" s="38"/>
      <c r="B241" s="4"/>
      <c r="D241" s="2" t="s">
        <v>552</v>
      </c>
      <c r="E241" s="259"/>
      <c r="H241" s="459">
        <v>0</v>
      </c>
      <c r="I241" s="458">
        <v>0</v>
      </c>
      <c r="J241" s="458">
        <v>0</v>
      </c>
      <c r="K241"/>
      <c r="T241"/>
      <c r="U241"/>
      <c r="V241"/>
      <c r="W241"/>
      <c r="X241"/>
      <c r="Y241"/>
      <c r="AC241" s="448"/>
      <c r="AE241"/>
    </row>
    <row r="242" spans="1:41" ht="15" hidden="1" customHeight="1" x14ac:dyDescent="0.45">
      <c r="A242" s="38"/>
      <c r="B242" s="4"/>
      <c r="D242" s="2" t="s">
        <v>553</v>
      </c>
      <c r="E242" s="259"/>
      <c r="H242" s="459">
        <v>0</v>
      </c>
      <c r="I242" s="458">
        <v>0</v>
      </c>
      <c r="J242" s="458">
        <v>0</v>
      </c>
      <c r="K242"/>
      <c r="T242"/>
      <c r="U242"/>
      <c r="V242"/>
      <c r="W242"/>
      <c r="X242"/>
      <c r="Y242"/>
      <c r="AC242" s="448"/>
      <c r="AE242"/>
    </row>
    <row r="243" spans="1:41" ht="15" hidden="1" customHeight="1" x14ac:dyDescent="0.45">
      <c r="A243" s="38"/>
      <c r="B243" s="4"/>
      <c r="D243" s="2" t="s">
        <v>554</v>
      </c>
      <c r="E243" s="259"/>
      <c r="H243" s="459">
        <v>0</v>
      </c>
      <c r="I243" s="458">
        <v>0</v>
      </c>
      <c r="J243" s="458">
        <v>0</v>
      </c>
      <c r="K243"/>
      <c r="T243"/>
      <c r="U243"/>
      <c r="V243"/>
      <c r="W243"/>
      <c r="X243"/>
      <c r="Y243"/>
      <c r="AC243" s="448"/>
      <c r="AE243"/>
    </row>
    <row r="244" spans="1:41" ht="15" hidden="1" customHeight="1" x14ac:dyDescent="0.45">
      <c r="A244" s="38"/>
      <c r="B244" s="4"/>
      <c r="D244" s="2" t="s">
        <v>555</v>
      </c>
      <c r="E244" s="259"/>
      <c r="H244" s="459">
        <v>0</v>
      </c>
      <c r="I244" s="458">
        <v>0</v>
      </c>
      <c r="J244" s="458">
        <v>0</v>
      </c>
      <c r="K244"/>
      <c r="T244"/>
      <c r="U244"/>
      <c r="V244"/>
      <c r="W244"/>
      <c r="X244"/>
      <c r="Y244"/>
      <c r="AC244" s="448"/>
      <c r="AE244"/>
    </row>
    <row r="245" spans="1:41" ht="15" hidden="1" customHeight="1" x14ac:dyDescent="0.45">
      <c r="A245" s="38"/>
      <c r="B245" s="4"/>
      <c r="D245" s="2" t="s">
        <v>556</v>
      </c>
      <c r="E245" s="259"/>
      <c r="H245" s="459">
        <v>0</v>
      </c>
      <c r="I245" s="458">
        <v>0</v>
      </c>
      <c r="J245" s="458">
        <v>0</v>
      </c>
      <c r="K245"/>
      <c r="T245"/>
      <c r="U245"/>
      <c r="V245"/>
      <c r="W245"/>
      <c r="X245"/>
      <c r="Y245"/>
      <c r="AC245" s="448"/>
      <c r="AE245"/>
    </row>
    <row r="246" spans="1:41" ht="15" hidden="1" customHeight="1" x14ac:dyDescent="0.45">
      <c r="A246" s="38"/>
      <c r="B246" s="4"/>
      <c r="D246" s="2" t="s">
        <v>750</v>
      </c>
      <c r="E246" s="259"/>
      <c r="H246" s="459">
        <v>0</v>
      </c>
      <c r="I246" s="458">
        <v>0</v>
      </c>
      <c r="J246" s="458">
        <v>0</v>
      </c>
      <c r="K246"/>
      <c r="T246"/>
      <c r="U246"/>
      <c r="V246"/>
      <c r="W246"/>
      <c r="X246"/>
      <c r="Y246"/>
      <c r="AC246" s="448"/>
      <c r="AE246"/>
    </row>
    <row r="247" spans="1:41" ht="15" customHeight="1" x14ac:dyDescent="0.45">
      <c r="A247" s="38"/>
      <c r="B247" s="4"/>
      <c r="E247" s="259"/>
      <c r="G247" s="463" t="s">
        <v>52</v>
      </c>
      <c r="H247" s="461"/>
      <c r="I247" s="462">
        <f>1-SUM(I238:I246)</f>
        <v>0</v>
      </c>
      <c r="J247" s="462">
        <f>1-SUM(J238:J246)</f>
        <v>0</v>
      </c>
      <c r="K247"/>
      <c r="T247"/>
      <c r="U247"/>
      <c r="V247"/>
      <c r="W247"/>
      <c r="X247"/>
      <c r="Y247"/>
      <c r="AC247" s="448"/>
      <c r="AE247"/>
    </row>
    <row r="248" spans="1:41" customFormat="1" ht="15" customHeight="1" x14ac:dyDescent="0.45">
      <c r="D248" s="2"/>
      <c r="H248" s="438"/>
      <c r="I248" s="438"/>
      <c r="J248" s="438"/>
      <c r="K248" s="438"/>
      <c r="L248" s="2"/>
      <c r="M248" s="2"/>
      <c r="N248" s="2"/>
      <c r="O248" s="2"/>
      <c r="P248" s="2"/>
      <c r="Q248" s="2"/>
      <c r="R248" s="2"/>
      <c r="S248" s="2"/>
      <c r="T248" s="2"/>
      <c r="U248" s="2"/>
      <c r="V248" s="2"/>
      <c r="W248" s="2"/>
      <c r="X248" s="2"/>
      <c r="Y248" s="2"/>
      <c r="Z248" s="2"/>
      <c r="AA248" s="2"/>
      <c r="AB248" s="2"/>
      <c r="AC248" s="448"/>
      <c r="AO248" s="2"/>
    </row>
    <row r="249" spans="1:41" customFormat="1" ht="15" customHeight="1" x14ac:dyDescent="0.45">
      <c r="D249" s="2"/>
      <c r="H249" s="130">
        <v>2019</v>
      </c>
      <c r="I249" s="131">
        <f t="shared" ref="I249:AB249" si="14">H249+1</f>
        <v>2020</v>
      </c>
      <c r="J249" s="131">
        <f t="shared" si="14"/>
        <v>2021</v>
      </c>
      <c r="K249" s="131">
        <f t="shared" si="14"/>
        <v>2022</v>
      </c>
      <c r="L249" s="452">
        <f t="shared" si="14"/>
        <v>2023</v>
      </c>
      <c r="M249" s="131">
        <f t="shared" si="14"/>
        <v>2024</v>
      </c>
      <c r="N249" s="131">
        <f t="shared" si="14"/>
        <v>2025</v>
      </c>
      <c r="O249" s="131">
        <f t="shared" si="14"/>
        <v>2026</v>
      </c>
      <c r="P249" s="131">
        <f t="shared" si="14"/>
        <v>2027</v>
      </c>
      <c r="Q249" s="131">
        <f t="shared" si="14"/>
        <v>2028</v>
      </c>
      <c r="R249" s="131">
        <f t="shared" si="14"/>
        <v>2029</v>
      </c>
      <c r="S249" s="131">
        <f t="shared" si="14"/>
        <v>2030</v>
      </c>
      <c r="T249" s="131">
        <f t="shared" si="14"/>
        <v>2031</v>
      </c>
      <c r="U249" s="131">
        <f t="shared" si="14"/>
        <v>2032</v>
      </c>
      <c r="V249" s="131">
        <f t="shared" si="14"/>
        <v>2033</v>
      </c>
      <c r="W249" s="131">
        <f t="shared" si="14"/>
        <v>2034</v>
      </c>
      <c r="X249" s="131">
        <f t="shared" si="14"/>
        <v>2035</v>
      </c>
      <c r="Y249" s="131">
        <f t="shared" si="14"/>
        <v>2036</v>
      </c>
      <c r="Z249" s="131">
        <f t="shared" si="14"/>
        <v>2037</v>
      </c>
      <c r="AA249" s="131">
        <f t="shared" si="14"/>
        <v>2038</v>
      </c>
      <c r="AB249" s="131">
        <f t="shared" si="14"/>
        <v>2039</v>
      </c>
      <c r="AC249" s="448"/>
      <c r="AO249" s="2"/>
    </row>
    <row r="250" spans="1:41" customFormat="1" ht="15" customHeight="1" x14ac:dyDescent="0.45">
      <c r="D250" s="2" t="str">
        <f t="shared" ref="D250:D258" si="15">D238</f>
        <v>Market 1: Cosmetic markets (standard)</v>
      </c>
      <c r="E250" s="136" t="s">
        <v>109</v>
      </c>
      <c r="H250" s="465">
        <f>'Financial Overview'!G222</f>
        <v>0</v>
      </c>
      <c r="I250" s="465">
        <f>'Financial Overview'!H222</f>
        <v>1920</v>
      </c>
      <c r="J250" s="465">
        <f>'Financial Overview'!I222</f>
        <v>1920</v>
      </c>
      <c r="K250" s="465">
        <f>'Financial Overview'!J222</f>
        <v>1920</v>
      </c>
      <c r="L250" s="465">
        <f>'Financial Overview'!K222</f>
        <v>1920</v>
      </c>
      <c r="M250" s="465">
        <f>'Financial Overview'!L222</f>
        <v>1920</v>
      </c>
      <c r="N250" s="465">
        <f>'Financial Overview'!M222</f>
        <v>1920</v>
      </c>
      <c r="O250" s="465">
        <f>'Financial Overview'!N222</f>
        <v>1920</v>
      </c>
      <c r="P250" s="465">
        <f>'Financial Overview'!O222</f>
        <v>1920</v>
      </c>
      <c r="Q250" s="465">
        <f>'Financial Overview'!P222</f>
        <v>1920</v>
      </c>
      <c r="R250" s="465">
        <f>'Financial Overview'!Q222</f>
        <v>1920</v>
      </c>
      <c r="S250" s="465">
        <f>'Financial Overview'!R222</f>
        <v>1920</v>
      </c>
      <c r="T250" s="465">
        <f>'Financial Overview'!S222</f>
        <v>1920</v>
      </c>
      <c r="U250" s="465">
        <f>'Financial Overview'!T222</f>
        <v>1920</v>
      </c>
      <c r="V250" s="465">
        <f>'Financial Overview'!U222</f>
        <v>1920</v>
      </c>
      <c r="W250" s="465">
        <f>'Financial Overview'!V222</f>
        <v>1920</v>
      </c>
      <c r="X250" s="465">
        <f>'Financial Overview'!W222</f>
        <v>1920</v>
      </c>
      <c r="Y250" s="465">
        <f>'Financial Overview'!X222</f>
        <v>1920</v>
      </c>
      <c r="Z250" s="465">
        <f>'Financial Overview'!Y222</f>
        <v>1920</v>
      </c>
      <c r="AA250" s="465">
        <f>'Financial Overview'!Z222</f>
        <v>1920</v>
      </c>
      <c r="AB250" s="465">
        <f>'Financial Overview'!AA222</f>
        <v>1920</v>
      </c>
      <c r="AC250" s="448"/>
      <c r="AO250" s="2"/>
    </row>
    <row r="251" spans="1:41" customFormat="1" ht="15" customHeight="1" x14ac:dyDescent="0.45">
      <c r="D251" s="2" t="str">
        <f t="shared" si="15"/>
        <v>Market 2: Cosmetic markets (organic)</v>
      </c>
      <c r="E251" s="136" t="s">
        <v>109</v>
      </c>
      <c r="H251" s="465">
        <f>'Financial Overview'!G223</f>
        <v>0</v>
      </c>
      <c r="I251" s="465">
        <f>'Financial Overview'!H223</f>
        <v>480</v>
      </c>
      <c r="J251" s="465">
        <f>'Financial Overview'!I223</f>
        <v>480</v>
      </c>
      <c r="K251" s="465">
        <f>'Financial Overview'!J223</f>
        <v>480</v>
      </c>
      <c r="L251" s="465">
        <f>'Financial Overview'!K223</f>
        <v>480</v>
      </c>
      <c r="M251" s="465">
        <f>'Financial Overview'!L223</f>
        <v>480</v>
      </c>
      <c r="N251" s="465">
        <f>'Financial Overview'!M223</f>
        <v>480</v>
      </c>
      <c r="O251" s="465">
        <f>'Financial Overview'!N223</f>
        <v>480</v>
      </c>
      <c r="P251" s="465">
        <f>'Financial Overview'!O223</f>
        <v>480</v>
      </c>
      <c r="Q251" s="465">
        <f>'Financial Overview'!P223</f>
        <v>480</v>
      </c>
      <c r="R251" s="465">
        <f>'Financial Overview'!Q223</f>
        <v>480</v>
      </c>
      <c r="S251" s="465">
        <f>'Financial Overview'!R223</f>
        <v>480</v>
      </c>
      <c r="T251" s="465">
        <f>'Financial Overview'!S223</f>
        <v>480</v>
      </c>
      <c r="U251" s="465">
        <f>'Financial Overview'!T223</f>
        <v>480</v>
      </c>
      <c r="V251" s="465">
        <f>'Financial Overview'!U223</f>
        <v>480</v>
      </c>
      <c r="W251" s="465">
        <f>'Financial Overview'!V223</f>
        <v>480</v>
      </c>
      <c r="X251" s="465">
        <f>'Financial Overview'!W223</f>
        <v>480</v>
      </c>
      <c r="Y251" s="465">
        <f>'Financial Overview'!X223</f>
        <v>480</v>
      </c>
      <c r="Z251" s="465">
        <f>'Financial Overview'!Y223</f>
        <v>480</v>
      </c>
      <c r="AA251" s="465">
        <f>'Financial Overview'!Z223</f>
        <v>480</v>
      </c>
      <c r="AB251" s="465">
        <f>'Financial Overview'!AA223</f>
        <v>480</v>
      </c>
      <c r="AC251" s="448"/>
      <c r="AO251" s="2"/>
    </row>
    <row r="252" spans="1:41" customFormat="1" ht="15" customHeight="1" x14ac:dyDescent="0.45">
      <c r="D252" s="2" t="str">
        <f t="shared" si="15"/>
        <v>Market 3: Food / confectionary market</v>
      </c>
      <c r="E252" s="136" t="s">
        <v>109</v>
      </c>
      <c r="H252" s="465">
        <f>'Financial Overview'!G224</f>
        <v>0</v>
      </c>
      <c r="I252" s="465">
        <f>'Financial Overview'!H224</f>
        <v>0</v>
      </c>
      <c r="J252" s="465">
        <f>'Financial Overview'!I224</f>
        <v>0</v>
      </c>
      <c r="K252" s="465">
        <f>'Financial Overview'!J224</f>
        <v>0</v>
      </c>
      <c r="L252" s="465">
        <f>'Financial Overview'!K224</f>
        <v>0</v>
      </c>
      <c r="M252" s="465">
        <f>'Financial Overview'!L224</f>
        <v>0</v>
      </c>
      <c r="N252" s="465">
        <f>'Financial Overview'!M224</f>
        <v>0</v>
      </c>
      <c r="O252" s="465">
        <f>'Financial Overview'!N224</f>
        <v>0</v>
      </c>
      <c r="P252" s="465">
        <f>'Financial Overview'!O224</f>
        <v>0</v>
      </c>
      <c r="Q252" s="465">
        <f>'Financial Overview'!P224</f>
        <v>0</v>
      </c>
      <c r="R252" s="465">
        <f>'Financial Overview'!Q224</f>
        <v>0</v>
      </c>
      <c r="S252" s="465">
        <f>'Financial Overview'!R224</f>
        <v>0</v>
      </c>
      <c r="T252" s="465">
        <f>'Financial Overview'!S224</f>
        <v>0</v>
      </c>
      <c r="U252" s="465">
        <f>'Financial Overview'!T224</f>
        <v>0</v>
      </c>
      <c r="V252" s="465">
        <f>'Financial Overview'!U224</f>
        <v>0</v>
      </c>
      <c r="W252" s="465">
        <f>'Financial Overview'!V224</f>
        <v>0</v>
      </c>
      <c r="X252" s="465">
        <f>'Financial Overview'!W224</f>
        <v>0</v>
      </c>
      <c r="Y252" s="465">
        <f>'Financial Overview'!X224</f>
        <v>0</v>
      </c>
      <c r="Z252" s="465">
        <f>'Financial Overview'!Y224</f>
        <v>0</v>
      </c>
      <c r="AA252" s="465">
        <f>'Financial Overview'!Z224</f>
        <v>0</v>
      </c>
      <c r="AB252" s="465">
        <f>'Financial Overview'!AA224</f>
        <v>0</v>
      </c>
      <c r="AC252" s="448"/>
      <c r="AO252" s="2"/>
    </row>
    <row r="253" spans="1:41" customFormat="1" ht="15" hidden="1" customHeight="1" x14ac:dyDescent="0.45">
      <c r="D253" s="2" t="str">
        <f t="shared" si="15"/>
        <v>Market 4: TBC</v>
      </c>
      <c r="E253" s="136" t="s">
        <v>109</v>
      </c>
      <c r="H253" s="465">
        <f>'Financial Overview'!G225</f>
        <v>0</v>
      </c>
      <c r="I253" s="465">
        <f>'Financial Overview'!H225</f>
        <v>0</v>
      </c>
      <c r="J253" s="465">
        <f>'Financial Overview'!I225</f>
        <v>0</v>
      </c>
      <c r="K253" s="465">
        <f>'Financial Overview'!J225</f>
        <v>0</v>
      </c>
      <c r="L253" s="465">
        <f>'Financial Overview'!K225</f>
        <v>0</v>
      </c>
      <c r="M253" s="465">
        <f>'Financial Overview'!L225</f>
        <v>0</v>
      </c>
      <c r="N253" s="465">
        <f>'Financial Overview'!M225</f>
        <v>0</v>
      </c>
      <c r="O253" s="465">
        <f>'Financial Overview'!N225</f>
        <v>0</v>
      </c>
      <c r="P253" s="465">
        <f>'Financial Overview'!O225</f>
        <v>0</v>
      </c>
      <c r="Q253" s="465">
        <f>'Financial Overview'!P225</f>
        <v>0</v>
      </c>
      <c r="R253" s="465">
        <f>'Financial Overview'!Q225</f>
        <v>0</v>
      </c>
      <c r="S253" s="465">
        <f>'Financial Overview'!R225</f>
        <v>0</v>
      </c>
      <c r="T253" s="465">
        <f>'Financial Overview'!S225</f>
        <v>0</v>
      </c>
      <c r="U253" s="465">
        <f>'Financial Overview'!T225</f>
        <v>0</v>
      </c>
      <c r="V253" s="465">
        <f>'Financial Overview'!U225</f>
        <v>0</v>
      </c>
      <c r="W253" s="465">
        <f>'Financial Overview'!V225</f>
        <v>0</v>
      </c>
      <c r="X253" s="465">
        <f>'Financial Overview'!W225</f>
        <v>0</v>
      </c>
      <c r="Y253" s="465">
        <f>'Financial Overview'!X225</f>
        <v>0</v>
      </c>
      <c r="Z253" s="465">
        <f>'Financial Overview'!Y225</f>
        <v>0</v>
      </c>
      <c r="AA253" s="465">
        <f>'Financial Overview'!Z225</f>
        <v>0</v>
      </c>
      <c r="AB253" s="465">
        <f>'Financial Overview'!AA225</f>
        <v>0</v>
      </c>
      <c r="AC253" s="448"/>
      <c r="AO253" s="2"/>
    </row>
    <row r="254" spans="1:41" customFormat="1" ht="15" hidden="1" customHeight="1" x14ac:dyDescent="0.45">
      <c r="D254" s="2" t="str">
        <f t="shared" si="15"/>
        <v>Market 5: TBC</v>
      </c>
      <c r="E254" s="136" t="s">
        <v>109</v>
      </c>
      <c r="H254" s="465">
        <f>'Financial Overview'!G226</f>
        <v>0</v>
      </c>
      <c r="I254" s="465">
        <f>'Financial Overview'!H226</f>
        <v>0</v>
      </c>
      <c r="J254" s="465">
        <f>'Financial Overview'!I226</f>
        <v>0</v>
      </c>
      <c r="K254" s="465">
        <f>'Financial Overview'!J226</f>
        <v>0</v>
      </c>
      <c r="L254" s="465">
        <f>'Financial Overview'!K226</f>
        <v>0</v>
      </c>
      <c r="M254" s="465">
        <f>'Financial Overview'!L226</f>
        <v>0</v>
      </c>
      <c r="N254" s="465">
        <f>'Financial Overview'!M226</f>
        <v>0</v>
      </c>
      <c r="O254" s="465">
        <f>'Financial Overview'!N226</f>
        <v>0</v>
      </c>
      <c r="P254" s="465">
        <f>'Financial Overview'!O226</f>
        <v>0</v>
      </c>
      <c r="Q254" s="465">
        <f>'Financial Overview'!P226</f>
        <v>0</v>
      </c>
      <c r="R254" s="465">
        <f>'Financial Overview'!Q226</f>
        <v>0</v>
      </c>
      <c r="S254" s="465">
        <f>'Financial Overview'!R226</f>
        <v>0</v>
      </c>
      <c r="T254" s="465">
        <f>'Financial Overview'!S226</f>
        <v>0</v>
      </c>
      <c r="U254" s="465">
        <f>'Financial Overview'!T226</f>
        <v>0</v>
      </c>
      <c r="V254" s="465">
        <f>'Financial Overview'!U226</f>
        <v>0</v>
      </c>
      <c r="W254" s="465">
        <f>'Financial Overview'!V226</f>
        <v>0</v>
      </c>
      <c r="X254" s="465">
        <f>'Financial Overview'!W226</f>
        <v>0</v>
      </c>
      <c r="Y254" s="465">
        <f>'Financial Overview'!X226</f>
        <v>0</v>
      </c>
      <c r="Z254" s="465">
        <f>'Financial Overview'!Y226</f>
        <v>0</v>
      </c>
      <c r="AA254" s="465">
        <f>'Financial Overview'!Z226</f>
        <v>0</v>
      </c>
      <c r="AB254" s="465">
        <f>'Financial Overview'!AA226</f>
        <v>0</v>
      </c>
      <c r="AC254" s="448"/>
      <c r="AO254" s="2"/>
    </row>
    <row r="255" spans="1:41" customFormat="1" ht="15" hidden="1" customHeight="1" x14ac:dyDescent="0.45">
      <c r="D255" s="2" t="str">
        <f t="shared" si="15"/>
        <v>Market 6: TBC</v>
      </c>
      <c r="E255" s="136" t="s">
        <v>109</v>
      </c>
      <c r="H255" s="465">
        <f>'Financial Overview'!G227</f>
        <v>0</v>
      </c>
      <c r="I255" s="465">
        <f>'Financial Overview'!H227</f>
        <v>0</v>
      </c>
      <c r="J255" s="465">
        <f>'Financial Overview'!I227</f>
        <v>0</v>
      </c>
      <c r="K255" s="465">
        <f>'Financial Overview'!J227</f>
        <v>0</v>
      </c>
      <c r="L255" s="465">
        <f>'Financial Overview'!K227</f>
        <v>0</v>
      </c>
      <c r="M255" s="465">
        <f>'Financial Overview'!L227</f>
        <v>0</v>
      </c>
      <c r="N255" s="465">
        <f>'Financial Overview'!M227</f>
        <v>0</v>
      </c>
      <c r="O255" s="465">
        <f>'Financial Overview'!N227</f>
        <v>0</v>
      </c>
      <c r="P255" s="465">
        <f>'Financial Overview'!O227</f>
        <v>0</v>
      </c>
      <c r="Q255" s="465">
        <f>'Financial Overview'!P227</f>
        <v>0</v>
      </c>
      <c r="R255" s="465">
        <f>'Financial Overview'!Q227</f>
        <v>0</v>
      </c>
      <c r="S255" s="465">
        <f>'Financial Overview'!R227</f>
        <v>0</v>
      </c>
      <c r="T255" s="465">
        <f>'Financial Overview'!S227</f>
        <v>0</v>
      </c>
      <c r="U255" s="465">
        <f>'Financial Overview'!T227</f>
        <v>0</v>
      </c>
      <c r="V255" s="465">
        <f>'Financial Overview'!U227</f>
        <v>0</v>
      </c>
      <c r="W255" s="465">
        <f>'Financial Overview'!V227</f>
        <v>0</v>
      </c>
      <c r="X255" s="465">
        <f>'Financial Overview'!W227</f>
        <v>0</v>
      </c>
      <c r="Y255" s="465">
        <f>'Financial Overview'!X227</f>
        <v>0</v>
      </c>
      <c r="Z255" s="465">
        <f>'Financial Overview'!Y227</f>
        <v>0</v>
      </c>
      <c r="AA255" s="465">
        <f>'Financial Overview'!Z227</f>
        <v>0</v>
      </c>
      <c r="AB255" s="465">
        <f>'Financial Overview'!AA227</f>
        <v>0</v>
      </c>
      <c r="AC255" s="448"/>
      <c r="AO255" s="2"/>
    </row>
    <row r="256" spans="1:41" customFormat="1" ht="15" hidden="1" customHeight="1" x14ac:dyDescent="0.45">
      <c r="D256" s="2" t="str">
        <f t="shared" si="15"/>
        <v>Market 7: TBC</v>
      </c>
      <c r="E256" s="136" t="s">
        <v>109</v>
      </c>
      <c r="H256" s="465">
        <f>'Financial Overview'!G228</f>
        <v>0</v>
      </c>
      <c r="I256" s="465">
        <f>'Financial Overview'!H228</f>
        <v>0</v>
      </c>
      <c r="J256" s="465">
        <f>'Financial Overview'!I228</f>
        <v>0</v>
      </c>
      <c r="K256" s="465">
        <f>'Financial Overview'!J228</f>
        <v>0</v>
      </c>
      <c r="L256" s="465">
        <f>'Financial Overview'!K228</f>
        <v>0</v>
      </c>
      <c r="M256" s="465">
        <f>'Financial Overview'!L228</f>
        <v>0</v>
      </c>
      <c r="N256" s="465">
        <f>'Financial Overview'!M228</f>
        <v>0</v>
      </c>
      <c r="O256" s="465">
        <f>'Financial Overview'!N228</f>
        <v>0</v>
      </c>
      <c r="P256" s="465">
        <f>'Financial Overview'!O228</f>
        <v>0</v>
      </c>
      <c r="Q256" s="465">
        <f>'Financial Overview'!P228</f>
        <v>0</v>
      </c>
      <c r="R256" s="465">
        <f>'Financial Overview'!Q228</f>
        <v>0</v>
      </c>
      <c r="S256" s="465">
        <f>'Financial Overview'!R228</f>
        <v>0</v>
      </c>
      <c r="T256" s="465">
        <f>'Financial Overview'!S228</f>
        <v>0</v>
      </c>
      <c r="U256" s="465">
        <f>'Financial Overview'!T228</f>
        <v>0</v>
      </c>
      <c r="V256" s="465">
        <f>'Financial Overview'!U228</f>
        <v>0</v>
      </c>
      <c r="W256" s="465">
        <f>'Financial Overview'!V228</f>
        <v>0</v>
      </c>
      <c r="X256" s="465">
        <f>'Financial Overview'!W228</f>
        <v>0</v>
      </c>
      <c r="Y256" s="465">
        <f>'Financial Overview'!X228</f>
        <v>0</v>
      </c>
      <c r="Z256" s="465">
        <f>'Financial Overview'!Y228</f>
        <v>0</v>
      </c>
      <c r="AA256" s="465">
        <f>'Financial Overview'!Z228</f>
        <v>0</v>
      </c>
      <c r="AB256" s="465">
        <f>'Financial Overview'!AA228</f>
        <v>0</v>
      </c>
      <c r="AC256" s="448"/>
      <c r="AO256" s="2"/>
    </row>
    <row r="257" spans="1:41" customFormat="1" ht="15" hidden="1" customHeight="1" x14ac:dyDescent="0.45">
      <c r="D257" s="2" t="str">
        <f t="shared" si="15"/>
        <v>Market 8: TBC</v>
      </c>
      <c r="E257" s="136" t="s">
        <v>109</v>
      </c>
      <c r="H257" s="465">
        <f>'Financial Overview'!G229</f>
        <v>0</v>
      </c>
      <c r="I257" s="465">
        <f>'Financial Overview'!H229</f>
        <v>0</v>
      </c>
      <c r="J257" s="465">
        <f>'Financial Overview'!I229</f>
        <v>0</v>
      </c>
      <c r="K257" s="465">
        <f>'Financial Overview'!J229</f>
        <v>0</v>
      </c>
      <c r="L257" s="465">
        <f>'Financial Overview'!K229</f>
        <v>0</v>
      </c>
      <c r="M257" s="465">
        <f>'Financial Overview'!L229</f>
        <v>0</v>
      </c>
      <c r="N257" s="465">
        <f>'Financial Overview'!M229</f>
        <v>0</v>
      </c>
      <c r="O257" s="465">
        <f>'Financial Overview'!N229</f>
        <v>0</v>
      </c>
      <c r="P257" s="465">
        <f>'Financial Overview'!O229</f>
        <v>0</v>
      </c>
      <c r="Q257" s="465">
        <f>'Financial Overview'!P229</f>
        <v>0</v>
      </c>
      <c r="R257" s="465">
        <f>'Financial Overview'!Q229</f>
        <v>0</v>
      </c>
      <c r="S257" s="465">
        <f>'Financial Overview'!R229</f>
        <v>0</v>
      </c>
      <c r="T257" s="465">
        <f>'Financial Overview'!S229</f>
        <v>0</v>
      </c>
      <c r="U257" s="465">
        <f>'Financial Overview'!T229</f>
        <v>0</v>
      </c>
      <c r="V257" s="465">
        <f>'Financial Overview'!U229</f>
        <v>0</v>
      </c>
      <c r="W257" s="465">
        <f>'Financial Overview'!V229</f>
        <v>0</v>
      </c>
      <c r="X257" s="465">
        <f>'Financial Overview'!W229</f>
        <v>0</v>
      </c>
      <c r="Y257" s="465">
        <f>'Financial Overview'!X229</f>
        <v>0</v>
      </c>
      <c r="Z257" s="465">
        <f>'Financial Overview'!Y229</f>
        <v>0</v>
      </c>
      <c r="AA257" s="465">
        <f>'Financial Overview'!Z229</f>
        <v>0</v>
      </c>
      <c r="AB257" s="465">
        <f>'Financial Overview'!AA229</f>
        <v>0</v>
      </c>
      <c r="AC257" s="448"/>
      <c r="AO257" s="2"/>
    </row>
    <row r="258" spans="1:41" customFormat="1" ht="15" hidden="1" customHeight="1" x14ac:dyDescent="0.45">
      <c r="D258" s="2" t="str">
        <f t="shared" si="15"/>
        <v>Allocation for local consumption / not export quality</v>
      </c>
      <c r="E258" s="136" t="s">
        <v>109</v>
      </c>
      <c r="H258" s="465">
        <f>'Financial Overview'!G230</f>
        <v>0</v>
      </c>
      <c r="I258" s="465">
        <f>'Financial Overview'!H230</f>
        <v>0</v>
      </c>
      <c r="J258" s="465">
        <f>'Financial Overview'!I230</f>
        <v>0</v>
      </c>
      <c r="K258" s="465">
        <f>'Financial Overview'!J230</f>
        <v>0</v>
      </c>
      <c r="L258" s="465">
        <f>'Financial Overview'!K230</f>
        <v>0</v>
      </c>
      <c r="M258" s="465">
        <f>'Financial Overview'!L230</f>
        <v>0</v>
      </c>
      <c r="N258" s="465">
        <f>'Financial Overview'!M230</f>
        <v>0</v>
      </c>
      <c r="O258" s="465">
        <f>'Financial Overview'!N230</f>
        <v>0</v>
      </c>
      <c r="P258" s="465">
        <f>'Financial Overview'!O230</f>
        <v>0</v>
      </c>
      <c r="Q258" s="465">
        <f>'Financial Overview'!P230</f>
        <v>0</v>
      </c>
      <c r="R258" s="465">
        <f>'Financial Overview'!Q230</f>
        <v>0</v>
      </c>
      <c r="S258" s="465">
        <f>'Financial Overview'!R230</f>
        <v>0</v>
      </c>
      <c r="T258" s="465">
        <f>'Financial Overview'!S230</f>
        <v>0</v>
      </c>
      <c r="U258" s="465">
        <f>'Financial Overview'!T230</f>
        <v>0</v>
      </c>
      <c r="V258" s="465">
        <f>'Financial Overview'!U230</f>
        <v>0</v>
      </c>
      <c r="W258" s="465">
        <f>'Financial Overview'!V230</f>
        <v>0</v>
      </c>
      <c r="X258" s="465">
        <f>'Financial Overview'!W230</f>
        <v>0</v>
      </c>
      <c r="Y258" s="465">
        <f>'Financial Overview'!X230</f>
        <v>0</v>
      </c>
      <c r="Z258" s="465">
        <f>'Financial Overview'!Y230</f>
        <v>0</v>
      </c>
      <c r="AA258" s="465">
        <f>'Financial Overview'!Z230</f>
        <v>0</v>
      </c>
      <c r="AB258" s="465">
        <f>'Financial Overview'!AA230</f>
        <v>0</v>
      </c>
      <c r="AC258" s="448"/>
      <c r="AO258" s="2"/>
    </row>
    <row r="259" spans="1:41" s="545" customFormat="1" x14ac:dyDescent="0.45">
      <c r="D259" s="2"/>
      <c r="H259" s="151"/>
      <c r="I259" s="151"/>
      <c r="K259" s="2"/>
      <c r="L259" s="457"/>
      <c r="O259" s="2"/>
      <c r="P259" s="2"/>
      <c r="Q259" s="2"/>
      <c r="R259" s="2"/>
      <c r="S259" s="2"/>
      <c r="Z259" s="2"/>
      <c r="AC259" s="448"/>
      <c r="AO259" s="2"/>
    </row>
    <row r="260" spans="1:41" ht="45" customHeight="1" x14ac:dyDescent="0.45">
      <c r="A260" s="38"/>
      <c r="B260" s="4" t="s">
        <v>767</v>
      </c>
      <c r="H260" s="259" t="s">
        <v>821</v>
      </c>
      <c r="I260" s="259"/>
      <c r="J260" s="259"/>
      <c r="L260" s="2"/>
      <c r="T260" s="545"/>
      <c r="U260" s="545"/>
      <c r="V260" s="545"/>
      <c r="W260" s="545"/>
      <c r="X260" s="545"/>
      <c r="Y260" s="545"/>
      <c r="AC260" s="448"/>
      <c r="AE260" s="545"/>
    </row>
    <row r="261" spans="1:41" ht="15" customHeight="1" x14ac:dyDescent="0.45">
      <c r="A261" s="38"/>
      <c r="B261" s="4"/>
      <c r="D261" s="2" t="s">
        <v>757</v>
      </c>
      <c r="E261" s="259"/>
      <c r="H261" s="459">
        <v>10000</v>
      </c>
      <c r="I261"/>
      <c r="J261"/>
      <c r="K261" s="545"/>
      <c r="L261" s="2"/>
      <c r="T261" s="545"/>
      <c r="U261" s="545"/>
      <c r="V261" s="545"/>
      <c r="W261" s="545"/>
      <c r="X261" s="545"/>
      <c r="Y261" s="545"/>
      <c r="AC261" s="448"/>
      <c r="AE261" s="545"/>
    </row>
    <row r="262" spans="1:41" customFormat="1" x14ac:dyDescent="0.45">
      <c r="D262" s="2"/>
      <c r="H262" s="151"/>
      <c r="I262" s="151"/>
      <c r="K262" s="438"/>
      <c r="L262" s="457"/>
      <c r="O262" s="2"/>
      <c r="P262" s="2"/>
      <c r="Q262" s="2"/>
      <c r="R262" s="2"/>
      <c r="S262" s="2"/>
      <c r="Z262" s="2"/>
      <c r="AC262" s="448"/>
      <c r="AO262" s="2"/>
    </row>
    <row r="263" spans="1:41" ht="24.75" customHeight="1" x14ac:dyDescent="0.45">
      <c r="A263" s="4" t="s">
        <v>560</v>
      </c>
      <c r="I263"/>
      <c r="J263" s="46"/>
      <c r="L263"/>
      <c r="M263" s="46"/>
      <c r="N263" s="46"/>
      <c r="T263" s="46"/>
      <c r="U263" s="46"/>
      <c r="V263" s="46"/>
      <c r="W263" s="46"/>
      <c r="X263" s="46"/>
      <c r="AC263" s="451"/>
    </row>
    <row r="264" spans="1:41" ht="14.25" customHeight="1" x14ac:dyDescent="0.45">
      <c r="A264" s="4"/>
      <c r="B264" s="4" t="s">
        <v>779</v>
      </c>
      <c r="H264" s="24" t="s">
        <v>212</v>
      </c>
      <c r="I264" s="545"/>
      <c r="J264" s="46"/>
      <c r="L264" s="545"/>
      <c r="M264" s="46"/>
      <c r="N264" s="46"/>
      <c r="T264" s="46"/>
      <c r="U264" s="46"/>
      <c r="V264" s="46"/>
      <c r="W264" s="46"/>
      <c r="X264" s="46"/>
      <c r="AC264" s="451"/>
    </row>
    <row r="265" spans="1:41" ht="15" customHeight="1" x14ac:dyDescent="0.45">
      <c r="A265" s="37"/>
      <c r="B265" s="4"/>
      <c r="C265" s="2" t="s">
        <v>114</v>
      </c>
      <c r="D265" s="2" t="s">
        <v>562</v>
      </c>
      <c r="E265" s="23" t="s">
        <v>21</v>
      </c>
      <c r="H265" s="119">
        <v>0.1</v>
      </c>
      <c r="I265"/>
      <c r="J265"/>
      <c r="L265"/>
      <c r="M265"/>
      <c r="N265"/>
      <c r="O265"/>
      <c r="P265"/>
      <c r="Q265"/>
      <c r="R265"/>
      <c r="S265"/>
      <c r="T265"/>
      <c r="U265"/>
      <c r="V265"/>
      <c r="W265"/>
      <c r="X265"/>
      <c r="Y265"/>
      <c r="AC265" s="450" t="s">
        <v>550</v>
      </c>
      <c r="AE265"/>
    </row>
    <row r="266" spans="1:41" ht="15" customHeight="1" x14ac:dyDescent="0.45">
      <c r="A266" s="37"/>
      <c r="B266" s="4"/>
      <c r="H266"/>
      <c r="J266"/>
      <c r="L266"/>
      <c r="M266"/>
      <c r="N266"/>
      <c r="O266"/>
      <c r="P266"/>
      <c r="Q266"/>
      <c r="R266"/>
      <c r="S266"/>
      <c r="T266"/>
      <c r="U266"/>
      <c r="V266"/>
      <c r="W266"/>
      <c r="X266"/>
      <c r="Y266"/>
      <c r="AC266" s="450"/>
      <c r="AE266"/>
    </row>
    <row r="267" spans="1:41" ht="15" customHeight="1" x14ac:dyDescent="0.45">
      <c r="A267" s="37"/>
      <c r="B267" s="4"/>
      <c r="H267" s="130">
        <v>2019</v>
      </c>
      <c r="I267" s="131">
        <f t="shared" ref="I267:AB267" si="16">H267+1</f>
        <v>2020</v>
      </c>
      <c r="J267" s="131">
        <f t="shared" si="16"/>
        <v>2021</v>
      </c>
      <c r="K267" s="131">
        <f t="shared" si="16"/>
        <v>2022</v>
      </c>
      <c r="L267" s="452">
        <f t="shared" si="16"/>
        <v>2023</v>
      </c>
      <c r="M267" s="131">
        <f t="shared" si="16"/>
        <v>2024</v>
      </c>
      <c r="N267" s="131">
        <f t="shared" si="16"/>
        <v>2025</v>
      </c>
      <c r="O267" s="131">
        <f t="shared" si="16"/>
        <v>2026</v>
      </c>
      <c r="P267" s="131">
        <f t="shared" si="16"/>
        <v>2027</v>
      </c>
      <c r="Q267" s="131">
        <f t="shared" si="16"/>
        <v>2028</v>
      </c>
      <c r="R267" s="131">
        <f t="shared" si="16"/>
        <v>2029</v>
      </c>
      <c r="S267" s="131">
        <f t="shared" si="16"/>
        <v>2030</v>
      </c>
      <c r="T267" s="131">
        <f t="shared" si="16"/>
        <v>2031</v>
      </c>
      <c r="U267" s="131">
        <f t="shared" si="16"/>
        <v>2032</v>
      </c>
      <c r="V267" s="131">
        <f t="shared" si="16"/>
        <v>2033</v>
      </c>
      <c r="W267" s="131">
        <f t="shared" si="16"/>
        <v>2034</v>
      </c>
      <c r="X267" s="131">
        <f t="shared" si="16"/>
        <v>2035</v>
      </c>
      <c r="Y267" s="131">
        <f t="shared" si="16"/>
        <v>2036</v>
      </c>
      <c r="Z267" s="131">
        <f t="shared" si="16"/>
        <v>2037</v>
      </c>
      <c r="AA267" s="131">
        <f t="shared" si="16"/>
        <v>2038</v>
      </c>
      <c r="AB267" s="131">
        <f t="shared" si="16"/>
        <v>2039</v>
      </c>
      <c r="AC267" s="450"/>
      <c r="AE267"/>
    </row>
    <row r="268" spans="1:41" ht="15" customHeight="1" x14ac:dyDescent="0.45">
      <c r="A268" s="37"/>
      <c r="B268" s="4"/>
      <c r="C268" s="2" t="s">
        <v>114</v>
      </c>
      <c r="D268" s="2" t="s">
        <v>564</v>
      </c>
      <c r="E268" s="23" t="s">
        <v>109</v>
      </c>
      <c r="F268" s="23" t="s">
        <v>109</v>
      </c>
      <c r="H268" s="83">
        <f t="shared" ref="H268:AB268" si="17">H258</f>
        <v>0</v>
      </c>
      <c r="I268" s="83">
        <f t="shared" si="17"/>
        <v>0</v>
      </c>
      <c r="J268" s="83">
        <f t="shared" si="17"/>
        <v>0</v>
      </c>
      <c r="K268" s="83">
        <f t="shared" si="17"/>
        <v>0</v>
      </c>
      <c r="L268" s="83">
        <f t="shared" si="17"/>
        <v>0</v>
      </c>
      <c r="M268" s="83">
        <f t="shared" si="17"/>
        <v>0</v>
      </c>
      <c r="N268" s="83">
        <f t="shared" si="17"/>
        <v>0</v>
      </c>
      <c r="O268" s="83">
        <f t="shared" si="17"/>
        <v>0</v>
      </c>
      <c r="P268" s="83">
        <f t="shared" si="17"/>
        <v>0</v>
      </c>
      <c r="Q268" s="83">
        <f t="shared" si="17"/>
        <v>0</v>
      </c>
      <c r="R268" s="83">
        <f t="shared" si="17"/>
        <v>0</v>
      </c>
      <c r="S268" s="83">
        <f t="shared" si="17"/>
        <v>0</v>
      </c>
      <c r="T268" s="83">
        <f t="shared" si="17"/>
        <v>0</v>
      </c>
      <c r="U268" s="83">
        <f t="shared" si="17"/>
        <v>0</v>
      </c>
      <c r="V268" s="83">
        <f t="shared" si="17"/>
        <v>0</v>
      </c>
      <c r="W268" s="83">
        <f t="shared" si="17"/>
        <v>0</v>
      </c>
      <c r="X268" s="83">
        <f t="shared" si="17"/>
        <v>0</v>
      </c>
      <c r="Y268" s="83">
        <f t="shared" si="17"/>
        <v>0</v>
      </c>
      <c r="Z268" s="83">
        <f t="shared" si="17"/>
        <v>0</v>
      </c>
      <c r="AA268" s="83">
        <f t="shared" si="17"/>
        <v>0</v>
      </c>
      <c r="AB268" s="83">
        <f t="shared" si="17"/>
        <v>0</v>
      </c>
      <c r="AC268" s="450"/>
      <c r="AE268"/>
    </row>
    <row r="269" spans="1:41" ht="15" customHeight="1" x14ac:dyDescent="0.45">
      <c r="A269" s="37"/>
      <c r="B269" s="4"/>
      <c r="C269" s="2" t="s">
        <v>114</v>
      </c>
      <c r="D269" s="2" t="s">
        <v>747</v>
      </c>
      <c r="E269" s="23" t="s">
        <v>809</v>
      </c>
      <c r="F269" s="23" t="s">
        <v>806</v>
      </c>
      <c r="H269" s="83">
        <v>0</v>
      </c>
      <c r="I269" s="83">
        <f>IFERROR(('Financial Overview'!H169+'Financial Overview'!H186)/'Financial Overview'!H219,0)</f>
        <v>322.45600000000002</v>
      </c>
      <c r="J269" s="83">
        <f>IFERROR(('Financial Overview'!I169+'Financial Overview'!I186)/'Financial Overview'!I219,0)</f>
        <v>328.90512000000001</v>
      </c>
      <c r="K269" s="83">
        <f>IFERROR(('Financial Overview'!J169+'Financial Overview'!J186)/'Financial Overview'!J219,0)</f>
        <v>335.48322239999999</v>
      </c>
      <c r="L269" s="83">
        <f>IFERROR(('Financial Overview'!K169+'Financial Overview'!K186)/'Financial Overview'!K219,0)</f>
        <v>342.19288684800006</v>
      </c>
      <c r="M269" s="83">
        <f>IFERROR(('Financial Overview'!L169+'Financial Overview'!L186)/'Financial Overview'!L219,0)</f>
        <v>349.03674458495999</v>
      </c>
      <c r="N269" s="83">
        <f>IFERROR(('Financial Overview'!M169+'Financial Overview'!M186)/'Financial Overview'!M219,0)</f>
        <v>356.01747947665928</v>
      </c>
      <c r="O269" s="83">
        <f>IFERROR(('Financial Overview'!N169+'Financial Overview'!N186)/'Financial Overview'!N219,0)</f>
        <v>363.13782906619241</v>
      </c>
      <c r="P269" s="83">
        <f>IFERROR(('Financial Overview'!O169+'Financial Overview'!O186)/'Financial Overview'!O219,0)</f>
        <v>370.40058564751632</v>
      </c>
      <c r="Q269" s="83">
        <f>IFERROR(('Financial Overview'!P169+'Financial Overview'!P186)/'Financial Overview'!P219,0)</f>
        <v>377.80859736046659</v>
      </c>
      <c r="R269" s="83">
        <f>IFERROR(('Financial Overview'!Q169+'Financial Overview'!Q186)/'Financial Overview'!Q219,0)</f>
        <v>385.364769307676</v>
      </c>
      <c r="S269" s="83">
        <f>IFERROR(('Financial Overview'!R169+'Financial Overview'!R186)/'Financial Overview'!R219,0)</f>
        <v>393.07206469382953</v>
      </c>
      <c r="T269" s="83">
        <f>IFERROR(('Financial Overview'!S169+'Financial Overview'!S186)/'Financial Overview'!S219,0)</f>
        <v>400.93350598770604</v>
      </c>
      <c r="U269" s="83">
        <f>IFERROR(('Financial Overview'!T169+'Financial Overview'!T186)/'Financial Overview'!T219,0)</f>
        <v>408.95217610746022</v>
      </c>
      <c r="V269" s="83">
        <f>IFERROR(('Financial Overview'!U169+'Financial Overview'!U186)/'Financial Overview'!U219,0)</f>
        <v>417.13121962960952</v>
      </c>
      <c r="W269" s="83">
        <f>IFERROR(('Financial Overview'!V169+'Financial Overview'!V186)/'Financial Overview'!V219,0)</f>
        <v>425.4738440222016</v>
      </c>
      <c r="X269" s="83">
        <f>IFERROR(('Financial Overview'!W169+'Financial Overview'!W186)/'Financial Overview'!W219,0)</f>
        <v>433.98332090264569</v>
      </c>
      <c r="Y269" s="83">
        <f>IFERROR(('Financial Overview'!X169+'Financial Overview'!X186)/'Financial Overview'!X219,0)</f>
        <v>442.66298732069862</v>
      </c>
      <c r="Z269" s="83">
        <f>IFERROR(('Financial Overview'!Y169+'Financial Overview'!Y186)/'Financial Overview'!Y219,0)</f>
        <v>451.51624706711254</v>
      </c>
      <c r="AA269" s="83">
        <f>IFERROR(('Financial Overview'!Z169+'Financial Overview'!Z186)/'Financial Overview'!Z219,0)</f>
        <v>460.54657200845486</v>
      </c>
      <c r="AB269" s="83">
        <f>IFERROR(('Financial Overview'!AA169+'Financial Overview'!AA186)/'Financial Overview'!AA219,0)</f>
        <v>469.75750344862394</v>
      </c>
      <c r="AC269" s="450"/>
      <c r="AE269"/>
    </row>
    <row r="270" spans="1:41" ht="15" customHeight="1" x14ac:dyDescent="0.45">
      <c r="A270" s="37"/>
      <c r="B270" s="4"/>
      <c r="C270" s="2" t="s">
        <v>114</v>
      </c>
      <c r="D270" s="2" t="s">
        <v>746</v>
      </c>
      <c r="E270" s="23" t="s">
        <v>109</v>
      </c>
      <c r="F270" s="23" t="s">
        <v>109</v>
      </c>
      <c r="H270" s="83">
        <f>'Financial Overview'!G219*Assumptions!$H$193</f>
        <v>0</v>
      </c>
      <c r="I270" s="83">
        <f>'Financial Overview'!H219*Assumptions!$H$193</f>
        <v>6000</v>
      </c>
      <c r="J270" s="83">
        <f>'Financial Overview'!I219*Assumptions!$H$193</f>
        <v>6000</v>
      </c>
      <c r="K270" s="83">
        <f>'Financial Overview'!J219*Assumptions!$H$193</f>
        <v>6000</v>
      </c>
      <c r="L270" s="83">
        <f>'Financial Overview'!K219*Assumptions!$H$193</f>
        <v>6000</v>
      </c>
      <c r="M270" s="83">
        <f>'Financial Overview'!L219*Assumptions!$H$193</f>
        <v>6000</v>
      </c>
      <c r="N270" s="83">
        <f>'Financial Overview'!M219*Assumptions!$H$193</f>
        <v>6000</v>
      </c>
      <c r="O270" s="83">
        <f>'Financial Overview'!N219*Assumptions!$H$193</f>
        <v>6000</v>
      </c>
      <c r="P270" s="83">
        <f>'Financial Overview'!O219*Assumptions!$H$193</f>
        <v>6000</v>
      </c>
      <c r="Q270" s="83">
        <f>'Financial Overview'!P219*Assumptions!$H$193</f>
        <v>6000</v>
      </c>
      <c r="R270" s="83">
        <f>'Financial Overview'!Q219*Assumptions!$H$193</f>
        <v>6000</v>
      </c>
      <c r="S270" s="83">
        <f>'Financial Overview'!R219*Assumptions!$H$193</f>
        <v>6000</v>
      </c>
      <c r="T270" s="83">
        <f>'Financial Overview'!S219*Assumptions!$H$193</f>
        <v>6000</v>
      </c>
      <c r="U270" s="83">
        <f>'Financial Overview'!T219*Assumptions!$H$193</f>
        <v>6000</v>
      </c>
      <c r="V270" s="83">
        <f>'Financial Overview'!U219*Assumptions!$H$193</f>
        <v>6000</v>
      </c>
      <c r="W270" s="83">
        <f>'Financial Overview'!V219*Assumptions!$H$193</f>
        <v>6000</v>
      </c>
      <c r="X270" s="83">
        <f>'Financial Overview'!W219*Assumptions!$H$193</f>
        <v>6000</v>
      </c>
      <c r="Y270" s="83">
        <f>'Financial Overview'!X219*Assumptions!$H$193</f>
        <v>6000</v>
      </c>
      <c r="Z270" s="83">
        <f>'Financial Overview'!Y219*Assumptions!$H$193</f>
        <v>6000</v>
      </c>
      <c r="AA270" s="83">
        <f>'Financial Overview'!Z219*Assumptions!$H$193</f>
        <v>6000</v>
      </c>
      <c r="AB270" s="83">
        <f>'Financial Overview'!AA219*Assumptions!$H$193</f>
        <v>6000</v>
      </c>
      <c r="AC270" s="450"/>
      <c r="AE270"/>
    </row>
    <row r="271" spans="1:41" ht="15" customHeight="1" x14ac:dyDescent="0.45">
      <c r="A271" s="37"/>
      <c r="B271" s="4"/>
      <c r="C271" s="2" t="s">
        <v>114</v>
      </c>
      <c r="D271" s="2" t="s">
        <v>828</v>
      </c>
      <c r="E271" s="23" t="s">
        <v>806</v>
      </c>
      <c r="F271" s="23" t="s">
        <v>806</v>
      </c>
      <c r="H271" s="83">
        <v>0</v>
      </c>
      <c r="I271" s="465">
        <f>'Financial Overview'!H202</f>
        <v>3060000</v>
      </c>
      <c r="J271" s="465">
        <f>'Financial Overview'!I202</f>
        <v>3121200</v>
      </c>
      <c r="K271" s="465">
        <f>'Financial Overview'!J202</f>
        <v>3183624</v>
      </c>
      <c r="L271" s="465">
        <f>'Financial Overview'!K202</f>
        <v>3247296.48</v>
      </c>
      <c r="M271" s="465">
        <f>'Financial Overview'!L202</f>
        <v>3312242.4095999999</v>
      </c>
      <c r="N271" s="465">
        <f>'Financial Overview'!M202</f>
        <v>3378487.2577919997</v>
      </c>
      <c r="O271" s="465">
        <f>'Financial Overview'!N202</f>
        <v>3446057.0029478399</v>
      </c>
      <c r="P271" s="465">
        <f>'Financial Overview'!O202</f>
        <v>3514978.1430067969</v>
      </c>
      <c r="Q271" s="465">
        <f>'Financial Overview'!P202</f>
        <v>3585277.7058669329</v>
      </c>
      <c r="R271" s="465">
        <f>'Financial Overview'!Q202</f>
        <v>3656983.2599842716</v>
      </c>
      <c r="S271" s="465">
        <f>'Financial Overview'!R202</f>
        <v>3730122.925183957</v>
      </c>
      <c r="T271" s="465">
        <f>'Financial Overview'!S202</f>
        <v>3804725.3836876363</v>
      </c>
      <c r="U271" s="465">
        <f>'Financial Overview'!T202</f>
        <v>3880819.8913613893</v>
      </c>
      <c r="V271" s="465">
        <f>'Financial Overview'!U202</f>
        <v>3958436.2891886174</v>
      </c>
      <c r="W271" s="465">
        <f>'Financial Overview'!V202</f>
        <v>4037605.0149723897</v>
      </c>
      <c r="X271" s="465">
        <f>'Financial Overview'!W202</f>
        <v>4118357.1152718375</v>
      </c>
      <c r="Y271" s="465">
        <f>'Financial Overview'!X202</f>
        <v>4200724.257577274</v>
      </c>
      <c r="Z271" s="465">
        <f>'Financial Overview'!Y202</f>
        <v>4284738.7427288191</v>
      </c>
      <c r="AA271" s="465">
        <f>'Financial Overview'!Z202</f>
        <v>4370433.5175833954</v>
      </c>
      <c r="AB271" s="465">
        <f>'Financial Overview'!AA202</f>
        <v>4457842.1879350636</v>
      </c>
      <c r="AC271" s="450"/>
      <c r="AE271" s="545"/>
    </row>
    <row r="272" spans="1:41" ht="15" customHeight="1" x14ac:dyDescent="0.45">
      <c r="A272" s="37"/>
      <c r="B272" s="4"/>
      <c r="C272" s="2" t="s">
        <v>114</v>
      </c>
      <c r="D272" s="2" t="s">
        <v>561</v>
      </c>
      <c r="E272" s="23" t="s">
        <v>806</v>
      </c>
      <c r="F272" s="23" t="s">
        <v>806</v>
      </c>
      <c r="H272" s="465">
        <f ca="1">'Financial Overview'!G351</f>
        <v>0</v>
      </c>
      <c r="I272" s="465">
        <f ca="1">'Financial Overview'!I351</f>
        <v>290627.80816390953</v>
      </c>
      <c r="J272" s="465">
        <f ca="1">'Financial Overview'!I351</f>
        <v>290627.80816390953</v>
      </c>
      <c r="K272" s="465">
        <f ca="1">'Financial Overview'!J351</f>
        <v>296960.09872390964</v>
      </c>
      <c r="L272" s="465">
        <f ca="1">'Financial Overview'!K351</f>
        <v>303419.0350951096</v>
      </c>
      <c r="M272" s="465">
        <f ca="1">'Financial Overview'!L351</f>
        <v>310007.15019373345</v>
      </c>
      <c r="N272" s="465">
        <f ca="1">'Financial Overview'!M351</f>
        <v>316727.02759433008</v>
      </c>
      <c r="O272" s="465">
        <f ca="1">'Financial Overview'!N351</f>
        <v>323581.30254293868</v>
      </c>
      <c r="P272" s="465">
        <f ca="1">'Financial Overview'!O351</f>
        <v>330572.66299051896</v>
      </c>
      <c r="Q272" s="465">
        <f ca="1">'Financial Overview'!P351</f>
        <v>337703.85064705135</v>
      </c>
      <c r="R272" s="465">
        <f ca="1">'Financial Overview'!Q351</f>
        <v>344977.66205671424</v>
      </c>
      <c r="S272" s="465">
        <f ca="1">'Financial Overview'!R351</f>
        <v>352396.94969457039</v>
      </c>
      <c r="T272" s="465">
        <f ca="1">'Financial Overview'!S351</f>
        <v>359964.62308518367</v>
      </c>
      <c r="U272" s="465">
        <f ca="1">'Financial Overview'!T351</f>
        <v>367683.64994360902</v>
      </c>
      <c r="V272" s="465">
        <f ca="1">'Financial Overview'!U351</f>
        <v>375557.05733920302</v>
      </c>
      <c r="W272" s="465">
        <f ca="1">'Financial Overview'!V351</f>
        <v>383587.93288270879</v>
      </c>
      <c r="X272" s="465">
        <f ca="1">'Financial Overview'!W351</f>
        <v>391779.42593708471</v>
      </c>
      <c r="Y272" s="465">
        <f ca="1">'Financial Overview'!X351</f>
        <v>400134.74885254819</v>
      </c>
      <c r="Z272" s="465">
        <f ca="1">'Financial Overview'!Y351</f>
        <v>408657.17822632141</v>
      </c>
      <c r="AA272" s="465">
        <f ca="1">'Financial Overview'!Z351</f>
        <v>417350.0561875694</v>
      </c>
      <c r="AB272" s="465">
        <f ca="1">'Financial Overview'!AA351</f>
        <v>426216.79170804285</v>
      </c>
      <c r="AC272" s="450"/>
      <c r="AE272"/>
    </row>
    <row r="273" spans="1:41" x14ac:dyDescent="0.45">
      <c r="A273" s="37"/>
      <c r="B273" s="4"/>
      <c r="I273"/>
      <c r="J273"/>
      <c r="M273"/>
      <c r="N273"/>
      <c r="O273"/>
      <c r="P273"/>
      <c r="Q273"/>
      <c r="R273"/>
      <c r="S273"/>
      <c r="T273"/>
      <c r="U273"/>
      <c r="V273"/>
      <c r="W273"/>
      <c r="X273"/>
      <c r="Y273"/>
      <c r="AC273" s="448"/>
      <c r="AE273"/>
    </row>
    <row r="274" spans="1:41" x14ac:dyDescent="0.45">
      <c r="A274" s="41" t="s">
        <v>780</v>
      </c>
      <c r="B274" s="4"/>
      <c r="H274" s="24" t="s">
        <v>212</v>
      </c>
      <c r="I274" s="24" t="s">
        <v>805</v>
      </c>
      <c r="J274"/>
      <c r="M274"/>
      <c r="N274"/>
      <c r="O274"/>
      <c r="P274"/>
      <c r="Q274"/>
      <c r="R274"/>
      <c r="S274"/>
      <c r="T274"/>
      <c r="U274"/>
      <c r="V274"/>
      <c r="W274"/>
      <c r="X274"/>
      <c r="Y274"/>
      <c r="AC274" s="448"/>
      <c r="AO274"/>
    </row>
    <row r="275" spans="1:41" ht="15" customHeight="1" x14ac:dyDescent="0.45">
      <c r="A275" s="37"/>
      <c r="B275" s="4"/>
      <c r="C275" s="2" t="s">
        <v>114</v>
      </c>
      <c r="D275" s="2" t="s">
        <v>149</v>
      </c>
      <c r="E275" s="23" t="s">
        <v>210</v>
      </c>
      <c r="F275" s="23" t="s">
        <v>209</v>
      </c>
      <c r="H275" s="82">
        <f>'Supplementary Revenue Data'!K12</f>
        <v>17970000</v>
      </c>
      <c r="I275" s="83">
        <f>IF(F275="XAF",H275/$H$14,H275)</f>
        <v>30000</v>
      </c>
      <c r="J275" t="s">
        <v>245</v>
      </c>
      <c r="M275"/>
      <c r="N275"/>
      <c r="O275"/>
      <c r="P275"/>
      <c r="Q275"/>
      <c r="R275"/>
      <c r="S275"/>
      <c r="T275"/>
      <c r="U275"/>
      <c r="V275"/>
      <c r="W275"/>
      <c r="X275"/>
      <c r="Y275"/>
      <c r="AC275" s="448" t="s">
        <v>549</v>
      </c>
      <c r="AO275"/>
    </row>
    <row r="276" spans="1:41" ht="15" customHeight="1" x14ac:dyDescent="0.45">
      <c r="A276" s="37"/>
      <c r="B276" s="4"/>
      <c r="C276" s="2" t="s">
        <v>114</v>
      </c>
      <c r="D276" s="2" t="s">
        <v>753</v>
      </c>
      <c r="E276" s="23" t="s">
        <v>210</v>
      </c>
      <c r="F276" s="23" t="s">
        <v>209</v>
      </c>
      <c r="H276" s="82">
        <f>'Supplementary Revenue Data'!K13</f>
        <v>8985000</v>
      </c>
      <c r="I276" s="83">
        <f>IF(F276="XAF",H276/$H$14,H276)</f>
        <v>15000</v>
      </c>
      <c r="J276" t="s">
        <v>245</v>
      </c>
      <c r="M276"/>
      <c r="N276"/>
      <c r="O276"/>
      <c r="P276"/>
      <c r="Q276"/>
      <c r="R276"/>
      <c r="S276"/>
      <c r="T276"/>
      <c r="U276"/>
      <c r="V276"/>
      <c r="W276"/>
      <c r="X276"/>
      <c r="Y276"/>
      <c r="AC276" s="448" t="s">
        <v>549</v>
      </c>
      <c r="AO276"/>
    </row>
    <row r="277" spans="1:41" ht="15" customHeight="1" x14ac:dyDescent="0.45">
      <c r="A277" s="37"/>
      <c r="B277" s="4"/>
      <c r="C277" s="2" t="s">
        <v>114</v>
      </c>
      <c r="D277" s="2" t="s">
        <v>150</v>
      </c>
      <c r="E277" s="23" t="s">
        <v>810</v>
      </c>
      <c r="F277" s="23" t="s">
        <v>806</v>
      </c>
      <c r="H277" s="82">
        <f>IF(Cover!C15="No",0,'Supplementary Revenue Data'!$L$14)</f>
        <v>0</v>
      </c>
      <c r="I277" s="83">
        <f>IF(F277="XAF",H277/$H$14,H277)</f>
        <v>0</v>
      </c>
      <c r="J277" t="s">
        <v>245</v>
      </c>
      <c r="M277"/>
      <c r="N277"/>
      <c r="O277"/>
      <c r="P277"/>
      <c r="Q277"/>
      <c r="R277"/>
      <c r="S277"/>
      <c r="T277"/>
      <c r="U277"/>
      <c r="V277"/>
      <c r="W277"/>
      <c r="X277"/>
      <c r="Y277"/>
      <c r="AC277" s="448"/>
      <c r="AO277" s="128"/>
    </row>
    <row r="278" spans="1:41" ht="15" customHeight="1" x14ac:dyDescent="0.45">
      <c r="A278" s="37"/>
      <c r="B278" s="4"/>
      <c r="H278" s="46"/>
      <c r="I278" s="46"/>
      <c r="J278" s="46"/>
      <c r="K278"/>
      <c r="M278"/>
      <c r="N278"/>
      <c r="O278"/>
      <c r="P278"/>
      <c r="Q278"/>
      <c r="R278"/>
      <c r="S278"/>
      <c r="T278"/>
      <c r="U278"/>
      <c r="V278"/>
      <c r="W278"/>
      <c r="X278"/>
      <c r="Y278"/>
      <c r="Z278"/>
      <c r="AC278" s="448"/>
    </row>
    <row r="279" spans="1:41" ht="15" customHeight="1" x14ac:dyDescent="0.45">
      <c r="A279" s="37"/>
      <c r="B279" s="4"/>
      <c r="C279" s="2" t="s">
        <v>114</v>
      </c>
      <c r="D279" s="2" t="s">
        <v>154</v>
      </c>
      <c r="E279" s="23" t="s">
        <v>115</v>
      </c>
      <c r="F279" s="23" t="s">
        <v>208</v>
      </c>
      <c r="H279" s="119">
        <v>0.02</v>
      </c>
      <c r="I279" t="s">
        <v>151</v>
      </c>
      <c r="K279"/>
      <c r="M279"/>
      <c r="N279"/>
      <c r="O279"/>
      <c r="P279"/>
      <c r="Q279"/>
      <c r="R279"/>
      <c r="S279"/>
      <c r="T279"/>
      <c r="U279"/>
      <c r="V279"/>
      <c r="W279"/>
      <c r="X279"/>
      <c r="Y279"/>
      <c r="Z279"/>
      <c r="AC279" s="448"/>
    </row>
    <row r="280" spans="1:41" ht="15" customHeight="1" x14ac:dyDescent="0.45">
      <c r="AC280" s="448"/>
    </row>
    <row r="281" spans="1:41" s="59" customFormat="1" x14ac:dyDescent="0.45">
      <c r="A281" s="80" t="s">
        <v>108</v>
      </c>
      <c r="N281" s="81"/>
      <c r="AC281" s="448"/>
    </row>
    <row r="282" spans="1:41" x14ac:dyDescent="0.45">
      <c r="AC282" s="448"/>
    </row>
    <row r="283" spans="1:41" x14ac:dyDescent="0.45">
      <c r="AC283" s="448"/>
    </row>
    <row r="284" spans="1:41" x14ac:dyDescent="0.45">
      <c r="AC284" s="448"/>
    </row>
    <row r="285" spans="1:41" x14ac:dyDescent="0.45">
      <c r="AC285" s="448"/>
    </row>
    <row r="286" spans="1:41" x14ac:dyDescent="0.45">
      <c r="AC286" s="448"/>
    </row>
    <row r="287" spans="1:41" x14ac:dyDescent="0.45">
      <c r="AC287" s="448"/>
    </row>
    <row r="288" spans="1:41" x14ac:dyDescent="0.45">
      <c r="H288"/>
      <c r="I288"/>
      <c r="J288"/>
      <c r="K288"/>
      <c r="L288"/>
      <c r="M288"/>
      <c r="AC288" s="448"/>
    </row>
    <row r="289" spans="8:29" x14ac:dyDescent="0.45">
      <c r="H289"/>
      <c r="I289"/>
      <c r="J289"/>
      <c r="K289"/>
      <c r="L289"/>
      <c r="M289"/>
      <c r="AC289" s="448"/>
    </row>
    <row r="290" spans="8:29" x14ac:dyDescent="0.45">
      <c r="H290"/>
      <c r="I290"/>
      <c r="J290"/>
      <c r="K290"/>
      <c r="L290"/>
      <c r="M290"/>
      <c r="AC290" s="448"/>
    </row>
    <row r="291" spans="8:29" x14ac:dyDescent="0.45">
      <c r="H291"/>
      <c r="I291"/>
      <c r="J291"/>
      <c r="K291"/>
      <c r="L291"/>
      <c r="M291"/>
      <c r="AC291" s="448"/>
    </row>
    <row r="292" spans="8:29" x14ac:dyDescent="0.45">
      <c r="H292"/>
      <c r="I292"/>
      <c r="J292"/>
      <c r="K292"/>
      <c r="L292"/>
      <c r="M292"/>
      <c r="AC292" s="448"/>
    </row>
    <row r="293" spans="8:29" x14ac:dyDescent="0.45">
      <c r="H293"/>
      <c r="I293"/>
      <c r="J293"/>
      <c r="K293"/>
      <c r="L293"/>
      <c r="M293"/>
      <c r="AC293" s="448"/>
    </row>
    <row r="294" spans="8:29" x14ac:dyDescent="0.45">
      <c r="H294"/>
      <c r="I294"/>
      <c r="J294"/>
      <c r="K294"/>
      <c r="L294"/>
      <c r="M294"/>
      <c r="AC294" s="448"/>
    </row>
    <row r="295" spans="8:29" x14ac:dyDescent="0.45">
      <c r="H295"/>
      <c r="I295"/>
      <c r="J295"/>
      <c r="K295"/>
      <c r="L295"/>
      <c r="M295"/>
      <c r="AC295" s="448"/>
    </row>
    <row r="296" spans="8:29" x14ac:dyDescent="0.45">
      <c r="H296"/>
      <c r="I296"/>
      <c r="J296"/>
      <c r="K296"/>
      <c r="L296"/>
      <c r="M296"/>
      <c r="AC296" s="448"/>
    </row>
    <row r="297" spans="8:29" x14ac:dyDescent="0.45">
      <c r="H297"/>
      <c r="I297"/>
      <c r="J297"/>
      <c r="K297"/>
      <c r="L297"/>
      <c r="M297"/>
      <c r="AC297" s="448"/>
    </row>
    <row r="298" spans="8:29" x14ac:dyDescent="0.45">
      <c r="H298"/>
      <c r="I298"/>
      <c r="J298"/>
      <c r="K298"/>
      <c r="L298"/>
      <c r="M298"/>
      <c r="AC298" s="448"/>
    </row>
    <row r="299" spans="8:29" x14ac:dyDescent="0.45">
      <c r="H299"/>
      <c r="I299"/>
      <c r="J299"/>
      <c r="K299"/>
      <c r="L299"/>
      <c r="M299"/>
      <c r="AC299" s="448"/>
    </row>
    <row r="300" spans="8:29" x14ac:dyDescent="0.45">
      <c r="AC300" s="448"/>
    </row>
    <row r="301" spans="8:29" x14ac:dyDescent="0.45">
      <c r="AC301" s="448"/>
    </row>
    <row r="302" spans="8:29" x14ac:dyDescent="0.45">
      <c r="AC302" s="448"/>
    </row>
    <row r="303" spans="8:29" x14ac:dyDescent="0.45">
      <c r="AC303" s="448"/>
    </row>
    <row r="304" spans="8:29" x14ac:dyDescent="0.45">
      <c r="AC304" s="448"/>
    </row>
    <row r="305" spans="29:29" x14ac:dyDescent="0.45">
      <c r="AC305" s="448"/>
    </row>
    <row r="306" spans="29:29" x14ac:dyDescent="0.45">
      <c r="AC306" s="448"/>
    </row>
    <row r="307" spans="29:29" x14ac:dyDescent="0.45">
      <c r="AC307" s="448"/>
    </row>
  </sheetData>
  <mergeCells count="1">
    <mergeCell ref="B7:D7"/>
  </mergeCells>
  <conditionalFormatting sqref="B1:K1 A16:G16 AC16:XFD16 A84:C105 A60:C81 A147:C182 A2:K3 A4:H6 A7:K9 M1:XFD9 A308:XFD1048576 A234:K236 A106:K107 E108:K144 A183:K189 L281 M234:N236 K241:K247 I238:J238 D238:D240 A246:D247 A238:C245 F238:G246 F247:J247 T235:XFD247 V234:XFD234 A237:J237 AC248:XFD258 M262:N262 T262:XFD262 A248:G258 A262:K262 I273:K273 A266:B266 E266:G266 A265:D265 G265:H265 J263:K266 M274:XFD287 A274:K287 A145:K146 A82:K83 M194:M196 A194:K196 A267:G270 AC267:XFD270 H268:AB270 H240:J246 M56:XFD62 A10:XFD11 A13:XFD15 C12:XFD12 A12 A56:K59 A198:K200 M198:M200 A263:A264 C263:G263 C264:H264 E60:K81 M230:N232 V230:XFD232 M215:XFD229 A215:K232 T198:XFD200 T194:XFD196 AC272:XFD272 A272:G273 M90:XFD183 Q63:XFD89 M184:M189 T184:XFD189 E147:K182 E84:K105 A300:K307 A288:G299 M300:XFD307 N288:XFD299 A17:XFD55">
    <cfRule type="expression" dxfId="333" priority="208">
      <formula>_xlfn.ISFORMULA(A1)</formula>
    </cfRule>
  </conditionalFormatting>
  <conditionalFormatting sqref="A109:C144">
    <cfRule type="expression" dxfId="332" priority="74">
      <formula>_xlfn.ISFORMULA(A109)</formula>
    </cfRule>
  </conditionalFormatting>
  <conditionalFormatting sqref="D69:D81">
    <cfRule type="expression" dxfId="331" priority="73">
      <formula>_xlfn.ISFORMULA(D69)</formula>
    </cfRule>
  </conditionalFormatting>
  <conditionalFormatting sqref="D60 D62:D67">
    <cfRule type="expression" dxfId="330" priority="72">
      <formula>_xlfn.ISFORMULA(D60)</formula>
    </cfRule>
  </conditionalFormatting>
  <conditionalFormatting sqref="D68">
    <cfRule type="expression" dxfId="329" priority="71">
      <formula>_xlfn.ISFORMULA(D68)</formula>
    </cfRule>
  </conditionalFormatting>
  <conditionalFormatting sqref="D68">
    <cfRule type="expression" dxfId="328" priority="70">
      <formula>_xlfn.ISFORMULA(D68)</formula>
    </cfRule>
  </conditionalFormatting>
  <conditionalFormatting sqref="D61">
    <cfRule type="expression" dxfId="327" priority="69">
      <formula>_xlfn.ISFORMULA(D61)</formula>
    </cfRule>
  </conditionalFormatting>
  <conditionalFormatting sqref="D114 D120:D144">
    <cfRule type="expression" dxfId="326" priority="68">
      <formula>_xlfn.ISFORMULA(D114)</formula>
    </cfRule>
  </conditionalFormatting>
  <conditionalFormatting sqref="D116">
    <cfRule type="expression" dxfId="325" priority="67">
      <formula>_xlfn.ISFORMULA(D116)</formula>
    </cfRule>
  </conditionalFormatting>
  <conditionalFormatting sqref="D117:D119">
    <cfRule type="expression" dxfId="324" priority="66">
      <formula>_xlfn.ISFORMULA(D117)</formula>
    </cfRule>
  </conditionalFormatting>
  <conditionalFormatting sqref="D115">
    <cfRule type="expression" dxfId="323" priority="65">
      <formula>_xlfn.ISFORMULA(D115)</formula>
    </cfRule>
  </conditionalFormatting>
  <conditionalFormatting sqref="D110:D113">
    <cfRule type="expression" dxfId="322" priority="64">
      <formula>_xlfn.ISFORMULA(D110)</formula>
    </cfRule>
  </conditionalFormatting>
  <conditionalFormatting sqref="D108">
    <cfRule type="expression" dxfId="321" priority="59">
      <formula>_xlfn.ISFORMULA(D108)</formula>
    </cfRule>
  </conditionalFormatting>
  <conditionalFormatting sqref="A108:C108">
    <cfRule type="expression" dxfId="320" priority="61">
      <formula>_xlfn.ISFORMULA(A108)</formula>
    </cfRule>
  </conditionalFormatting>
  <conditionalFormatting sqref="A59:C59">
    <cfRule type="expression" dxfId="319" priority="58">
      <formula>_xlfn.ISFORMULA(A59)</formula>
    </cfRule>
  </conditionalFormatting>
  <conditionalFormatting sqref="D59">
    <cfRule type="expression" dxfId="318" priority="56">
      <formula>_xlfn.ISFORMULA(D59)</formula>
    </cfRule>
  </conditionalFormatting>
  <conditionalFormatting sqref="M227:XFD229 A227:K230 M230:N230 V230:XFD230">
    <cfRule type="expression" dxfId="317" priority="54">
      <formula>_xlfn.ISFORMULA(A227)</formula>
    </cfRule>
  </conditionalFormatting>
  <conditionalFormatting sqref="E220">
    <cfRule type="expression" dxfId="316" priority="53">
      <formula>_xlfn.ISFORMULA(E220)</formula>
    </cfRule>
  </conditionalFormatting>
  <conditionalFormatting sqref="E231:E232">
    <cfRule type="expression" dxfId="315" priority="52">
      <formula>_xlfn.ISFORMULA(E231)</formula>
    </cfRule>
  </conditionalFormatting>
  <conditionalFormatting sqref="L1:L9">
    <cfRule type="expression" dxfId="314" priority="51">
      <formula>_xlfn.ISFORMULA(L1)</formula>
    </cfRule>
  </conditionalFormatting>
  <conditionalFormatting sqref="I239:J239">
    <cfRule type="expression" dxfId="313" priority="45">
      <formula>_xlfn.ISFORMULA(I239)</formula>
    </cfRule>
  </conditionalFormatting>
  <conditionalFormatting sqref="I237">
    <cfRule type="expression" dxfId="312" priority="44">
      <formula>_xlfn.ISFORMULA(I237)</formula>
    </cfRule>
  </conditionalFormatting>
  <conditionalFormatting sqref="J237">
    <cfRule type="expression" dxfId="311" priority="43">
      <formula>_xlfn.ISFORMULA(J237)</formula>
    </cfRule>
  </conditionalFormatting>
  <conditionalFormatting sqref="H237">
    <cfRule type="expression" dxfId="310" priority="42">
      <formula>_xlfn.ISFORMULA(H237)</formula>
    </cfRule>
  </conditionalFormatting>
  <conditionalFormatting sqref="I238:J238">
    <cfRule type="expression" dxfId="309" priority="41">
      <formula>_xlfn.ISFORMULA(I238)</formula>
    </cfRule>
  </conditionalFormatting>
  <conditionalFormatting sqref="I239:J239">
    <cfRule type="expression" dxfId="308" priority="40">
      <formula>_xlfn.ISFORMULA(I239)</formula>
    </cfRule>
  </conditionalFormatting>
  <conditionalFormatting sqref="E238:E247">
    <cfRule type="expression" dxfId="307" priority="39">
      <formula>_xlfn.ISFORMULA(E238)</formula>
    </cfRule>
  </conditionalFormatting>
  <conditionalFormatting sqref="E238">
    <cfRule type="expression" dxfId="306" priority="38">
      <formula>_xlfn.ISFORMULA(E238)</formula>
    </cfRule>
  </conditionalFormatting>
  <conditionalFormatting sqref="E239">
    <cfRule type="expression" dxfId="305" priority="37">
      <formula>_xlfn.ISFORMULA(E239)</formula>
    </cfRule>
  </conditionalFormatting>
  <conditionalFormatting sqref="E240:E247">
    <cfRule type="expression" dxfId="304" priority="36">
      <formula>_xlfn.ISFORMULA(E240)</formula>
    </cfRule>
  </conditionalFormatting>
  <conditionalFormatting sqref="D241:D245">
    <cfRule type="expression" dxfId="303" priority="30">
      <formula>_xlfn.ISFORMULA(D241)</formula>
    </cfRule>
  </conditionalFormatting>
  <conditionalFormatting sqref="H238:H239">
    <cfRule type="expression" dxfId="302" priority="29">
      <formula>_xlfn.ISFORMULA(H238)</formula>
    </cfRule>
  </conditionalFormatting>
  <conditionalFormatting sqref="H248:AB248">
    <cfRule type="expression" dxfId="301" priority="28">
      <formula>_xlfn.ISFORMULA(H248)</formula>
    </cfRule>
  </conditionalFormatting>
  <conditionalFormatting sqref="M273:XFD273 L265:XFD266 L263:N264 T263:XFD264">
    <cfRule type="expression" dxfId="300" priority="27">
      <formula>_xlfn.ISFORMULA(L263)</formula>
    </cfRule>
  </conditionalFormatting>
  <conditionalFormatting sqref="D269">
    <cfRule type="expression" dxfId="299" priority="26">
      <formula>_xlfn.ISFORMULA(D269)</formula>
    </cfRule>
  </conditionalFormatting>
  <conditionalFormatting sqref="C269">
    <cfRule type="expression" dxfId="298" priority="25">
      <formula>_xlfn.ISFORMULA(C269)</formula>
    </cfRule>
  </conditionalFormatting>
  <conditionalFormatting sqref="E265:F265">
    <cfRule type="expression" dxfId="297" priority="24">
      <formula>_xlfn.ISFORMULA(E265)</formula>
    </cfRule>
  </conditionalFormatting>
  <conditionalFormatting sqref="M190:M193 A190:K193 T190:XFD193">
    <cfRule type="expression" dxfId="296" priority="23">
      <formula>_xlfn.ISFORMULA(A190)</formula>
    </cfRule>
  </conditionalFormatting>
  <conditionalFormatting sqref="M198:M199 A198:K199 T198:XFD199">
    <cfRule type="expression" dxfId="295" priority="21">
      <formula>_xlfn.ISFORMULA(A198)</formula>
    </cfRule>
  </conditionalFormatting>
  <conditionalFormatting sqref="D109">
    <cfRule type="expression" dxfId="294" priority="20">
      <formula>_xlfn.ISFORMULA(D109)</formula>
    </cfRule>
  </conditionalFormatting>
  <conditionalFormatting sqref="D69">
    <cfRule type="expression" dxfId="293" priority="18">
      <formula>_xlfn.ISFORMULA(D69)</formula>
    </cfRule>
  </conditionalFormatting>
  <conditionalFormatting sqref="D69">
    <cfRule type="expression" dxfId="292" priority="19">
      <formula>_xlfn.ISFORMULA(D69)</formula>
    </cfRule>
  </conditionalFormatting>
  <conditionalFormatting sqref="M202:XFD203 A201:K203 M201 T201:XFD201">
    <cfRule type="expression" dxfId="291" priority="17">
      <formula>_xlfn.ISFORMULA(A201)</formula>
    </cfRule>
  </conditionalFormatting>
  <conditionalFormatting sqref="M207:XFD210 A207:K210">
    <cfRule type="expression" dxfId="290" priority="16">
      <formula>_xlfn.ISFORMULA(A207)</formula>
    </cfRule>
  </conditionalFormatting>
  <conditionalFormatting sqref="M205:XFD206 A205:K206">
    <cfRule type="expression" dxfId="289" priority="15">
      <formula>_xlfn.ISFORMULA(A205)</formula>
    </cfRule>
  </conditionalFormatting>
  <conditionalFormatting sqref="M211:XFD214 A211:K214">
    <cfRule type="expression" dxfId="288" priority="14">
      <formula>_xlfn.ISFORMULA(A211)</formula>
    </cfRule>
  </conditionalFormatting>
  <conditionalFormatting sqref="A259:K259 M259:N259 A261:D261 F261:G261 T259:XFD261 A260:J260">
    <cfRule type="expression" dxfId="287" priority="13">
      <formula>_xlfn.ISFORMULA(A259)</formula>
    </cfRule>
  </conditionalFormatting>
  <conditionalFormatting sqref="I260">
    <cfRule type="expression" dxfId="286" priority="12">
      <formula>_xlfn.ISFORMULA(I260)</formula>
    </cfRule>
  </conditionalFormatting>
  <conditionalFormatting sqref="J260">
    <cfRule type="expression" dxfId="285" priority="11">
      <formula>_xlfn.ISFORMULA(J260)</formula>
    </cfRule>
  </conditionalFormatting>
  <conditionalFormatting sqref="H260">
    <cfRule type="expression" dxfId="284" priority="10">
      <formula>_xlfn.ISFORMULA(H260)</formula>
    </cfRule>
  </conditionalFormatting>
  <conditionalFormatting sqref="E261">
    <cfRule type="expression" dxfId="283" priority="8">
      <formula>_xlfn.ISFORMULA(E261)</formula>
    </cfRule>
  </conditionalFormatting>
  <conditionalFormatting sqref="E261">
    <cfRule type="expression" dxfId="282" priority="7">
      <formula>_xlfn.ISFORMULA(E261)</formula>
    </cfRule>
  </conditionalFormatting>
  <conditionalFormatting sqref="H261">
    <cfRule type="expression" dxfId="281" priority="6">
      <formula>_xlfn.ISFORMULA(H261)</formula>
    </cfRule>
  </conditionalFormatting>
  <conditionalFormatting sqref="M224:N224 V224:XFD224 A224:K224">
    <cfRule type="expression" dxfId="280" priority="5">
      <formula>_xlfn.ISFORMULA(A224)</formula>
    </cfRule>
  </conditionalFormatting>
  <conditionalFormatting sqref="E224">
    <cfRule type="expression" dxfId="279" priority="4">
      <formula>_xlfn.ISFORMULA(E224)</formula>
    </cfRule>
  </conditionalFormatting>
  <conditionalFormatting sqref="M204:XFD204 A204:K204">
    <cfRule type="expression" dxfId="278" priority="3">
      <formula>_xlfn.ISFORMULA(A204)</formula>
    </cfRule>
  </conditionalFormatting>
  <conditionalFormatting sqref="AC271:XFD271 A271:G271">
    <cfRule type="expression" dxfId="277" priority="2">
      <formula>_xlfn.ISFORMULA(A271)</formula>
    </cfRule>
  </conditionalFormatting>
  <conditionalFormatting sqref="H271">
    <cfRule type="expression" dxfId="276" priority="1">
      <formula>_xlfn.ISFORMULA(H271)</formula>
    </cfRule>
  </conditionalFormatting>
  <pageMargins left="0.23622047244094491" right="0.23622047244094491" top="0.74803149606299213" bottom="0.74803149606299213" header="0.31496062992125984" footer="0.31496062992125984"/>
  <pageSetup paperSize="9" scale="52" fitToWidth="0" orientation="landscape" r:id="rId1"/>
  <headerFooter>
    <oddFooter>&amp;F</oddFooter>
  </headerFooter>
  <extLst>
    <ext xmlns:x14="http://schemas.microsoft.com/office/spreadsheetml/2009/9/main" uri="{78C0D931-6437-407d-A8EE-F0AAD7539E65}">
      <x14:conditionalFormattings>
        <x14:conditionalFormatting xmlns:xm="http://schemas.microsoft.com/office/excel/2006/main">
          <x14:cfRule type="expression" priority="63" id="{33E65FDB-5F30-4541-A890-FADF59B80035}">
            <xm:f>_xlfn.ISFORMULA('Operational Costs'!D80)</xm:f>
            <x14:dxf>
              <fill>
                <patternFill>
                  <bgColor theme="4" tint="0.59996337778862885"/>
                </patternFill>
              </fill>
            </x14:dxf>
          </x14:cfRule>
          <xm:sqref>D108 D110:D113</xm:sqref>
        </x14:conditionalFormatting>
        <x14:conditionalFormatting xmlns:xm="http://schemas.microsoft.com/office/excel/2006/main">
          <x14:cfRule type="expression" priority="57" id="{3F121DD8-24F1-4C26-B598-DCB3D5E7E499}">
            <xm:f>_xlfn.ISFORMULA('Operational Costs'!D55)</xm:f>
            <x14:dxf>
              <fill>
                <patternFill>
                  <bgColor theme="4" tint="0.59996337778862885"/>
                </patternFill>
              </fill>
            </x14:dxf>
          </x14:cfRule>
          <xm:sqref>D59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FDC49-B3C0-4B95-834E-29D3E2EE28C6}">
  <sheetPr>
    <tabColor theme="5"/>
  </sheetPr>
  <dimension ref="A1:U638"/>
  <sheetViews>
    <sheetView zoomScale="70" zoomScaleNormal="70" workbookViewId="0"/>
  </sheetViews>
  <sheetFormatPr defaultColWidth="9.1328125" defaultRowHeight="13.15" outlineLevelRow="2" x14ac:dyDescent="0.4"/>
  <cols>
    <col min="1" max="2" width="4.73046875" style="477" customWidth="1"/>
    <col min="3" max="3" width="4.73046875" style="478" customWidth="1"/>
    <col min="4" max="4" width="35.59765625" style="478" customWidth="1"/>
    <col min="5" max="5" width="29.1328125" style="479" customWidth="1"/>
    <col min="6" max="6" width="15.73046875" style="479" customWidth="1"/>
    <col min="7" max="7" width="13.73046875" style="480" customWidth="1"/>
    <col min="8" max="8" width="9.73046875" style="479" customWidth="1"/>
    <col min="9" max="9" width="3.1328125" style="478" customWidth="1"/>
    <col min="10" max="17" width="17.73046875" style="478" customWidth="1"/>
    <col min="18" max="16384" width="9.1328125" style="481"/>
  </cols>
  <sheetData>
    <row r="1" spans="1:17" s="468" customFormat="1" x14ac:dyDescent="0.4">
      <c r="A1" s="466" t="s">
        <v>731</v>
      </c>
      <c r="B1" s="467"/>
      <c r="C1" s="467"/>
      <c r="D1" s="467"/>
      <c r="E1" s="467"/>
      <c r="F1" s="467"/>
      <c r="G1" s="467"/>
      <c r="H1" s="467"/>
      <c r="I1" s="467"/>
      <c r="J1" s="467"/>
      <c r="K1" s="467"/>
      <c r="L1" s="467"/>
      <c r="M1" s="467"/>
      <c r="N1" s="467"/>
      <c r="O1" s="467"/>
      <c r="P1" s="467"/>
      <c r="Q1" s="467"/>
    </row>
    <row r="2" spans="1:17" s="468" customFormat="1" x14ac:dyDescent="0.4">
      <c r="A2" s="466" t="str">
        <f ca="1">RIGHT(CELL("filename",$A$1),LEN(CELL("filename",$A$1))-FIND("]",CELL("filename",$A$1)))</f>
        <v>AECF</v>
      </c>
      <c r="B2" s="467"/>
      <c r="C2" s="467"/>
      <c r="D2" s="467"/>
      <c r="E2" s="467"/>
      <c r="F2" s="467"/>
      <c r="G2" s="467"/>
      <c r="H2" s="467"/>
      <c r="I2" s="467"/>
      <c r="J2" s="467"/>
      <c r="K2" s="467"/>
      <c r="L2" s="467"/>
      <c r="M2" s="467"/>
      <c r="N2" s="467"/>
      <c r="O2" s="467"/>
      <c r="P2" s="467"/>
      <c r="Q2" s="467"/>
    </row>
    <row r="3" spans="1:17" s="468" customFormat="1" x14ac:dyDescent="0.4">
      <c r="A3" s="466" t="s">
        <v>578</v>
      </c>
      <c r="B3" s="467"/>
      <c r="C3" s="467"/>
      <c r="D3" s="467"/>
      <c r="E3" s="467"/>
      <c r="F3" s="467"/>
      <c r="G3" s="467"/>
      <c r="H3" s="467"/>
      <c r="I3" s="467"/>
      <c r="J3" s="469" t="s">
        <v>567</v>
      </c>
      <c r="K3" s="467"/>
      <c r="L3" s="467"/>
      <c r="M3" s="467"/>
      <c r="N3" s="467"/>
      <c r="O3" s="467"/>
      <c r="P3" s="467"/>
      <c r="Q3" s="467"/>
    </row>
    <row r="4" spans="1:17" s="468" customFormat="1" x14ac:dyDescent="0.4">
      <c r="A4" s="548" t="s">
        <v>796</v>
      </c>
      <c r="B4" s="467"/>
      <c r="C4" s="467"/>
      <c r="D4" s="467"/>
      <c r="E4" s="467"/>
      <c r="F4" s="467"/>
      <c r="G4" s="467"/>
      <c r="H4" s="467"/>
      <c r="I4" s="470" t="s">
        <v>568</v>
      </c>
      <c r="J4" s="471">
        <v>0</v>
      </c>
      <c r="K4" s="471">
        <v>1</v>
      </c>
      <c r="L4" s="471">
        <v>2</v>
      </c>
      <c r="M4" s="471">
        <v>3</v>
      </c>
      <c r="N4" s="471">
        <v>4</v>
      </c>
      <c r="O4" s="471">
        <v>5</v>
      </c>
      <c r="P4" s="471">
        <v>6</v>
      </c>
      <c r="Q4" s="471">
        <v>7</v>
      </c>
    </row>
    <row r="5" spans="1:17" s="468" customFormat="1" x14ac:dyDescent="0.4">
      <c r="A5" s="466" t="s">
        <v>732</v>
      </c>
      <c r="B5" s="467"/>
      <c r="C5" s="467"/>
      <c r="D5" s="467"/>
      <c r="E5" s="467"/>
      <c r="F5" s="467"/>
      <c r="G5" s="467"/>
      <c r="H5" s="467"/>
      <c r="I5" s="470" t="s">
        <v>569</v>
      </c>
      <c r="J5" s="472">
        <v>43466</v>
      </c>
      <c r="K5" s="472">
        <v>43647</v>
      </c>
      <c r="L5" s="472">
        <v>43831</v>
      </c>
      <c r="M5" s="472">
        <v>44197</v>
      </c>
      <c r="N5" s="472">
        <v>44562</v>
      </c>
      <c r="O5" s="472">
        <v>44927</v>
      </c>
      <c r="P5" s="472">
        <v>45292</v>
      </c>
      <c r="Q5" s="472">
        <v>45658</v>
      </c>
    </row>
    <row r="6" spans="1:17" s="468" customFormat="1" x14ac:dyDescent="0.4">
      <c r="A6" s="473" t="s">
        <v>733</v>
      </c>
      <c r="B6" s="467"/>
      <c r="C6" s="467"/>
      <c r="D6" s="467"/>
      <c r="E6" s="467"/>
      <c r="F6" s="467"/>
      <c r="G6" s="467"/>
      <c r="H6" s="467"/>
      <c r="I6" s="470" t="s">
        <v>570</v>
      </c>
      <c r="J6" s="472">
        <v>43646</v>
      </c>
      <c r="K6" s="472">
        <v>43830</v>
      </c>
      <c r="L6" s="472">
        <v>44196</v>
      </c>
      <c r="M6" s="472">
        <v>44561</v>
      </c>
      <c r="N6" s="472">
        <v>44926</v>
      </c>
      <c r="O6" s="472">
        <v>45291</v>
      </c>
      <c r="P6" s="472">
        <v>45657</v>
      </c>
      <c r="Q6" s="472">
        <v>45838</v>
      </c>
    </row>
    <row r="7" spans="1:17" s="468" customFormat="1" x14ac:dyDescent="0.35">
      <c r="A7" s="467"/>
      <c r="B7" s="467"/>
      <c r="C7" s="467"/>
      <c r="D7" s="467"/>
      <c r="E7" s="467"/>
      <c r="F7" s="467" t="s">
        <v>571</v>
      </c>
      <c r="G7" s="467"/>
      <c r="H7" s="467"/>
      <c r="I7" s="470" t="s">
        <v>572</v>
      </c>
      <c r="J7" s="474">
        <v>181</v>
      </c>
      <c r="K7" s="474">
        <v>184</v>
      </c>
      <c r="L7" s="474">
        <v>366</v>
      </c>
      <c r="M7" s="474">
        <v>365</v>
      </c>
      <c r="N7" s="474">
        <v>365</v>
      </c>
      <c r="O7" s="474">
        <v>365</v>
      </c>
      <c r="P7" s="474">
        <v>366</v>
      </c>
      <c r="Q7" s="474">
        <v>181</v>
      </c>
    </row>
    <row r="9" spans="1:17" s="476" customFormat="1" x14ac:dyDescent="0.4">
      <c r="A9" s="475">
        <f>MAX($A$7:A8)+1</f>
        <v>1</v>
      </c>
      <c r="B9" s="475" t="s">
        <v>573</v>
      </c>
      <c r="C9" s="475"/>
      <c r="D9" s="475"/>
      <c r="E9" s="475"/>
      <c r="F9" s="475"/>
      <c r="G9" s="475"/>
      <c r="H9" s="475"/>
      <c r="I9" s="475"/>
      <c r="J9" s="475"/>
      <c r="K9" s="475"/>
      <c r="L9" s="475"/>
      <c r="M9" s="475"/>
      <c r="N9" s="475"/>
      <c r="O9" s="475"/>
      <c r="P9" s="475"/>
      <c r="Q9" s="475"/>
    </row>
    <row r="10" spans="1:17" outlineLevel="1" x14ac:dyDescent="0.4"/>
    <row r="11" spans="1:17" s="483" customFormat="1" outlineLevel="1" x14ac:dyDescent="0.4">
      <c r="A11" s="482"/>
      <c r="B11" s="482">
        <f>MAX($A$7:B10)+0.1</f>
        <v>1.1000000000000001</v>
      </c>
      <c r="C11" s="482" t="s">
        <v>574</v>
      </c>
      <c r="D11" s="482"/>
      <c r="E11" s="482"/>
      <c r="F11" s="482"/>
      <c r="G11" s="482"/>
      <c r="H11" s="482"/>
      <c r="I11" s="482"/>
      <c r="J11" s="482"/>
      <c r="K11" s="482"/>
      <c r="L11" s="482"/>
      <c r="M11" s="482"/>
      <c r="N11" s="482"/>
      <c r="O11" s="482"/>
      <c r="P11" s="482"/>
      <c r="Q11" s="482"/>
    </row>
    <row r="12" spans="1:17" outlineLevel="2" x14ac:dyDescent="0.4">
      <c r="B12" s="484"/>
      <c r="C12" s="485"/>
    </row>
    <row r="13" spans="1:17" outlineLevel="2" x14ac:dyDescent="0.4">
      <c r="D13" s="486" t="s">
        <v>575</v>
      </c>
      <c r="G13" s="713" t="s">
        <v>576</v>
      </c>
      <c r="H13" s="714"/>
      <c r="I13" s="715"/>
    </row>
    <row r="14" spans="1:17" outlineLevel="2" x14ac:dyDescent="0.4">
      <c r="D14" s="486" t="s">
        <v>577</v>
      </c>
      <c r="G14" s="713" t="s">
        <v>578</v>
      </c>
      <c r="H14" s="714"/>
      <c r="I14" s="715"/>
    </row>
    <row r="15" spans="1:17" outlineLevel="2" x14ac:dyDescent="0.4">
      <c r="D15" s="486" t="s">
        <v>579</v>
      </c>
      <c r="E15" s="487"/>
      <c r="F15" s="481"/>
      <c r="G15" s="716" t="s">
        <v>796</v>
      </c>
      <c r="H15" s="715"/>
      <c r="I15" s="536"/>
    </row>
    <row r="16" spans="1:17" outlineLevel="2" x14ac:dyDescent="0.4">
      <c r="D16" s="486" t="s">
        <v>580</v>
      </c>
      <c r="E16" s="487"/>
      <c r="F16" s="481"/>
      <c r="G16" s="537">
        <v>2</v>
      </c>
      <c r="H16" s="536"/>
      <c r="I16" s="536"/>
    </row>
    <row r="17" spans="1:17" outlineLevel="2" x14ac:dyDescent="0.4">
      <c r="D17" s="486"/>
      <c r="E17" s="487"/>
      <c r="F17" s="481"/>
      <c r="G17" s="481"/>
      <c r="H17" s="478"/>
    </row>
    <row r="18" spans="1:17" outlineLevel="2" x14ac:dyDescent="0.4">
      <c r="D18" s="486" t="s">
        <v>581</v>
      </c>
      <c r="E18" s="478"/>
      <c r="F18" s="489" t="s">
        <v>582</v>
      </c>
      <c r="G18" s="534">
        <v>43647</v>
      </c>
      <c r="H18" s="478"/>
    </row>
    <row r="19" spans="1:17" outlineLevel="2" x14ac:dyDescent="0.4">
      <c r="D19" s="486" t="s">
        <v>583</v>
      </c>
      <c r="E19" s="478"/>
      <c r="F19" s="489" t="s">
        <v>584</v>
      </c>
      <c r="G19" s="535">
        <f>ROUNDUP(MONTH($G$18)/3,0)</f>
        <v>3</v>
      </c>
      <c r="H19" s="478"/>
    </row>
    <row r="20" spans="1:17" outlineLevel="2" x14ac:dyDescent="0.4">
      <c r="D20" s="481"/>
      <c r="E20" s="481"/>
      <c r="F20" s="481"/>
      <c r="G20" s="481"/>
      <c r="H20" s="478"/>
    </row>
    <row r="21" spans="1:17" outlineLevel="1" x14ac:dyDescent="0.4">
      <c r="E21" s="487"/>
      <c r="F21" s="481"/>
      <c r="G21" s="490"/>
      <c r="H21" s="478"/>
    </row>
    <row r="22" spans="1:17" s="483" customFormat="1" outlineLevel="1" x14ac:dyDescent="0.4">
      <c r="A22" s="482"/>
      <c r="B22" s="482">
        <f>MAX($A$7:B21)+0.1</f>
        <v>1.2000000000000002</v>
      </c>
      <c r="C22" s="482" t="s">
        <v>585</v>
      </c>
      <c r="D22" s="482"/>
      <c r="E22" s="482"/>
      <c r="F22" s="482"/>
      <c r="G22" s="482"/>
      <c r="H22" s="482"/>
      <c r="I22" s="482"/>
      <c r="J22" s="482"/>
      <c r="K22" s="482"/>
      <c r="L22" s="482"/>
      <c r="M22" s="482"/>
      <c r="N22" s="482"/>
      <c r="O22" s="482"/>
      <c r="P22" s="482"/>
      <c r="Q22" s="482"/>
    </row>
    <row r="23" spans="1:17" outlineLevel="2" x14ac:dyDescent="0.4">
      <c r="E23" s="487"/>
      <c r="F23" s="481"/>
      <c r="G23" s="490"/>
      <c r="H23" s="478"/>
    </row>
    <row r="24" spans="1:17" outlineLevel="2" x14ac:dyDescent="0.4">
      <c r="D24" s="486" t="s">
        <v>586</v>
      </c>
      <c r="E24" s="481"/>
      <c r="F24" s="489" t="s">
        <v>21</v>
      </c>
      <c r="G24" s="491">
        <f>Assumptions!H234</f>
        <v>0.02</v>
      </c>
      <c r="H24" s="478"/>
      <c r="J24" s="478" t="s">
        <v>723</v>
      </c>
    </row>
    <row r="25" spans="1:17" outlineLevel="2" x14ac:dyDescent="0.4">
      <c r="D25" s="486" t="s">
        <v>587</v>
      </c>
      <c r="E25" s="478"/>
      <c r="F25" s="489" t="s">
        <v>21</v>
      </c>
      <c r="G25" s="491">
        <f>'Financing Template'!E82</f>
        <v>0.15</v>
      </c>
      <c r="H25" s="478"/>
    </row>
    <row r="26" spans="1:17" outlineLevel="2" x14ac:dyDescent="0.4">
      <c r="E26" s="487"/>
      <c r="F26" s="481"/>
      <c r="G26" s="490"/>
      <c r="H26" s="478"/>
    </row>
    <row r="27" spans="1:17" outlineLevel="1" x14ac:dyDescent="0.4">
      <c r="E27" s="487"/>
      <c r="F27" s="481"/>
      <c r="G27" s="490"/>
      <c r="H27" s="478"/>
    </row>
    <row r="28" spans="1:17" s="483" customFormat="1" outlineLevel="1" x14ac:dyDescent="0.4">
      <c r="A28" s="482"/>
      <c r="B28" s="482">
        <f>MAX($A$7:B27)+0.1</f>
        <v>1.3000000000000003</v>
      </c>
      <c r="C28" s="482" t="s">
        <v>588</v>
      </c>
      <c r="D28" s="482"/>
      <c r="E28" s="482"/>
      <c r="F28" s="482"/>
      <c r="G28" s="482"/>
      <c r="H28" s="482"/>
      <c r="I28" s="482"/>
      <c r="J28" s="482"/>
      <c r="K28" s="482"/>
      <c r="L28" s="482"/>
      <c r="M28" s="482"/>
      <c r="N28" s="482"/>
      <c r="O28" s="482"/>
      <c r="P28" s="482"/>
      <c r="Q28" s="482"/>
    </row>
    <row r="29" spans="1:17" outlineLevel="2" x14ac:dyDescent="0.4">
      <c r="E29" s="487"/>
      <c r="F29" s="481"/>
      <c r="G29" s="490"/>
      <c r="H29" s="478"/>
    </row>
    <row r="30" spans="1:17" outlineLevel="2" x14ac:dyDescent="0.4">
      <c r="D30" s="486" t="s">
        <v>588</v>
      </c>
      <c r="E30" s="481"/>
      <c r="F30" s="489" t="s">
        <v>21</v>
      </c>
      <c r="G30" s="533">
        <v>0.5</v>
      </c>
      <c r="H30" s="478"/>
    </row>
    <row r="31" spans="1:17" outlineLevel="2" x14ac:dyDescent="0.4">
      <c r="D31" s="486"/>
      <c r="E31" s="481"/>
      <c r="F31" s="489"/>
      <c r="G31" s="489"/>
      <c r="H31" s="478"/>
    </row>
    <row r="32" spans="1:17" outlineLevel="1" x14ac:dyDescent="0.4">
      <c r="E32" s="487"/>
      <c r="F32" s="481"/>
      <c r="G32" s="490"/>
      <c r="H32" s="478"/>
    </row>
    <row r="33" spans="1:17" x14ac:dyDescent="0.4">
      <c r="B33" s="484"/>
      <c r="C33" s="485"/>
    </row>
    <row r="34" spans="1:17" s="476" customFormat="1" x14ac:dyDescent="0.4">
      <c r="A34" s="475">
        <f>MAX($A$7:A33)+1</f>
        <v>2</v>
      </c>
      <c r="B34" s="475" t="s">
        <v>589</v>
      </c>
      <c r="C34" s="475"/>
      <c r="D34" s="475"/>
      <c r="E34" s="475"/>
      <c r="F34" s="475"/>
      <c r="G34" s="475"/>
      <c r="H34" s="475"/>
      <c r="I34" s="475"/>
      <c r="J34" s="475"/>
      <c r="K34" s="475"/>
      <c r="L34" s="475"/>
      <c r="M34" s="475"/>
      <c r="N34" s="475"/>
      <c r="O34" s="475"/>
      <c r="P34" s="475"/>
      <c r="Q34" s="475"/>
    </row>
    <row r="35" spans="1:17" outlineLevel="1" x14ac:dyDescent="0.4"/>
    <row r="36" spans="1:17" s="483" customFormat="1" outlineLevel="1" x14ac:dyDescent="0.4">
      <c r="A36" s="482"/>
      <c r="B36" s="482">
        <f>MAX($A$7:B35)+0.1</f>
        <v>2.1</v>
      </c>
      <c r="C36" s="482" t="s">
        <v>590</v>
      </c>
      <c r="D36" s="482"/>
      <c r="E36" s="482"/>
      <c r="F36" s="482"/>
      <c r="G36" s="482"/>
      <c r="H36" s="482"/>
      <c r="I36" s="482"/>
      <c r="J36" s="482"/>
      <c r="K36" s="482"/>
      <c r="L36" s="482"/>
      <c r="M36" s="482"/>
      <c r="N36" s="482"/>
      <c r="O36" s="482"/>
      <c r="P36" s="482"/>
      <c r="Q36" s="482"/>
    </row>
    <row r="37" spans="1:17" outlineLevel="2" x14ac:dyDescent="0.4">
      <c r="C37" s="485"/>
      <c r="D37" s="492" t="s">
        <v>591</v>
      </c>
      <c r="E37" s="493"/>
      <c r="F37" s="492" t="s">
        <v>592</v>
      </c>
      <c r="G37" s="494"/>
      <c r="H37" s="493"/>
      <c r="I37" s="485"/>
      <c r="J37" s="495"/>
    </row>
    <row r="38" spans="1:17" outlineLevel="2" x14ac:dyDescent="0.4">
      <c r="A38" s="496"/>
      <c r="B38" s="496"/>
      <c r="C38" s="486">
        <v>1</v>
      </c>
      <c r="D38" s="537" t="s">
        <v>593</v>
      </c>
      <c r="E38" s="497"/>
      <c r="F38" s="538" t="s">
        <v>594</v>
      </c>
      <c r="G38" s="499"/>
      <c r="H38" s="500"/>
      <c r="I38" s="501"/>
      <c r="J38" s="495"/>
      <c r="K38" s="488">
        <f>'Financial Overview'!G222</f>
        <v>0</v>
      </c>
      <c r="L38" s="488">
        <f>'Financial Overview'!H222</f>
        <v>1920</v>
      </c>
      <c r="M38" s="488">
        <f>'Financial Overview'!I222</f>
        <v>1920</v>
      </c>
      <c r="N38" s="488">
        <f>'Financial Overview'!J222</f>
        <v>1920</v>
      </c>
      <c r="O38" s="488">
        <f>'Financial Overview'!K222</f>
        <v>1920</v>
      </c>
      <c r="P38" s="488">
        <f>'Financial Overview'!L222</f>
        <v>1920</v>
      </c>
      <c r="Q38" s="488">
        <f>'Financial Overview'!M222</f>
        <v>1920</v>
      </c>
    </row>
    <row r="39" spans="1:17" outlineLevel="2" x14ac:dyDescent="0.4">
      <c r="A39" s="496"/>
      <c r="B39" s="496"/>
      <c r="C39" s="486">
        <f t="shared" ref="C39:C47" si="0">C38+1</f>
        <v>2</v>
      </c>
      <c r="D39" s="537" t="s">
        <v>595</v>
      </c>
      <c r="E39" s="497"/>
      <c r="F39" s="538" t="s">
        <v>594</v>
      </c>
      <c r="G39" s="499"/>
      <c r="H39" s="500"/>
      <c r="I39" s="501"/>
      <c r="J39" s="495"/>
      <c r="K39" s="488">
        <f>'Financial Overview'!G223</f>
        <v>0</v>
      </c>
      <c r="L39" s="488">
        <f>'Financial Overview'!H223</f>
        <v>480</v>
      </c>
      <c r="M39" s="488">
        <f>'Financial Overview'!I223</f>
        <v>480</v>
      </c>
      <c r="N39" s="488">
        <f>'Financial Overview'!J223</f>
        <v>480</v>
      </c>
      <c r="O39" s="488">
        <f>'Financial Overview'!K223</f>
        <v>480</v>
      </c>
      <c r="P39" s="488">
        <f>'Financial Overview'!L223</f>
        <v>480</v>
      </c>
      <c r="Q39" s="488">
        <f>'Financial Overview'!M223</f>
        <v>480</v>
      </c>
    </row>
    <row r="40" spans="1:17" outlineLevel="2" x14ac:dyDescent="0.4">
      <c r="A40" s="496"/>
      <c r="B40" s="496"/>
      <c r="C40" s="486">
        <f t="shared" si="0"/>
        <v>3</v>
      </c>
      <c r="D40" s="537" t="s">
        <v>795</v>
      </c>
      <c r="E40" s="497"/>
      <c r="F40" s="538" t="s">
        <v>594</v>
      </c>
      <c r="G40" s="499"/>
      <c r="H40" s="500"/>
      <c r="I40" s="501"/>
      <c r="J40" s="495"/>
      <c r="K40" s="488">
        <f>'Financial Overview'!G224</f>
        <v>0</v>
      </c>
      <c r="L40" s="488">
        <f>'Financial Overview'!H224</f>
        <v>0</v>
      </c>
      <c r="M40" s="488">
        <f>'Financial Overview'!I224</f>
        <v>0</v>
      </c>
      <c r="N40" s="488">
        <f>'Financial Overview'!J224</f>
        <v>0</v>
      </c>
      <c r="O40" s="488">
        <f>'Financial Overview'!K224</f>
        <v>0</v>
      </c>
      <c r="P40" s="488">
        <f>'Financial Overview'!L224</f>
        <v>0</v>
      </c>
      <c r="Q40" s="488">
        <f>'Financial Overview'!M224</f>
        <v>0</v>
      </c>
    </row>
    <row r="41" spans="1:17" outlineLevel="2" x14ac:dyDescent="0.4">
      <c r="A41" s="496"/>
      <c r="B41" s="496"/>
      <c r="C41" s="486">
        <f t="shared" si="0"/>
        <v>4</v>
      </c>
      <c r="D41" s="488"/>
      <c r="E41" s="497"/>
      <c r="F41" s="498"/>
      <c r="G41" s="499"/>
      <c r="H41" s="500"/>
      <c r="I41" s="501"/>
      <c r="J41" s="495"/>
      <c r="K41" s="488"/>
      <c r="L41" s="502"/>
      <c r="M41" s="488"/>
      <c r="N41" s="488"/>
      <c r="O41" s="488"/>
      <c r="P41" s="488"/>
      <c r="Q41" s="488"/>
    </row>
    <row r="42" spans="1:17" outlineLevel="2" x14ac:dyDescent="0.4">
      <c r="A42" s="496"/>
      <c r="B42" s="496"/>
      <c r="C42" s="486">
        <f t="shared" si="0"/>
        <v>5</v>
      </c>
      <c r="D42" s="488"/>
      <c r="E42" s="497"/>
      <c r="F42" s="498"/>
      <c r="G42" s="499"/>
      <c r="H42" s="500"/>
      <c r="I42" s="501"/>
      <c r="J42" s="495"/>
      <c r="K42" s="488"/>
      <c r="L42" s="502"/>
      <c r="M42" s="488"/>
      <c r="N42" s="488"/>
      <c r="O42" s="488"/>
      <c r="P42" s="488"/>
      <c r="Q42" s="488"/>
    </row>
    <row r="43" spans="1:17" outlineLevel="2" x14ac:dyDescent="0.4">
      <c r="A43" s="496"/>
      <c r="B43" s="496"/>
      <c r="C43" s="486">
        <f t="shared" si="0"/>
        <v>6</v>
      </c>
      <c r="D43" s="488"/>
      <c r="E43" s="497"/>
      <c r="F43" s="498"/>
      <c r="G43" s="499"/>
      <c r="H43" s="500"/>
      <c r="I43" s="501"/>
      <c r="J43" s="495"/>
      <c r="K43" s="488"/>
      <c r="L43" s="488"/>
      <c r="M43" s="488"/>
      <c r="N43" s="488"/>
      <c r="O43" s="488"/>
      <c r="P43" s="488"/>
      <c r="Q43" s="488"/>
    </row>
    <row r="44" spans="1:17" outlineLevel="2" x14ac:dyDescent="0.4">
      <c r="A44" s="496"/>
      <c r="B44" s="496"/>
      <c r="C44" s="486">
        <f t="shared" si="0"/>
        <v>7</v>
      </c>
      <c r="D44" s="488"/>
      <c r="E44" s="497"/>
      <c r="F44" s="498"/>
      <c r="G44" s="499"/>
      <c r="H44" s="500"/>
      <c r="I44" s="501"/>
      <c r="J44" s="495"/>
      <c r="K44" s="488"/>
      <c r="L44" s="488"/>
      <c r="M44" s="488"/>
      <c r="N44" s="488"/>
      <c r="O44" s="488"/>
      <c r="P44" s="488"/>
      <c r="Q44" s="488"/>
    </row>
    <row r="45" spans="1:17" outlineLevel="2" x14ac:dyDescent="0.4">
      <c r="A45" s="496"/>
      <c r="B45" s="496"/>
      <c r="C45" s="486">
        <f t="shared" si="0"/>
        <v>8</v>
      </c>
      <c r="D45" s="488"/>
      <c r="E45" s="497"/>
      <c r="F45" s="498"/>
      <c r="G45" s="499"/>
      <c r="H45" s="500"/>
      <c r="I45" s="501"/>
      <c r="J45" s="495"/>
      <c r="K45" s="488"/>
      <c r="L45" s="488"/>
      <c r="M45" s="488"/>
      <c r="N45" s="488"/>
      <c r="O45" s="488"/>
      <c r="P45" s="488"/>
      <c r="Q45" s="488"/>
    </row>
    <row r="46" spans="1:17" outlineLevel="2" x14ac:dyDescent="0.4">
      <c r="A46" s="496"/>
      <c r="B46" s="496"/>
      <c r="C46" s="486">
        <f t="shared" si="0"/>
        <v>9</v>
      </c>
      <c r="D46" s="488"/>
      <c r="E46" s="497"/>
      <c r="F46" s="498"/>
      <c r="G46" s="499"/>
      <c r="H46" s="500"/>
      <c r="I46" s="501"/>
      <c r="J46" s="495"/>
      <c r="K46" s="488"/>
      <c r="L46" s="488"/>
      <c r="M46" s="488"/>
      <c r="N46" s="488"/>
      <c r="O46" s="488"/>
      <c r="P46" s="488"/>
      <c r="Q46" s="488"/>
    </row>
    <row r="47" spans="1:17" outlineLevel="2" x14ac:dyDescent="0.4">
      <c r="A47" s="496"/>
      <c r="B47" s="496"/>
      <c r="C47" s="486">
        <f t="shared" si="0"/>
        <v>10</v>
      </c>
      <c r="D47" s="488"/>
      <c r="E47" s="497"/>
      <c r="F47" s="498"/>
      <c r="G47" s="499"/>
      <c r="H47" s="500"/>
      <c r="I47" s="501"/>
      <c r="J47" s="495"/>
      <c r="K47" s="488"/>
      <c r="L47" s="488"/>
      <c r="M47" s="488"/>
      <c r="N47" s="488"/>
      <c r="O47" s="488"/>
      <c r="P47" s="488"/>
      <c r="Q47" s="488"/>
    </row>
    <row r="48" spans="1:17" ht="12.75" outlineLevel="2" x14ac:dyDescent="0.35">
      <c r="A48" s="496"/>
      <c r="B48" s="496"/>
      <c r="C48" s="501"/>
      <c r="E48" s="497"/>
      <c r="F48" s="497"/>
      <c r="G48" s="499"/>
      <c r="H48" s="497"/>
      <c r="I48" s="501"/>
    </row>
    <row r="49" spans="1:17" ht="12.75" outlineLevel="1" x14ac:dyDescent="0.35">
      <c r="A49" s="496"/>
      <c r="B49" s="496"/>
      <c r="C49" s="501"/>
      <c r="E49" s="497"/>
      <c r="F49" s="497"/>
      <c r="G49" s="499"/>
      <c r="H49" s="497"/>
      <c r="I49" s="501"/>
    </row>
    <row r="50" spans="1:17" s="483" customFormat="1" outlineLevel="1" x14ac:dyDescent="0.4">
      <c r="A50" s="482"/>
      <c r="B50" s="482">
        <f>MAX($A$7:B49)+0.1</f>
        <v>2.2000000000000002</v>
      </c>
      <c r="C50" s="482" t="s">
        <v>596</v>
      </c>
      <c r="D50" s="482"/>
      <c r="E50" s="482"/>
      <c r="F50" s="482"/>
      <c r="G50" s="482"/>
      <c r="H50" s="482"/>
      <c r="I50" s="482"/>
      <c r="J50" s="482"/>
      <c r="K50" s="482"/>
      <c r="L50" s="482"/>
      <c r="M50" s="482"/>
      <c r="N50" s="482"/>
      <c r="O50" s="482"/>
      <c r="P50" s="482"/>
      <c r="Q50" s="482"/>
    </row>
    <row r="51" spans="1:17" outlineLevel="2" x14ac:dyDescent="0.4">
      <c r="D51" s="492" t="s">
        <v>591</v>
      </c>
      <c r="G51" s="494"/>
      <c r="J51" s="495"/>
    </row>
    <row r="52" spans="1:17" outlineLevel="2" x14ac:dyDescent="0.4">
      <c r="A52" s="496"/>
      <c r="B52" s="496"/>
      <c r="C52" s="486">
        <v>1</v>
      </c>
      <c r="D52" s="539" t="str">
        <f t="shared" ref="D52:D61" si="1">IF(D38=0,"N/A",D38)</f>
        <v>Unrefined Shea butter (cosmetic application)</v>
      </c>
      <c r="E52" s="497"/>
      <c r="F52" s="541" t="s">
        <v>822</v>
      </c>
      <c r="G52" s="504"/>
      <c r="H52" s="500"/>
      <c r="I52" s="501"/>
      <c r="J52" s="495"/>
      <c r="K52" s="502">
        <f>Assumptions!H238</f>
        <v>3200</v>
      </c>
      <c r="L52" s="502">
        <f>K52*(1+Assumptions!$H$279)</f>
        <v>3264</v>
      </c>
      <c r="M52" s="502">
        <f>L52*(1+Assumptions!$H$279)</f>
        <v>3329.28</v>
      </c>
      <c r="N52" s="502">
        <f>M52*(1+Assumptions!$H$279)</f>
        <v>3395.8656000000001</v>
      </c>
      <c r="O52" s="502">
        <f>N52*(1+Assumptions!$H$279)</f>
        <v>3463.7829120000001</v>
      </c>
      <c r="P52" s="502">
        <f>O52*(1+Assumptions!$H$279)</f>
        <v>3533.0585702400003</v>
      </c>
      <c r="Q52" s="502">
        <f>P52*(1+Assumptions!$H$279)</f>
        <v>3603.7197416448003</v>
      </c>
    </row>
    <row r="53" spans="1:17" outlineLevel="2" x14ac:dyDescent="0.4">
      <c r="A53" s="496"/>
      <c r="B53" s="496"/>
      <c r="C53" s="486">
        <f t="shared" ref="C53:C61" si="2">C52+1</f>
        <v>2</v>
      </c>
      <c r="D53" s="539" t="str">
        <f t="shared" si="1"/>
        <v>Unrefined organic shea butter (cosmetic application)</v>
      </c>
      <c r="E53" s="497"/>
      <c r="F53" s="541" t="s">
        <v>822</v>
      </c>
      <c r="G53" s="504"/>
      <c r="H53" s="500"/>
      <c r="I53" s="501"/>
      <c r="J53" s="495"/>
      <c r="K53" s="502">
        <f>Assumptions!H239</f>
        <v>3700</v>
      </c>
      <c r="L53" s="502">
        <f>K53*(1+Assumptions!$H$279)</f>
        <v>3774</v>
      </c>
      <c r="M53" s="502">
        <f>L53*(1+Assumptions!$H$279)</f>
        <v>3849.48</v>
      </c>
      <c r="N53" s="502">
        <f>M53*(1+Assumptions!$H$279)</f>
        <v>3926.4695999999999</v>
      </c>
      <c r="O53" s="502">
        <f>N53*(1+Assumptions!$H$279)</f>
        <v>4004.9989919999998</v>
      </c>
      <c r="P53" s="502">
        <f>O53*(1+Assumptions!$H$279)</f>
        <v>4085.0989718400001</v>
      </c>
      <c r="Q53" s="502">
        <f>P53*(1+Assumptions!$H$279)</f>
        <v>4166.8009512768003</v>
      </c>
    </row>
    <row r="54" spans="1:17" outlineLevel="2" x14ac:dyDescent="0.4">
      <c r="A54" s="496"/>
      <c r="B54" s="496"/>
      <c r="C54" s="486">
        <f t="shared" si="2"/>
        <v>3</v>
      </c>
      <c r="D54" s="539" t="str">
        <f t="shared" si="1"/>
        <v>Unrefined shea butter (food application)</v>
      </c>
      <c r="E54" s="497"/>
      <c r="F54" s="541" t="s">
        <v>822</v>
      </c>
      <c r="G54" s="504"/>
      <c r="H54" s="500"/>
      <c r="I54" s="501"/>
      <c r="J54" s="495"/>
      <c r="K54" s="502">
        <f>Assumptions!H240</f>
        <v>2200</v>
      </c>
      <c r="L54" s="502">
        <f>K54*(1+Assumptions!$H$279)</f>
        <v>2244</v>
      </c>
      <c r="M54" s="502">
        <f>L54*(1+Assumptions!$H$279)</f>
        <v>2288.88</v>
      </c>
      <c r="N54" s="502">
        <f>M54*(1+Assumptions!$H$279)</f>
        <v>2334.6576</v>
      </c>
      <c r="O54" s="502">
        <f>N54*(1+Assumptions!$H$279)</f>
        <v>2381.3507519999998</v>
      </c>
      <c r="P54" s="502">
        <f>O54*(1+Assumptions!$H$279)</f>
        <v>2428.9777670399999</v>
      </c>
      <c r="Q54" s="502">
        <f>P54*(1+Assumptions!$H$279)</f>
        <v>2477.5573223808001</v>
      </c>
    </row>
    <row r="55" spans="1:17" outlineLevel="2" x14ac:dyDescent="0.4">
      <c r="A55" s="496"/>
      <c r="B55" s="496"/>
      <c r="C55" s="486">
        <f t="shared" si="2"/>
        <v>4</v>
      </c>
      <c r="D55" s="503" t="str">
        <f t="shared" si="1"/>
        <v>N/A</v>
      </c>
      <c r="E55" s="497"/>
      <c r="F55" s="489" t="s">
        <v>730</v>
      </c>
      <c r="G55" s="504"/>
      <c r="H55" s="500"/>
      <c r="I55" s="501"/>
      <c r="J55" s="495"/>
      <c r="K55" s="502"/>
      <c r="L55" s="502"/>
      <c r="M55" s="502"/>
      <c r="N55" s="502"/>
      <c r="O55" s="502"/>
      <c r="P55" s="502"/>
      <c r="Q55" s="502"/>
    </row>
    <row r="56" spans="1:17" outlineLevel="2" x14ac:dyDescent="0.4">
      <c r="A56" s="496"/>
      <c r="B56" s="496"/>
      <c r="C56" s="486">
        <f t="shared" si="2"/>
        <v>5</v>
      </c>
      <c r="D56" s="503" t="str">
        <f t="shared" si="1"/>
        <v>N/A</v>
      </c>
      <c r="E56" s="497"/>
      <c r="F56" s="489" t="s">
        <v>730</v>
      </c>
      <c r="G56" s="504"/>
      <c r="H56" s="500"/>
      <c r="I56" s="501"/>
      <c r="J56" s="495"/>
      <c r="K56" s="502"/>
      <c r="L56" s="502"/>
      <c r="M56" s="502"/>
      <c r="N56" s="502"/>
      <c r="O56" s="502"/>
      <c r="P56" s="502"/>
      <c r="Q56" s="502"/>
    </row>
    <row r="57" spans="1:17" outlineLevel="2" x14ac:dyDescent="0.4">
      <c r="A57" s="496"/>
      <c r="B57" s="496"/>
      <c r="C57" s="486">
        <f t="shared" si="2"/>
        <v>6</v>
      </c>
      <c r="D57" s="503" t="str">
        <f t="shared" si="1"/>
        <v>N/A</v>
      </c>
      <c r="E57" s="497"/>
      <c r="F57" s="489" t="s">
        <v>730</v>
      </c>
      <c r="G57" s="504"/>
      <c r="H57" s="500"/>
      <c r="I57" s="501"/>
      <c r="J57" s="495"/>
      <c r="K57" s="502"/>
      <c r="L57" s="502"/>
      <c r="M57" s="502"/>
      <c r="N57" s="502"/>
      <c r="O57" s="502"/>
      <c r="P57" s="502"/>
      <c r="Q57" s="502"/>
    </row>
    <row r="58" spans="1:17" outlineLevel="2" x14ac:dyDescent="0.4">
      <c r="A58" s="496"/>
      <c r="B58" s="496"/>
      <c r="C58" s="486">
        <f t="shared" si="2"/>
        <v>7</v>
      </c>
      <c r="D58" s="503" t="str">
        <f t="shared" si="1"/>
        <v>N/A</v>
      </c>
      <c r="E58" s="497"/>
      <c r="F58" s="489" t="s">
        <v>730</v>
      </c>
      <c r="G58" s="504"/>
      <c r="H58" s="500"/>
      <c r="I58" s="501"/>
      <c r="J58" s="495"/>
      <c r="K58" s="502"/>
      <c r="L58" s="502"/>
      <c r="M58" s="502"/>
      <c r="N58" s="502"/>
      <c r="O58" s="502"/>
      <c r="P58" s="502"/>
      <c r="Q58" s="502"/>
    </row>
    <row r="59" spans="1:17" outlineLevel="2" x14ac:dyDescent="0.4">
      <c r="A59" s="496"/>
      <c r="B59" s="496"/>
      <c r="C59" s="486">
        <f t="shared" si="2"/>
        <v>8</v>
      </c>
      <c r="D59" s="503" t="str">
        <f t="shared" si="1"/>
        <v>N/A</v>
      </c>
      <c r="E59" s="497"/>
      <c r="F59" s="489" t="s">
        <v>730</v>
      </c>
      <c r="G59" s="504"/>
      <c r="H59" s="500"/>
      <c r="I59" s="501"/>
      <c r="J59" s="495"/>
      <c r="K59" s="502"/>
      <c r="L59" s="502"/>
      <c r="M59" s="502"/>
      <c r="N59" s="502"/>
      <c r="O59" s="502"/>
      <c r="P59" s="502"/>
      <c r="Q59" s="502"/>
    </row>
    <row r="60" spans="1:17" outlineLevel="2" x14ac:dyDescent="0.4">
      <c r="A60" s="496"/>
      <c r="B60" s="496"/>
      <c r="C60" s="486">
        <f t="shared" si="2"/>
        <v>9</v>
      </c>
      <c r="D60" s="503" t="str">
        <f t="shared" si="1"/>
        <v>N/A</v>
      </c>
      <c r="E60" s="497"/>
      <c r="F60" s="489" t="s">
        <v>730</v>
      </c>
      <c r="G60" s="504"/>
      <c r="H60" s="500"/>
      <c r="I60" s="501"/>
      <c r="J60" s="495"/>
      <c r="K60" s="502"/>
      <c r="L60" s="502"/>
      <c r="M60" s="502"/>
      <c r="N60" s="502"/>
      <c r="O60" s="502"/>
      <c r="P60" s="502"/>
      <c r="Q60" s="502"/>
    </row>
    <row r="61" spans="1:17" outlineLevel="2" x14ac:dyDescent="0.4">
      <c r="A61" s="496"/>
      <c r="B61" s="496"/>
      <c r="C61" s="486">
        <f t="shared" si="2"/>
        <v>10</v>
      </c>
      <c r="D61" s="503" t="str">
        <f t="shared" si="1"/>
        <v>N/A</v>
      </c>
      <c r="E61" s="497"/>
      <c r="F61" s="489" t="s">
        <v>730</v>
      </c>
      <c r="G61" s="504"/>
      <c r="H61" s="500"/>
      <c r="I61" s="501"/>
      <c r="J61" s="495"/>
      <c r="K61" s="502"/>
      <c r="L61" s="502"/>
      <c r="M61" s="502"/>
      <c r="N61" s="502"/>
      <c r="O61" s="502"/>
      <c r="P61" s="502"/>
      <c r="Q61" s="502"/>
    </row>
    <row r="62" spans="1:17" ht="12.75" outlineLevel="2" x14ac:dyDescent="0.35">
      <c r="A62" s="496"/>
      <c r="B62" s="496"/>
      <c r="C62" s="501"/>
      <c r="E62" s="497"/>
      <c r="F62" s="497"/>
      <c r="G62" s="499"/>
      <c r="H62" s="497"/>
      <c r="I62" s="501"/>
    </row>
    <row r="63" spans="1:17" ht="12" customHeight="1" outlineLevel="1" x14ac:dyDescent="0.35">
      <c r="A63" s="496"/>
      <c r="B63" s="496"/>
      <c r="C63" s="501"/>
      <c r="D63" s="496"/>
      <c r="E63" s="497"/>
      <c r="F63" s="497"/>
      <c r="G63" s="499"/>
      <c r="H63" s="497"/>
      <c r="I63" s="501"/>
    </row>
    <row r="64" spans="1:17" s="506" customFormat="1" outlineLevel="1" x14ac:dyDescent="0.4">
      <c r="A64" s="505"/>
      <c r="B64" s="505">
        <f>MAX($A$7:B63)+0.1</f>
        <v>2.3000000000000003</v>
      </c>
      <c r="C64" s="505" t="s">
        <v>597</v>
      </c>
      <c r="D64" s="505"/>
      <c r="E64" s="505"/>
      <c r="F64" s="505"/>
      <c r="G64" s="505"/>
      <c r="H64" s="505"/>
      <c r="I64" s="505"/>
      <c r="J64" s="505"/>
      <c r="K64" s="505"/>
      <c r="L64" s="505"/>
      <c r="M64" s="505"/>
      <c r="N64" s="505"/>
      <c r="O64" s="505"/>
      <c r="P64" s="505"/>
      <c r="Q64" s="505"/>
    </row>
    <row r="65" spans="1:17" ht="12.75" outlineLevel="2" x14ac:dyDescent="0.35">
      <c r="A65" s="496"/>
      <c r="B65" s="496"/>
      <c r="C65" s="501"/>
      <c r="E65" s="497"/>
      <c r="F65" s="497"/>
      <c r="G65" s="499"/>
      <c r="H65" s="496"/>
      <c r="I65" s="501"/>
      <c r="J65" s="481"/>
    </row>
    <row r="66" spans="1:17" ht="12.75" outlineLevel="2" x14ac:dyDescent="0.35">
      <c r="A66" s="496"/>
      <c r="B66" s="496"/>
      <c r="C66" s="501"/>
      <c r="D66" s="486" t="s">
        <v>598</v>
      </c>
      <c r="E66" s="497"/>
      <c r="F66" s="489" t="s">
        <v>21</v>
      </c>
      <c r="G66" s="540">
        <v>1</v>
      </c>
      <c r="H66" s="496"/>
      <c r="I66" s="501"/>
      <c r="J66" s="481"/>
    </row>
    <row r="67" spans="1:17" ht="12.75" outlineLevel="2" x14ac:dyDescent="0.35">
      <c r="A67" s="496"/>
      <c r="B67" s="496"/>
      <c r="C67" s="501"/>
      <c r="D67" s="486" t="s">
        <v>599</v>
      </c>
      <c r="E67" s="497"/>
      <c r="F67" s="489" t="s">
        <v>68</v>
      </c>
      <c r="G67" s="488">
        <f>'Financial Overview'!E369</f>
        <v>0</v>
      </c>
      <c r="H67" s="496"/>
      <c r="I67" s="501"/>
      <c r="J67" s="481"/>
    </row>
    <row r="68" spans="1:17" ht="12.75" outlineLevel="2" x14ac:dyDescent="0.35">
      <c r="A68" s="496"/>
      <c r="B68" s="496"/>
      <c r="C68" s="501"/>
      <c r="D68" s="486" t="s">
        <v>600</v>
      </c>
      <c r="E68" s="497"/>
      <c r="F68" s="489" t="s">
        <v>823</v>
      </c>
      <c r="G68" s="504"/>
      <c r="H68" s="496"/>
      <c r="I68" s="501"/>
      <c r="J68" s="502">
        <v>0</v>
      </c>
    </row>
    <row r="69" spans="1:17" ht="12.75" outlineLevel="2" x14ac:dyDescent="0.35">
      <c r="A69" s="496"/>
      <c r="B69" s="496"/>
      <c r="C69" s="501"/>
      <c r="E69" s="497"/>
      <c r="F69" s="497"/>
      <c r="G69" s="499"/>
      <c r="H69" s="496"/>
      <c r="I69" s="501"/>
      <c r="J69" s="481"/>
    </row>
    <row r="70" spans="1:17" ht="12.75" outlineLevel="1" x14ac:dyDescent="0.35">
      <c r="A70" s="496"/>
      <c r="B70" s="496"/>
      <c r="C70" s="501"/>
      <c r="E70" s="497"/>
      <c r="F70" s="497"/>
      <c r="G70" s="499"/>
      <c r="H70" s="497"/>
      <c r="I70" s="501"/>
    </row>
    <row r="71" spans="1:17" ht="12.75" x14ac:dyDescent="0.35">
      <c r="A71" s="496"/>
      <c r="B71" s="496"/>
      <c r="C71" s="501"/>
      <c r="E71" s="497"/>
      <c r="F71" s="497"/>
      <c r="G71" s="499"/>
      <c r="H71" s="497"/>
      <c r="I71" s="501"/>
    </row>
    <row r="72" spans="1:17" s="476" customFormat="1" x14ac:dyDescent="0.4">
      <c r="A72" s="475">
        <f>MAX($A$7:A71)+1</f>
        <v>3</v>
      </c>
      <c r="B72" s="475" t="s">
        <v>601</v>
      </c>
      <c r="C72" s="475"/>
      <c r="D72" s="475"/>
      <c r="E72" s="475"/>
      <c r="F72" s="475"/>
      <c r="G72" s="475"/>
      <c r="H72" s="475"/>
      <c r="I72" s="475"/>
      <c r="J72" s="475"/>
      <c r="K72" s="475"/>
      <c r="L72" s="475"/>
      <c r="M72" s="475"/>
      <c r="N72" s="475"/>
      <c r="O72" s="475"/>
      <c r="P72" s="475"/>
      <c r="Q72" s="475"/>
    </row>
    <row r="73" spans="1:17" outlineLevel="1" x14ac:dyDescent="0.4"/>
    <row r="74" spans="1:17" s="483" customFormat="1" outlineLevel="1" x14ac:dyDescent="0.4">
      <c r="A74" s="482"/>
      <c r="B74" s="482">
        <f>MAX($A$7:B73)+0.1</f>
        <v>3.1</v>
      </c>
      <c r="C74" s="482" t="s">
        <v>602</v>
      </c>
      <c r="D74" s="482"/>
      <c r="E74" s="482"/>
      <c r="F74" s="482"/>
      <c r="G74" s="482"/>
      <c r="H74" s="482"/>
      <c r="I74" s="482"/>
      <c r="J74" s="482"/>
      <c r="K74" s="482"/>
      <c r="L74" s="482"/>
      <c r="M74" s="482"/>
      <c r="N74" s="482"/>
      <c r="O74" s="482"/>
      <c r="P74" s="482"/>
      <c r="Q74" s="482"/>
    </row>
    <row r="75" spans="1:17" outlineLevel="2" x14ac:dyDescent="0.4">
      <c r="D75" s="492" t="s">
        <v>603</v>
      </c>
    </row>
    <row r="76" spans="1:17" ht="12.75" outlineLevel="2" x14ac:dyDescent="0.35">
      <c r="A76" s="496"/>
      <c r="B76" s="496"/>
      <c r="C76" s="501">
        <v>1</v>
      </c>
      <c r="D76" s="488" t="s">
        <v>111</v>
      </c>
      <c r="E76" s="497"/>
      <c r="F76" s="489" t="s">
        <v>823</v>
      </c>
      <c r="G76" s="499"/>
      <c r="H76" s="500"/>
      <c r="I76" s="501"/>
      <c r="K76" s="502">
        <f>K193</f>
        <v>2128800</v>
      </c>
      <c r="L76" s="502">
        <f t="shared" ref="L76:Q76" si="3">L193</f>
        <v>5953536</v>
      </c>
      <c r="M76" s="502">
        <f t="shared" si="3"/>
        <v>6072606.7200000007</v>
      </c>
      <c r="N76" s="502">
        <f t="shared" si="3"/>
        <v>6194058.8544000005</v>
      </c>
      <c r="O76" s="502">
        <f t="shared" si="3"/>
        <v>6317940.0314880004</v>
      </c>
      <c r="P76" s="502">
        <f t="shared" si="3"/>
        <v>6444298.8321177606</v>
      </c>
      <c r="Q76" s="502">
        <f t="shared" si="3"/>
        <v>6573184.8087601159</v>
      </c>
    </row>
    <row r="77" spans="1:17" ht="12.75" outlineLevel="2" x14ac:dyDescent="0.35">
      <c r="A77" s="496"/>
      <c r="B77" s="496"/>
      <c r="C77" s="501">
        <f t="shared" ref="C77:C85" si="4">C76+1</f>
        <v>2</v>
      </c>
      <c r="D77" s="488"/>
      <c r="E77" s="497"/>
      <c r="F77" s="489" t="s">
        <v>823</v>
      </c>
      <c r="G77" s="499"/>
      <c r="H77" s="500"/>
      <c r="I77" s="501"/>
      <c r="K77" s="502"/>
      <c r="L77" s="502"/>
      <c r="M77" s="502"/>
      <c r="N77" s="502"/>
      <c r="O77" s="502"/>
      <c r="P77" s="502"/>
      <c r="Q77" s="502"/>
    </row>
    <row r="78" spans="1:17" ht="12.75" outlineLevel="2" x14ac:dyDescent="0.35">
      <c r="A78" s="496"/>
      <c r="B78" s="496"/>
      <c r="C78" s="501">
        <f t="shared" si="4"/>
        <v>3</v>
      </c>
      <c r="D78" s="488"/>
      <c r="E78" s="497"/>
      <c r="F78" s="489" t="s">
        <v>823</v>
      </c>
      <c r="G78" s="499"/>
      <c r="H78" s="500"/>
      <c r="I78" s="501"/>
      <c r="K78" s="502"/>
      <c r="L78" s="502"/>
      <c r="M78" s="502"/>
      <c r="N78" s="502"/>
      <c r="O78" s="502"/>
      <c r="P78" s="502"/>
      <c r="Q78" s="502"/>
    </row>
    <row r="79" spans="1:17" ht="12.75" outlineLevel="2" x14ac:dyDescent="0.35">
      <c r="A79" s="496"/>
      <c r="B79" s="496"/>
      <c r="C79" s="501">
        <f t="shared" si="4"/>
        <v>4</v>
      </c>
      <c r="D79" s="488"/>
      <c r="E79" s="497"/>
      <c r="F79" s="489" t="s">
        <v>823</v>
      </c>
      <c r="G79" s="499"/>
      <c r="H79" s="500"/>
      <c r="I79" s="501"/>
      <c r="K79" s="502"/>
      <c r="L79" s="502"/>
      <c r="M79" s="502"/>
      <c r="N79" s="502"/>
      <c r="O79" s="502"/>
      <c r="P79" s="502"/>
      <c r="Q79" s="502"/>
    </row>
    <row r="80" spans="1:17" ht="12.75" outlineLevel="2" x14ac:dyDescent="0.35">
      <c r="A80" s="496"/>
      <c r="B80" s="496"/>
      <c r="C80" s="501">
        <f t="shared" si="4"/>
        <v>5</v>
      </c>
      <c r="D80" s="488"/>
      <c r="E80" s="497"/>
      <c r="F80" s="489" t="s">
        <v>823</v>
      </c>
      <c r="G80" s="499"/>
      <c r="H80" s="500"/>
      <c r="I80" s="501"/>
      <c r="K80" s="502"/>
      <c r="L80" s="502"/>
      <c r="M80" s="502"/>
      <c r="N80" s="502"/>
      <c r="O80" s="502"/>
      <c r="P80" s="502"/>
      <c r="Q80" s="502"/>
    </row>
    <row r="81" spans="1:17" ht="12.75" outlineLevel="2" x14ac:dyDescent="0.35">
      <c r="A81" s="496"/>
      <c r="B81" s="496"/>
      <c r="C81" s="501">
        <f t="shared" si="4"/>
        <v>6</v>
      </c>
      <c r="D81" s="488"/>
      <c r="E81" s="497"/>
      <c r="F81" s="489" t="s">
        <v>823</v>
      </c>
      <c r="G81" s="499"/>
      <c r="H81" s="500"/>
      <c r="I81" s="501"/>
      <c r="K81" s="502"/>
      <c r="L81" s="502"/>
      <c r="M81" s="502"/>
      <c r="N81" s="502"/>
      <c r="O81" s="502"/>
      <c r="P81" s="502"/>
      <c r="Q81" s="502"/>
    </row>
    <row r="82" spans="1:17" ht="12.75" outlineLevel="2" x14ac:dyDescent="0.35">
      <c r="A82" s="496"/>
      <c r="B82" s="496"/>
      <c r="C82" s="501">
        <f t="shared" si="4"/>
        <v>7</v>
      </c>
      <c r="D82" s="488"/>
      <c r="E82" s="497"/>
      <c r="F82" s="489" t="s">
        <v>823</v>
      </c>
      <c r="G82" s="499"/>
      <c r="H82" s="500"/>
      <c r="I82" s="501"/>
      <c r="K82" s="502"/>
      <c r="L82" s="502"/>
      <c r="M82" s="502"/>
      <c r="N82" s="502"/>
      <c r="O82" s="502"/>
      <c r="P82" s="502"/>
      <c r="Q82" s="502"/>
    </row>
    <row r="83" spans="1:17" ht="12.75" outlineLevel="2" x14ac:dyDescent="0.35">
      <c r="A83" s="496"/>
      <c r="B83" s="496"/>
      <c r="C83" s="501">
        <f t="shared" si="4"/>
        <v>8</v>
      </c>
      <c r="D83" s="488"/>
      <c r="E83" s="497"/>
      <c r="F83" s="489" t="s">
        <v>823</v>
      </c>
      <c r="G83" s="499"/>
      <c r="H83" s="500"/>
      <c r="I83" s="501"/>
      <c r="K83" s="502"/>
      <c r="L83" s="502"/>
      <c r="M83" s="502"/>
      <c r="N83" s="502"/>
      <c r="O83" s="502"/>
      <c r="P83" s="502"/>
      <c r="Q83" s="502"/>
    </row>
    <row r="84" spans="1:17" ht="12.75" outlineLevel="2" x14ac:dyDescent="0.35">
      <c r="A84" s="496"/>
      <c r="B84" s="496"/>
      <c r="C84" s="501">
        <f t="shared" si="4"/>
        <v>9</v>
      </c>
      <c r="D84" s="488"/>
      <c r="E84" s="497"/>
      <c r="F84" s="489" t="s">
        <v>823</v>
      </c>
      <c r="G84" s="499"/>
      <c r="H84" s="500"/>
      <c r="I84" s="501"/>
      <c r="K84" s="502"/>
      <c r="L84" s="502"/>
      <c r="M84" s="502"/>
      <c r="N84" s="502"/>
      <c r="O84" s="502"/>
      <c r="P84" s="502"/>
      <c r="Q84" s="502"/>
    </row>
    <row r="85" spans="1:17" ht="12.75" outlineLevel="2" x14ac:dyDescent="0.35">
      <c r="A85" s="496"/>
      <c r="B85" s="496"/>
      <c r="C85" s="501">
        <f t="shared" si="4"/>
        <v>10</v>
      </c>
      <c r="D85" s="488"/>
      <c r="E85" s="497"/>
      <c r="F85" s="489" t="s">
        <v>823</v>
      </c>
      <c r="G85" s="499"/>
      <c r="H85" s="500"/>
      <c r="I85" s="501"/>
      <c r="K85" s="502"/>
      <c r="L85" s="502"/>
      <c r="M85" s="502"/>
      <c r="N85" s="502"/>
      <c r="O85" s="502"/>
      <c r="P85" s="502"/>
      <c r="Q85" s="502"/>
    </row>
    <row r="86" spans="1:17" ht="12.75" outlineLevel="2" x14ac:dyDescent="0.35">
      <c r="A86" s="496"/>
      <c r="B86" s="496"/>
      <c r="C86" s="501"/>
      <c r="E86" s="497"/>
      <c r="F86" s="497"/>
      <c r="G86" s="499"/>
      <c r="H86" s="497"/>
      <c r="I86" s="501"/>
    </row>
    <row r="87" spans="1:17" ht="12.75" outlineLevel="1" x14ac:dyDescent="0.35">
      <c r="A87" s="496"/>
      <c r="B87" s="496"/>
      <c r="C87" s="501"/>
      <c r="E87" s="497"/>
      <c r="F87" s="497"/>
      <c r="G87" s="508"/>
      <c r="H87" s="509"/>
      <c r="I87" s="501"/>
    </row>
    <row r="88" spans="1:17" s="483" customFormat="1" outlineLevel="1" x14ac:dyDescent="0.4">
      <c r="A88" s="482"/>
      <c r="B88" s="482">
        <f>MAX($A$7:B87)+0.1</f>
        <v>3.2</v>
      </c>
      <c r="C88" s="482" t="s">
        <v>604</v>
      </c>
      <c r="D88" s="482"/>
      <c r="E88" s="482"/>
      <c r="F88" s="482"/>
      <c r="G88" s="482"/>
      <c r="H88" s="482"/>
      <c r="I88" s="482"/>
      <c r="J88" s="482"/>
      <c r="K88" s="482"/>
      <c r="L88" s="482"/>
      <c r="M88" s="482"/>
      <c r="N88" s="482"/>
      <c r="O88" s="482"/>
      <c r="P88" s="482"/>
      <c r="Q88" s="482"/>
    </row>
    <row r="89" spans="1:17" ht="12.75" outlineLevel="2" x14ac:dyDescent="0.35">
      <c r="A89" s="496"/>
      <c r="B89" s="496"/>
      <c r="C89" s="501"/>
      <c r="E89" s="497"/>
      <c r="F89" s="497"/>
      <c r="G89" s="499"/>
      <c r="H89" s="496"/>
      <c r="I89" s="501"/>
    </row>
    <row r="90" spans="1:17" ht="12.75" outlineLevel="2" x14ac:dyDescent="0.35">
      <c r="A90" s="496"/>
      <c r="B90" s="496"/>
      <c r="C90" s="501"/>
      <c r="D90" s="486" t="s">
        <v>605</v>
      </c>
      <c r="E90" s="497"/>
      <c r="F90" s="489" t="s">
        <v>68</v>
      </c>
      <c r="G90" s="488">
        <v>30</v>
      </c>
      <c r="H90" s="496"/>
      <c r="I90" s="501"/>
      <c r="J90" s="481"/>
    </row>
    <row r="91" spans="1:17" ht="12.75" outlineLevel="2" x14ac:dyDescent="0.35">
      <c r="A91" s="496"/>
      <c r="B91" s="496"/>
      <c r="C91" s="501"/>
      <c r="D91" s="486" t="s">
        <v>606</v>
      </c>
      <c r="E91" s="497"/>
      <c r="F91" s="489" t="s">
        <v>823</v>
      </c>
      <c r="G91" s="504"/>
      <c r="H91" s="496"/>
      <c r="I91" s="501"/>
      <c r="J91" s="502">
        <v>0</v>
      </c>
    </row>
    <row r="92" spans="1:17" outlineLevel="2" x14ac:dyDescent="0.4">
      <c r="H92" s="481"/>
    </row>
    <row r="93" spans="1:17" outlineLevel="1" x14ac:dyDescent="0.4">
      <c r="H93" s="481"/>
    </row>
    <row r="94" spans="1:17" s="483" customFormat="1" outlineLevel="1" x14ac:dyDescent="0.4">
      <c r="A94" s="482"/>
      <c r="B94" s="482">
        <f>MAX($A$7:B93)+0.1</f>
        <v>3.3000000000000003</v>
      </c>
      <c r="C94" s="482" t="s">
        <v>607</v>
      </c>
      <c r="D94" s="482"/>
      <c r="E94" s="482"/>
      <c r="F94" s="482"/>
      <c r="G94" s="482"/>
      <c r="H94" s="482"/>
      <c r="I94" s="482"/>
      <c r="J94" s="482"/>
      <c r="K94" s="482"/>
      <c r="L94" s="482"/>
      <c r="M94" s="482"/>
      <c r="N94" s="482"/>
      <c r="O94" s="482"/>
      <c r="P94" s="482"/>
      <c r="Q94" s="482"/>
    </row>
    <row r="95" spans="1:17" ht="12.75" outlineLevel="2" x14ac:dyDescent="0.35">
      <c r="A95" s="496"/>
      <c r="B95" s="496"/>
      <c r="C95" s="501"/>
      <c r="E95" s="497"/>
      <c r="F95" s="497"/>
      <c r="G95" s="499"/>
      <c r="H95" s="496"/>
      <c r="I95" s="501"/>
    </row>
    <row r="96" spans="1:17" ht="12.75" outlineLevel="2" x14ac:dyDescent="0.35">
      <c r="A96" s="496"/>
      <c r="B96" s="496"/>
      <c r="C96" s="501"/>
      <c r="D96" s="486" t="s">
        <v>608</v>
      </c>
      <c r="E96" s="497"/>
      <c r="F96" s="489" t="s">
        <v>21</v>
      </c>
      <c r="G96" s="507">
        <v>0</v>
      </c>
      <c r="H96" s="496"/>
      <c r="I96" s="501"/>
      <c r="J96" s="481"/>
    </row>
    <row r="97" spans="1:17" ht="12.75" outlineLevel="2" x14ac:dyDescent="0.35">
      <c r="A97" s="496"/>
      <c r="B97" s="496"/>
      <c r="C97" s="501"/>
      <c r="D97" s="486" t="s">
        <v>609</v>
      </c>
      <c r="E97" s="497"/>
      <c r="F97" s="489" t="s">
        <v>68</v>
      </c>
      <c r="G97" s="488">
        <v>0</v>
      </c>
      <c r="H97" s="496"/>
      <c r="I97" s="500"/>
      <c r="J97" s="481"/>
    </row>
    <row r="98" spans="1:17" ht="12.75" outlineLevel="2" x14ac:dyDescent="0.35">
      <c r="A98" s="496"/>
      <c r="B98" s="496"/>
      <c r="C98" s="501"/>
      <c r="D98" s="486" t="s">
        <v>610</v>
      </c>
      <c r="E98" s="497"/>
      <c r="F98" s="489" t="s">
        <v>823</v>
      </c>
      <c r="G98" s="504"/>
      <c r="H98" s="496"/>
      <c r="I98" s="500"/>
      <c r="J98" s="502">
        <v>0</v>
      </c>
    </row>
    <row r="99" spans="1:17" ht="12.75" outlineLevel="2" x14ac:dyDescent="0.35">
      <c r="A99" s="496"/>
      <c r="B99" s="496"/>
      <c r="C99" s="501"/>
      <c r="E99" s="497"/>
      <c r="F99" s="497"/>
      <c r="G99" s="504"/>
      <c r="H99" s="496"/>
      <c r="I99" s="500"/>
      <c r="J99" s="481"/>
    </row>
    <row r="100" spans="1:17" ht="12.75" outlineLevel="1" x14ac:dyDescent="0.35">
      <c r="A100" s="496"/>
      <c r="B100" s="496"/>
      <c r="C100" s="501"/>
      <c r="E100" s="497"/>
      <c r="F100" s="497"/>
      <c r="G100" s="499"/>
      <c r="H100" s="501"/>
      <c r="I100" s="501"/>
    </row>
    <row r="101" spans="1:17" s="483" customFormat="1" outlineLevel="1" x14ac:dyDescent="0.4">
      <c r="A101" s="482"/>
      <c r="B101" s="482">
        <f>MAX($A$7:B100)+0.1</f>
        <v>3.4000000000000004</v>
      </c>
      <c r="C101" s="482" t="s">
        <v>611</v>
      </c>
      <c r="D101" s="482"/>
      <c r="E101" s="482"/>
      <c r="F101" s="482"/>
      <c r="G101" s="482"/>
      <c r="H101" s="482"/>
      <c r="I101" s="482"/>
      <c r="J101" s="482"/>
      <c r="K101" s="482"/>
      <c r="L101" s="482"/>
      <c r="M101" s="482"/>
      <c r="N101" s="482"/>
      <c r="O101" s="482"/>
      <c r="P101" s="482"/>
      <c r="Q101" s="482"/>
    </row>
    <row r="102" spans="1:17" outlineLevel="2" x14ac:dyDescent="0.4">
      <c r="D102" s="492" t="s">
        <v>612</v>
      </c>
      <c r="G102" s="490"/>
      <c r="J102" s="510"/>
    </row>
    <row r="103" spans="1:17" ht="12.75" outlineLevel="2" x14ac:dyDescent="0.35">
      <c r="A103" s="496"/>
      <c r="B103" s="496"/>
      <c r="C103" s="501">
        <v>1</v>
      </c>
      <c r="D103" s="488"/>
      <c r="E103" s="497"/>
      <c r="F103" s="489" t="s">
        <v>824</v>
      </c>
      <c r="G103" s="499"/>
      <c r="H103" s="500"/>
      <c r="I103" s="501"/>
      <c r="J103" s="502"/>
      <c r="K103" s="481"/>
      <c r="L103" s="481"/>
      <c r="M103" s="481"/>
      <c r="N103" s="481"/>
      <c r="O103" s="481"/>
      <c r="P103" s="481"/>
      <c r="Q103" s="481"/>
    </row>
    <row r="104" spans="1:17" ht="12.75" outlineLevel="2" x14ac:dyDescent="0.35">
      <c r="A104" s="496"/>
      <c r="B104" s="496"/>
      <c r="C104" s="501">
        <f>C103+1</f>
        <v>2</v>
      </c>
      <c r="D104" s="488"/>
      <c r="E104" s="497"/>
      <c r="F104" s="489" t="s">
        <v>824</v>
      </c>
      <c r="G104" s="499"/>
      <c r="H104" s="500"/>
      <c r="I104" s="501"/>
      <c r="J104" s="502"/>
      <c r="K104" s="481"/>
      <c r="L104" s="481"/>
      <c r="M104" s="481"/>
      <c r="N104" s="481"/>
      <c r="O104" s="481"/>
      <c r="P104" s="481"/>
      <c r="Q104" s="481"/>
    </row>
    <row r="105" spans="1:17" ht="12.75" outlineLevel="2" x14ac:dyDescent="0.35">
      <c r="A105" s="496"/>
      <c r="B105" s="496"/>
      <c r="C105" s="501">
        <f>C104+1</f>
        <v>3</v>
      </c>
      <c r="D105" s="488"/>
      <c r="E105" s="497"/>
      <c r="F105" s="489" t="s">
        <v>824</v>
      </c>
      <c r="G105" s="499"/>
      <c r="H105" s="500"/>
      <c r="I105" s="501"/>
      <c r="J105" s="502"/>
      <c r="K105" s="481"/>
      <c r="L105" s="481"/>
      <c r="M105" s="481"/>
      <c r="N105" s="481"/>
      <c r="O105" s="481"/>
      <c r="P105" s="481"/>
      <c r="Q105" s="481"/>
    </row>
    <row r="106" spans="1:17" ht="12.75" outlineLevel="2" x14ac:dyDescent="0.35">
      <c r="A106" s="496"/>
      <c r="B106" s="496"/>
      <c r="C106" s="501">
        <f>C105+1</f>
        <v>4</v>
      </c>
      <c r="D106" s="488"/>
      <c r="E106" s="497"/>
      <c r="F106" s="489" t="s">
        <v>824</v>
      </c>
      <c r="G106" s="499"/>
      <c r="H106" s="500"/>
      <c r="I106" s="501"/>
      <c r="J106" s="502"/>
      <c r="K106" s="481"/>
      <c r="L106" s="481"/>
      <c r="M106" s="481"/>
      <c r="N106" s="481"/>
      <c r="O106" s="481"/>
      <c r="P106" s="481"/>
      <c r="Q106" s="481"/>
    </row>
    <row r="107" spans="1:17" ht="12.75" outlineLevel="2" x14ac:dyDescent="0.35">
      <c r="A107" s="496"/>
      <c r="B107" s="496"/>
      <c r="C107" s="501">
        <f>C106+1</f>
        <v>5</v>
      </c>
      <c r="D107" s="488"/>
      <c r="E107" s="497"/>
      <c r="F107" s="489" t="s">
        <v>824</v>
      </c>
      <c r="G107" s="499"/>
      <c r="H107" s="500"/>
      <c r="I107" s="501"/>
      <c r="J107" s="502"/>
      <c r="K107" s="481"/>
      <c r="L107" s="481"/>
      <c r="M107" s="481"/>
      <c r="N107" s="481"/>
      <c r="O107" s="481"/>
      <c r="P107" s="481"/>
      <c r="Q107" s="481"/>
    </row>
    <row r="108" spans="1:17" ht="12.75" outlineLevel="2" x14ac:dyDescent="0.35">
      <c r="A108" s="496"/>
      <c r="B108" s="496"/>
      <c r="C108" s="501"/>
      <c r="E108" s="497"/>
      <c r="F108" s="497"/>
      <c r="G108" s="499"/>
      <c r="H108" s="497"/>
      <c r="I108" s="501"/>
    </row>
    <row r="109" spans="1:17" ht="12.75" outlineLevel="1" x14ac:dyDescent="0.35">
      <c r="A109" s="496"/>
      <c r="B109" s="496"/>
      <c r="C109" s="501"/>
      <c r="E109" s="497"/>
      <c r="F109" s="497"/>
      <c r="G109" s="499"/>
      <c r="H109" s="497"/>
      <c r="I109" s="501"/>
    </row>
    <row r="110" spans="1:17" s="483" customFormat="1" outlineLevel="1" x14ac:dyDescent="0.4">
      <c r="A110" s="482"/>
      <c r="B110" s="482">
        <f>MAX($A$7:B109)+0.1</f>
        <v>3.5000000000000004</v>
      </c>
      <c r="C110" s="482" t="s">
        <v>613</v>
      </c>
      <c r="D110" s="482"/>
      <c r="E110" s="482"/>
      <c r="F110" s="482"/>
      <c r="G110" s="482"/>
      <c r="H110" s="482"/>
      <c r="I110" s="482"/>
      <c r="J110" s="482"/>
      <c r="K110" s="482"/>
      <c r="L110" s="482"/>
      <c r="M110" s="482"/>
      <c r="N110" s="482"/>
      <c r="O110" s="482"/>
      <c r="P110" s="482"/>
      <c r="Q110" s="482"/>
    </row>
    <row r="111" spans="1:17" outlineLevel="2" x14ac:dyDescent="0.4">
      <c r="D111" s="492" t="s">
        <v>612</v>
      </c>
      <c r="G111" s="494"/>
      <c r="H111" s="485"/>
    </row>
    <row r="112" spans="1:17" ht="12.75" outlineLevel="2" x14ac:dyDescent="0.35">
      <c r="A112" s="496"/>
      <c r="B112" s="496"/>
      <c r="C112" s="501">
        <f>C111+1</f>
        <v>1</v>
      </c>
      <c r="D112" s="511" t="str">
        <f>IF(D103=0,"N/A",D103)</f>
        <v>N/A</v>
      </c>
      <c r="E112" s="497"/>
      <c r="F112" s="489" t="s">
        <v>614</v>
      </c>
      <c r="G112" s="499"/>
      <c r="H112" s="501"/>
      <c r="I112" s="501"/>
      <c r="K112" s="488"/>
      <c r="L112" s="488"/>
      <c r="M112" s="488"/>
      <c r="N112" s="488"/>
      <c r="O112" s="488"/>
      <c r="P112" s="488"/>
      <c r="Q112" s="488"/>
    </row>
    <row r="113" spans="1:17" ht="12.75" outlineLevel="2" x14ac:dyDescent="0.35">
      <c r="A113" s="496"/>
      <c r="B113" s="496"/>
      <c r="C113" s="501">
        <f>C112+1</f>
        <v>2</v>
      </c>
      <c r="D113" s="511" t="str">
        <f>IF(D104=0,"N/A",D104)</f>
        <v>N/A</v>
      </c>
      <c r="E113" s="497"/>
      <c r="F113" s="489" t="s">
        <v>614</v>
      </c>
      <c r="G113" s="499"/>
      <c r="H113" s="501"/>
      <c r="I113" s="501"/>
      <c r="K113" s="488"/>
      <c r="L113" s="488"/>
      <c r="M113" s="488"/>
      <c r="N113" s="488"/>
      <c r="O113" s="488"/>
      <c r="P113" s="488"/>
      <c r="Q113" s="488"/>
    </row>
    <row r="114" spans="1:17" ht="12.75" outlineLevel="2" x14ac:dyDescent="0.35">
      <c r="A114" s="496"/>
      <c r="B114" s="496"/>
      <c r="C114" s="501">
        <f>C113+1</f>
        <v>3</v>
      </c>
      <c r="D114" s="511" t="str">
        <f>IF(D105=0,"N/A",D105)</f>
        <v>N/A</v>
      </c>
      <c r="E114" s="497"/>
      <c r="F114" s="489" t="s">
        <v>614</v>
      </c>
      <c r="G114" s="499"/>
      <c r="H114" s="501"/>
      <c r="I114" s="501"/>
      <c r="K114" s="488"/>
      <c r="L114" s="488"/>
      <c r="M114" s="488"/>
      <c r="N114" s="488"/>
      <c r="O114" s="488"/>
      <c r="P114" s="488"/>
      <c r="Q114" s="488"/>
    </row>
    <row r="115" spans="1:17" ht="12.75" outlineLevel="2" x14ac:dyDescent="0.35">
      <c r="A115" s="496"/>
      <c r="B115" s="496"/>
      <c r="C115" s="501">
        <f>C114+1</f>
        <v>4</v>
      </c>
      <c r="D115" s="511" t="str">
        <f>IF(D106=0,"N/A",D106)</f>
        <v>N/A</v>
      </c>
      <c r="E115" s="497"/>
      <c r="F115" s="489" t="s">
        <v>614</v>
      </c>
      <c r="G115" s="499"/>
      <c r="H115" s="501"/>
      <c r="I115" s="501"/>
      <c r="K115" s="488"/>
      <c r="L115" s="488"/>
      <c r="M115" s="488"/>
      <c r="N115" s="488"/>
      <c r="O115" s="488"/>
      <c r="P115" s="488"/>
      <c r="Q115" s="488"/>
    </row>
    <row r="116" spans="1:17" ht="12.75" outlineLevel="2" x14ac:dyDescent="0.35">
      <c r="A116" s="496"/>
      <c r="B116" s="496"/>
      <c r="C116" s="501">
        <f>C115+1</f>
        <v>5</v>
      </c>
      <c r="D116" s="511" t="str">
        <f>IF(D107=0,"N/A",D107)</f>
        <v>N/A</v>
      </c>
      <c r="E116" s="497"/>
      <c r="F116" s="489" t="s">
        <v>614</v>
      </c>
      <c r="G116" s="499"/>
      <c r="H116" s="501"/>
      <c r="I116" s="501"/>
      <c r="K116" s="488"/>
      <c r="L116" s="488"/>
      <c r="M116" s="488"/>
      <c r="N116" s="488"/>
      <c r="O116" s="488"/>
      <c r="P116" s="488"/>
      <c r="Q116" s="488"/>
    </row>
    <row r="117" spans="1:17" outlineLevel="2" x14ac:dyDescent="0.4">
      <c r="A117" s="496"/>
      <c r="B117" s="496"/>
      <c r="C117" s="501"/>
      <c r="D117" s="512" t="s">
        <v>615</v>
      </c>
      <c r="E117" s="487"/>
      <c r="F117" s="489" t="s">
        <v>614</v>
      </c>
      <c r="G117" s="499"/>
      <c r="H117" s="497"/>
      <c r="I117" s="501"/>
      <c r="K117" s="513">
        <f t="shared" ref="K117:Q117" si="5">SUM(K112:K116)</f>
        <v>0</v>
      </c>
      <c r="L117" s="513">
        <f t="shared" si="5"/>
        <v>0</v>
      </c>
      <c r="M117" s="513">
        <f t="shared" si="5"/>
        <v>0</v>
      </c>
      <c r="N117" s="513">
        <f t="shared" si="5"/>
        <v>0</v>
      </c>
      <c r="O117" s="513">
        <f t="shared" si="5"/>
        <v>0</v>
      </c>
      <c r="P117" s="513">
        <f t="shared" si="5"/>
        <v>0</v>
      </c>
      <c r="Q117" s="513">
        <f t="shared" si="5"/>
        <v>0</v>
      </c>
    </row>
    <row r="118" spans="1:17" ht="12.75" outlineLevel="2" x14ac:dyDescent="0.35">
      <c r="A118" s="496"/>
      <c r="B118" s="496"/>
      <c r="C118" s="501"/>
      <c r="E118" s="497"/>
      <c r="F118" s="497"/>
      <c r="G118" s="499"/>
      <c r="H118" s="497"/>
      <c r="I118" s="501"/>
    </row>
    <row r="119" spans="1:17" ht="12.75" outlineLevel="1" x14ac:dyDescent="0.35">
      <c r="A119" s="496"/>
      <c r="B119" s="496"/>
      <c r="C119" s="501"/>
      <c r="E119" s="497"/>
      <c r="F119" s="497"/>
      <c r="G119" s="499"/>
      <c r="H119" s="497"/>
      <c r="I119" s="501"/>
    </row>
    <row r="120" spans="1:17" s="483" customFormat="1" outlineLevel="1" x14ac:dyDescent="0.4">
      <c r="A120" s="482"/>
      <c r="B120" s="482">
        <f>MAX($A$7:B119)+0.1</f>
        <v>3.6000000000000005</v>
      </c>
      <c r="C120" s="482" t="s">
        <v>616</v>
      </c>
      <c r="D120" s="482"/>
      <c r="E120" s="482"/>
      <c r="F120" s="482"/>
      <c r="G120" s="482"/>
      <c r="H120" s="482"/>
      <c r="I120" s="482"/>
      <c r="J120" s="482"/>
      <c r="K120" s="482"/>
      <c r="L120" s="482"/>
      <c r="M120" s="482"/>
      <c r="N120" s="482"/>
      <c r="O120" s="482"/>
      <c r="P120" s="482"/>
      <c r="Q120" s="482"/>
    </row>
    <row r="121" spans="1:17" ht="12.75" outlineLevel="2" x14ac:dyDescent="0.35">
      <c r="A121" s="496"/>
      <c r="B121" s="496"/>
      <c r="C121" s="501"/>
      <c r="E121" s="497"/>
      <c r="F121" s="497"/>
      <c r="G121" s="499"/>
      <c r="H121" s="497"/>
      <c r="I121" s="501"/>
    </row>
    <row r="122" spans="1:17" ht="12.75" outlineLevel="2" x14ac:dyDescent="0.35">
      <c r="A122" s="496"/>
      <c r="B122" s="496"/>
      <c r="C122" s="496"/>
      <c r="D122" s="486" t="s">
        <v>617</v>
      </c>
      <c r="F122" s="489" t="s">
        <v>614</v>
      </c>
      <c r="K122" s="488"/>
      <c r="L122" s="488"/>
      <c r="M122" s="488"/>
      <c r="N122" s="488"/>
      <c r="O122" s="488"/>
      <c r="P122" s="488"/>
      <c r="Q122" s="488"/>
    </row>
    <row r="123" spans="1:17" ht="12.75" outlineLevel="2" x14ac:dyDescent="0.35">
      <c r="A123" s="496"/>
      <c r="B123" s="496"/>
      <c r="C123" s="496"/>
      <c r="D123" s="486" t="s">
        <v>618</v>
      </c>
      <c r="F123" s="489" t="s">
        <v>614</v>
      </c>
      <c r="K123" s="488"/>
      <c r="L123" s="488"/>
      <c r="M123" s="488"/>
      <c r="N123" s="488"/>
      <c r="O123" s="488"/>
      <c r="P123" s="488"/>
      <c r="Q123" s="488"/>
    </row>
    <row r="124" spans="1:17" ht="12.75" outlineLevel="2" x14ac:dyDescent="0.35">
      <c r="A124" s="496"/>
      <c r="B124" s="496"/>
      <c r="C124" s="496"/>
      <c r="D124" s="486" t="s">
        <v>619</v>
      </c>
      <c r="F124" s="489" t="s">
        <v>614</v>
      </c>
      <c r="K124" s="488"/>
      <c r="L124" s="488"/>
      <c r="M124" s="488"/>
      <c r="N124" s="488"/>
      <c r="O124" s="488"/>
      <c r="P124" s="488"/>
      <c r="Q124" s="488"/>
    </row>
    <row r="125" spans="1:17" ht="12.75" outlineLevel="2" x14ac:dyDescent="0.35">
      <c r="A125" s="496"/>
      <c r="B125" s="496"/>
      <c r="C125" s="496"/>
      <c r="D125" s="486" t="s">
        <v>620</v>
      </c>
      <c r="F125" s="489" t="s">
        <v>614</v>
      </c>
      <c r="K125" s="488"/>
      <c r="L125" s="488"/>
      <c r="M125" s="488"/>
      <c r="N125" s="488"/>
      <c r="O125" s="488"/>
      <c r="P125" s="488"/>
      <c r="Q125" s="488"/>
    </row>
    <row r="126" spans="1:17" outlineLevel="2" x14ac:dyDescent="0.4">
      <c r="A126" s="496"/>
      <c r="B126" s="496"/>
      <c r="C126" s="496"/>
      <c r="D126" s="512" t="s">
        <v>615</v>
      </c>
      <c r="E126" s="514" t="s">
        <v>734</v>
      </c>
      <c r="F126" s="489" t="s">
        <v>614</v>
      </c>
      <c r="K126" s="513">
        <f t="shared" ref="K126:Q126" si="6">SUM(K122:K125)</f>
        <v>0</v>
      </c>
      <c r="L126" s="513">
        <f t="shared" si="6"/>
        <v>0</v>
      </c>
      <c r="M126" s="513">
        <f t="shared" si="6"/>
        <v>0</v>
      </c>
      <c r="N126" s="513">
        <f t="shared" si="6"/>
        <v>0</v>
      </c>
      <c r="O126" s="513">
        <f t="shared" si="6"/>
        <v>0</v>
      </c>
      <c r="P126" s="513">
        <f t="shared" si="6"/>
        <v>0</v>
      </c>
      <c r="Q126" s="513">
        <f t="shared" si="6"/>
        <v>0</v>
      </c>
    </row>
    <row r="127" spans="1:17" ht="12.75" outlineLevel="2" x14ac:dyDescent="0.35">
      <c r="A127" s="496"/>
      <c r="B127" s="496"/>
      <c r="C127" s="501"/>
      <c r="E127" s="497"/>
      <c r="F127" s="497"/>
      <c r="G127" s="499"/>
      <c r="H127" s="497"/>
      <c r="I127" s="501"/>
    </row>
    <row r="128" spans="1:17" ht="12.75" outlineLevel="1" x14ac:dyDescent="0.35">
      <c r="A128" s="496"/>
      <c r="B128" s="496"/>
      <c r="C128" s="501"/>
      <c r="E128" s="497"/>
      <c r="F128" s="497"/>
      <c r="G128" s="499"/>
      <c r="H128" s="497"/>
      <c r="I128" s="501"/>
    </row>
    <row r="129" spans="1:17" s="483" customFormat="1" outlineLevel="1" x14ac:dyDescent="0.4">
      <c r="A129" s="482"/>
      <c r="B129" s="482">
        <f>MAX($A$7:B128)+0.1</f>
        <v>3.7000000000000006</v>
      </c>
      <c r="C129" s="482" t="s">
        <v>621</v>
      </c>
      <c r="D129" s="482"/>
      <c r="E129" s="482"/>
      <c r="F129" s="482"/>
      <c r="G129" s="482"/>
      <c r="H129" s="482"/>
      <c r="I129" s="482"/>
      <c r="J129" s="482"/>
      <c r="K129" s="482"/>
      <c r="L129" s="482"/>
      <c r="M129" s="482"/>
      <c r="N129" s="482"/>
      <c r="O129" s="482"/>
      <c r="P129" s="482"/>
      <c r="Q129" s="482"/>
    </row>
    <row r="130" spans="1:17" outlineLevel="2" x14ac:dyDescent="0.4">
      <c r="D130" s="492" t="s">
        <v>612</v>
      </c>
      <c r="G130" s="494"/>
      <c r="H130" s="485"/>
    </row>
    <row r="131" spans="1:17" ht="12.75" outlineLevel="2" x14ac:dyDescent="0.35">
      <c r="A131" s="496"/>
      <c r="B131" s="496"/>
      <c r="C131" s="501">
        <f>C130+1</f>
        <v>1</v>
      </c>
      <c r="D131" s="511" t="str">
        <f>IF(D112=0,"N/A",D112)</f>
        <v>N/A</v>
      </c>
      <c r="E131" s="497"/>
      <c r="F131" s="489" t="s">
        <v>622</v>
      </c>
      <c r="G131" s="499"/>
      <c r="H131" s="501"/>
      <c r="I131" s="501"/>
      <c r="K131" s="488"/>
      <c r="L131" s="488"/>
      <c r="M131" s="488"/>
      <c r="N131" s="488"/>
      <c r="O131" s="488"/>
      <c r="P131" s="488"/>
      <c r="Q131" s="488"/>
    </row>
    <row r="132" spans="1:17" ht="12.75" outlineLevel="2" x14ac:dyDescent="0.35">
      <c r="A132" s="496"/>
      <c r="B132" s="496"/>
      <c r="C132" s="501">
        <f>C131+1</f>
        <v>2</v>
      </c>
      <c r="D132" s="511" t="str">
        <f>IF(D113=0,"N/A",D113)</f>
        <v>N/A</v>
      </c>
      <c r="E132" s="497"/>
      <c r="F132" s="489" t="s">
        <v>622</v>
      </c>
      <c r="G132" s="499"/>
      <c r="H132" s="501"/>
      <c r="I132" s="501"/>
      <c r="K132" s="488"/>
      <c r="L132" s="488"/>
      <c r="M132" s="488"/>
      <c r="N132" s="488"/>
      <c r="O132" s="488"/>
      <c r="P132" s="488"/>
      <c r="Q132" s="488"/>
    </row>
    <row r="133" spans="1:17" ht="12.75" outlineLevel="2" x14ac:dyDescent="0.35">
      <c r="A133" s="496"/>
      <c r="B133" s="496"/>
      <c r="C133" s="501">
        <f>C132+1</f>
        <v>3</v>
      </c>
      <c r="D133" s="511" t="str">
        <f>IF(D114=0,"N/A",D114)</f>
        <v>N/A</v>
      </c>
      <c r="E133" s="497"/>
      <c r="F133" s="489" t="s">
        <v>622</v>
      </c>
      <c r="G133" s="499"/>
      <c r="H133" s="501"/>
      <c r="I133" s="501"/>
      <c r="K133" s="488"/>
      <c r="L133" s="488"/>
      <c r="M133" s="488"/>
      <c r="N133" s="488"/>
      <c r="O133" s="488"/>
      <c r="P133" s="488"/>
      <c r="Q133" s="488"/>
    </row>
    <row r="134" spans="1:17" ht="12.75" outlineLevel="2" x14ac:dyDescent="0.35">
      <c r="A134" s="496"/>
      <c r="B134" s="496"/>
      <c r="C134" s="501">
        <f>C133+1</f>
        <v>4</v>
      </c>
      <c r="D134" s="511" t="str">
        <f>IF(D115=0,"N/A",D115)</f>
        <v>N/A</v>
      </c>
      <c r="E134" s="497"/>
      <c r="F134" s="489" t="s">
        <v>622</v>
      </c>
      <c r="G134" s="499"/>
      <c r="H134" s="501"/>
      <c r="I134" s="501"/>
      <c r="K134" s="488"/>
      <c r="L134" s="488"/>
      <c r="M134" s="488"/>
      <c r="N134" s="488"/>
      <c r="O134" s="488"/>
      <c r="P134" s="488"/>
      <c r="Q134" s="488"/>
    </row>
    <row r="135" spans="1:17" ht="12.75" outlineLevel="2" x14ac:dyDescent="0.35">
      <c r="A135" s="496"/>
      <c r="B135" s="496"/>
      <c r="C135" s="501">
        <f>C134+1</f>
        <v>5</v>
      </c>
      <c r="D135" s="511" t="str">
        <f>IF(D116=0,"N/A",D116)</f>
        <v>N/A</v>
      </c>
      <c r="E135" s="497"/>
      <c r="F135" s="489" t="s">
        <v>622</v>
      </c>
      <c r="G135" s="499"/>
      <c r="H135" s="501"/>
      <c r="I135" s="501"/>
      <c r="K135" s="488"/>
      <c r="L135" s="488"/>
      <c r="M135" s="488"/>
      <c r="N135" s="488"/>
      <c r="O135" s="488"/>
      <c r="P135" s="488"/>
      <c r="Q135" s="488"/>
    </row>
    <row r="136" spans="1:17" ht="12.75" outlineLevel="2" x14ac:dyDescent="0.35">
      <c r="A136" s="496"/>
      <c r="B136" s="496"/>
      <c r="C136" s="501"/>
      <c r="E136" s="497"/>
      <c r="F136" s="497"/>
      <c r="G136" s="499"/>
      <c r="H136" s="501"/>
      <c r="I136" s="501"/>
    </row>
    <row r="137" spans="1:17" ht="12.75" outlineLevel="1" x14ac:dyDescent="0.35">
      <c r="A137" s="496"/>
      <c r="B137" s="496"/>
      <c r="C137" s="501"/>
      <c r="E137" s="497"/>
      <c r="F137" s="497"/>
      <c r="G137" s="499"/>
      <c r="H137" s="501"/>
      <c r="I137" s="501"/>
    </row>
    <row r="138" spans="1:17" ht="12.75" x14ac:dyDescent="0.35">
      <c r="A138" s="496"/>
      <c r="B138" s="496"/>
      <c r="C138" s="501"/>
      <c r="E138" s="497"/>
      <c r="F138" s="497"/>
      <c r="G138" s="499"/>
      <c r="H138" s="497"/>
      <c r="I138" s="501"/>
    </row>
    <row r="139" spans="1:17" s="476" customFormat="1" x14ac:dyDescent="0.4">
      <c r="A139" s="475">
        <f>MAX($A$7:A138)+1</f>
        <v>4</v>
      </c>
      <c r="B139" s="475" t="s">
        <v>623</v>
      </c>
      <c r="C139" s="475"/>
      <c r="D139" s="475"/>
      <c r="E139" s="475"/>
      <c r="F139" s="475"/>
      <c r="G139" s="475"/>
      <c r="H139" s="475"/>
      <c r="I139" s="475"/>
      <c r="J139" s="475"/>
      <c r="K139" s="475"/>
      <c r="L139" s="475"/>
      <c r="M139" s="475"/>
      <c r="N139" s="475"/>
      <c r="O139" s="475"/>
      <c r="P139" s="475"/>
      <c r="Q139" s="475"/>
    </row>
    <row r="140" spans="1:17" outlineLevel="1" x14ac:dyDescent="0.4"/>
    <row r="141" spans="1:17" s="483" customFormat="1" outlineLevel="1" x14ac:dyDescent="0.4">
      <c r="A141" s="482"/>
      <c r="B141" s="482">
        <f>MAX($A$7:B140)+0.1</f>
        <v>4.0999999999999996</v>
      </c>
      <c r="C141" s="482" t="s">
        <v>624</v>
      </c>
      <c r="D141" s="482"/>
      <c r="E141" s="482"/>
      <c r="F141" s="482"/>
      <c r="G141" s="482"/>
      <c r="H141" s="482"/>
      <c r="I141" s="482"/>
      <c r="J141" s="482"/>
      <c r="K141" s="482"/>
      <c r="L141" s="482"/>
      <c r="M141" s="482"/>
      <c r="N141" s="482"/>
      <c r="O141" s="482"/>
      <c r="P141" s="482"/>
      <c r="Q141" s="482"/>
    </row>
    <row r="142" spans="1:17" outlineLevel="2" x14ac:dyDescent="0.4">
      <c r="D142" s="492" t="s">
        <v>612</v>
      </c>
      <c r="G142" s="490"/>
    </row>
    <row r="143" spans="1:17" ht="12.75" outlineLevel="2" x14ac:dyDescent="0.35">
      <c r="A143" s="496"/>
      <c r="B143" s="496"/>
      <c r="C143" s="501">
        <v>1</v>
      </c>
      <c r="D143" s="488" t="s">
        <v>523</v>
      </c>
      <c r="E143" s="497"/>
      <c r="F143" s="489" t="s">
        <v>823</v>
      </c>
      <c r="G143" s="499"/>
      <c r="H143" s="500"/>
      <c r="I143" s="501"/>
      <c r="K143" s="502">
        <v>20000</v>
      </c>
      <c r="L143" s="502">
        <v>20400</v>
      </c>
      <c r="M143" s="502">
        <v>20808</v>
      </c>
      <c r="N143" s="502">
        <v>21224.16</v>
      </c>
      <c r="O143" s="502">
        <v>21648.643199999999</v>
      </c>
      <c r="P143" s="502">
        <v>22081.616063999998</v>
      </c>
      <c r="Q143" s="502">
        <v>22523.248385280003</v>
      </c>
    </row>
    <row r="144" spans="1:17" ht="12.75" outlineLevel="2" x14ac:dyDescent="0.35">
      <c r="A144" s="496"/>
      <c r="B144" s="496"/>
      <c r="C144" s="501">
        <f t="shared" ref="C144:C152" si="7">C143+1</f>
        <v>2</v>
      </c>
      <c r="D144" s="488" t="s">
        <v>791</v>
      </c>
      <c r="E144" s="497"/>
      <c r="F144" s="489" t="s">
        <v>823</v>
      </c>
      <c r="G144" s="499"/>
      <c r="H144" s="500"/>
      <c r="I144" s="501"/>
      <c r="K144" s="502">
        <v>12000</v>
      </c>
      <c r="L144" s="502">
        <v>12240</v>
      </c>
      <c r="M144" s="502">
        <v>12484.800000000001</v>
      </c>
      <c r="N144" s="502">
        <v>12734.496000000001</v>
      </c>
      <c r="O144" s="502">
        <v>12989.185920000002</v>
      </c>
      <c r="P144" s="502">
        <v>13248.969638400004</v>
      </c>
      <c r="Q144" s="502">
        <v>13513.949031168004</v>
      </c>
    </row>
    <row r="145" spans="1:17" ht="12.75" outlineLevel="2" x14ac:dyDescent="0.35">
      <c r="A145" s="496"/>
      <c r="B145" s="496"/>
      <c r="C145" s="501">
        <f t="shared" si="7"/>
        <v>3</v>
      </c>
      <c r="D145" s="488" t="s">
        <v>792</v>
      </c>
      <c r="E145" s="497"/>
      <c r="F145" s="489" t="s">
        <v>823</v>
      </c>
      <c r="G145" s="499"/>
      <c r="H145" s="500"/>
      <c r="I145" s="501"/>
      <c r="K145" s="502">
        <v>12000</v>
      </c>
      <c r="L145" s="502">
        <v>12240</v>
      </c>
      <c r="M145" s="502">
        <v>12484.800000000001</v>
      </c>
      <c r="N145" s="502">
        <v>12734.496000000001</v>
      </c>
      <c r="O145" s="502">
        <v>12989.185920000002</v>
      </c>
      <c r="P145" s="502">
        <v>13248.969638400004</v>
      </c>
      <c r="Q145" s="502">
        <v>13513.949031168004</v>
      </c>
    </row>
    <row r="146" spans="1:17" ht="12.75" outlineLevel="2" x14ac:dyDescent="0.35">
      <c r="A146" s="496"/>
      <c r="B146" s="496"/>
      <c r="C146" s="501">
        <f t="shared" si="7"/>
        <v>4</v>
      </c>
      <c r="D146" s="488" t="s">
        <v>830</v>
      </c>
      <c r="E146" s="497"/>
      <c r="F146" s="489" t="s">
        <v>823</v>
      </c>
      <c r="G146" s="499"/>
      <c r="H146" s="500"/>
      <c r="I146" s="501"/>
      <c r="K146" s="502">
        <v>6000</v>
      </c>
      <c r="L146" s="502">
        <v>6120</v>
      </c>
      <c r="M146" s="502">
        <v>6242.4000000000005</v>
      </c>
      <c r="N146" s="502">
        <v>6367.2480000000005</v>
      </c>
      <c r="O146" s="502">
        <v>6494.5929600000009</v>
      </c>
      <c r="P146" s="502">
        <v>6624.4848192000018</v>
      </c>
      <c r="Q146" s="502">
        <v>6756.9745155840019</v>
      </c>
    </row>
    <row r="147" spans="1:17" ht="12.75" outlineLevel="2" x14ac:dyDescent="0.35">
      <c r="A147" s="496"/>
      <c r="B147" s="496"/>
      <c r="C147" s="501">
        <f t="shared" si="7"/>
        <v>5</v>
      </c>
      <c r="D147" s="488" t="s">
        <v>522</v>
      </c>
      <c r="E147" s="497"/>
      <c r="F147" s="489" t="s">
        <v>823</v>
      </c>
      <c r="G147" s="499"/>
      <c r="H147" s="500"/>
      <c r="I147" s="501"/>
      <c r="K147" s="502">
        <v>50000</v>
      </c>
      <c r="L147" s="502">
        <v>51000</v>
      </c>
      <c r="M147" s="502">
        <v>52020</v>
      </c>
      <c r="N147" s="502">
        <v>53060.4</v>
      </c>
      <c r="O147" s="502">
        <v>54121.608</v>
      </c>
      <c r="P147" s="502">
        <v>55204.040160000004</v>
      </c>
      <c r="Q147" s="502">
        <v>56308.120963200003</v>
      </c>
    </row>
    <row r="148" spans="1:17" ht="12.75" outlineLevel="2" x14ac:dyDescent="0.35">
      <c r="A148" s="496"/>
      <c r="B148" s="496"/>
      <c r="C148" s="501">
        <f t="shared" si="7"/>
        <v>6</v>
      </c>
      <c r="D148" s="488" t="s">
        <v>787</v>
      </c>
      <c r="E148" s="497"/>
      <c r="F148" s="489" t="s">
        <v>823</v>
      </c>
      <c r="G148" s="499"/>
      <c r="H148" s="500"/>
      <c r="I148" s="501"/>
      <c r="K148" s="502">
        <v>30000</v>
      </c>
      <c r="L148" s="502">
        <v>30600</v>
      </c>
      <c r="M148" s="502">
        <v>31212</v>
      </c>
      <c r="N148" s="502">
        <v>31836.240000000002</v>
      </c>
      <c r="O148" s="502">
        <v>32472.964800000002</v>
      </c>
      <c r="P148" s="502">
        <v>33122.424096000002</v>
      </c>
      <c r="Q148" s="502">
        <v>33784.872577920003</v>
      </c>
    </row>
    <row r="149" spans="1:17" ht="12.75" outlineLevel="2" x14ac:dyDescent="0.35">
      <c r="A149" s="496"/>
      <c r="B149" s="496"/>
      <c r="C149" s="501">
        <f t="shared" si="7"/>
        <v>7</v>
      </c>
      <c r="D149" s="488" t="s">
        <v>788</v>
      </c>
      <c r="E149" s="497"/>
      <c r="F149" s="489" t="s">
        <v>823</v>
      </c>
      <c r="G149" s="499"/>
      <c r="H149" s="500"/>
      <c r="I149" s="501"/>
      <c r="K149" s="502">
        <v>6000</v>
      </c>
      <c r="L149" s="502">
        <v>6120</v>
      </c>
      <c r="M149" s="502">
        <v>6242.4</v>
      </c>
      <c r="N149" s="502">
        <v>6367.2479999999987</v>
      </c>
      <c r="O149" s="502">
        <v>6494.5929599999981</v>
      </c>
      <c r="P149" s="502">
        <v>6624.4848191999981</v>
      </c>
      <c r="Q149" s="502">
        <v>6756.9745155839983</v>
      </c>
    </row>
    <row r="150" spans="1:17" ht="12.75" outlineLevel="2" x14ac:dyDescent="0.35">
      <c r="A150" s="496"/>
      <c r="B150" s="496"/>
      <c r="C150" s="501">
        <f t="shared" si="7"/>
        <v>8</v>
      </c>
      <c r="D150" s="488" t="s">
        <v>829</v>
      </c>
      <c r="E150" s="497"/>
      <c r="F150" s="489" t="s">
        <v>823</v>
      </c>
      <c r="G150" s="499"/>
      <c r="H150" s="500"/>
      <c r="I150" s="501"/>
      <c r="K150" s="502">
        <v>6000</v>
      </c>
      <c r="L150" s="502">
        <v>6120</v>
      </c>
      <c r="M150" s="502">
        <v>6242.4000000000005</v>
      </c>
      <c r="N150" s="502">
        <v>6367.2480000000005</v>
      </c>
      <c r="O150" s="502">
        <v>6494.5929600000009</v>
      </c>
      <c r="P150" s="502">
        <v>6624.4848191999999</v>
      </c>
      <c r="Q150" s="502">
        <v>6756.9745155840001</v>
      </c>
    </row>
    <row r="151" spans="1:17" ht="12.75" outlineLevel="2" x14ac:dyDescent="0.35">
      <c r="A151" s="496"/>
      <c r="B151" s="496"/>
      <c r="C151" s="501">
        <f t="shared" si="7"/>
        <v>9</v>
      </c>
      <c r="D151" s="488"/>
      <c r="E151" s="497"/>
      <c r="F151" s="489" t="s">
        <v>823</v>
      </c>
      <c r="G151" s="499"/>
      <c r="H151" s="500"/>
      <c r="I151" s="501"/>
      <c r="K151" s="502"/>
      <c r="L151" s="502"/>
      <c r="M151" s="502"/>
      <c r="N151" s="502"/>
      <c r="O151" s="502"/>
      <c r="P151" s="502"/>
      <c r="Q151" s="502"/>
    </row>
    <row r="152" spans="1:17" ht="12.75" outlineLevel="2" x14ac:dyDescent="0.35">
      <c r="A152" s="496"/>
      <c r="B152" s="496"/>
      <c r="C152" s="501">
        <f t="shared" si="7"/>
        <v>10</v>
      </c>
      <c r="D152" s="488"/>
      <c r="E152" s="497"/>
      <c r="F152" s="489" t="s">
        <v>823</v>
      </c>
      <c r="G152" s="499"/>
      <c r="H152" s="500"/>
      <c r="I152" s="501"/>
      <c r="K152" s="502"/>
      <c r="L152" s="502"/>
      <c r="M152" s="502"/>
      <c r="N152" s="502"/>
      <c r="O152" s="502"/>
      <c r="P152" s="502"/>
      <c r="Q152" s="502"/>
    </row>
    <row r="153" spans="1:17" ht="12.75" outlineLevel="2" x14ac:dyDescent="0.35">
      <c r="A153" s="496"/>
      <c r="B153" s="496"/>
      <c r="C153" s="501"/>
      <c r="E153" s="497"/>
      <c r="F153" s="497"/>
      <c r="G153" s="499"/>
      <c r="H153" s="497"/>
      <c r="I153" s="501"/>
    </row>
    <row r="154" spans="1:17" ht="12.75" outlineLevel="1" x14ac:dyDescent="0.35">
      <c r="A154" s="496"/>
      <c r="B154" s="496"/>
      <c r="C154" s="501"/>
      <c r="E154" s="497"/>
      <c r="F154" s="497"/>
      <c r="G154" s="499"/>
      <c r="H154" s="497"/>
      <c r="I154" s="501"/>
    </row>
    <row r="155" spans="1:17" s="483" customFormat="1" outlineLevel="1" x14ac:dyDescent="0.4">
      <c r="A155" s="482"/>
      <c r="B155" s="482">
        <f>MAX($A$7:B154)+0.1</f>
        <v>4.1999999999999993</v>
      </c>
      <c r="C155" s="482" t="s">
        <v>625</v>
      </c>
      <c r="D155" s="482"/>
      <c r="E155" s="482"/>
      <c r="F155" s="482"/>
      <c r="G155" s="482"/>
      <c r="H155" s="482"/>
      <c r="I155" s="482"/>
      <c r="J155" s="482"/>
      <c r="K155" s="482"/>
      <c r="L155" s="482"/>
      <c r="M155" s="482"/>
      <c r="N155" s="482"/>
      <c r="O155" s="482"/>
      <c r="P155" s="482"/>
      <c r="Q155" s="482"/>
    </row>
    <row r="156" spans="1:17" outlineLevel="2" x14ac:dyDescent="0.4">
      <c r="D156" s="492" t="s">
        <v>612</v>
      </c>
      <c r="G156" s="494"/>
      <c r="H156" s="485"/>
    </row>
    <row r="157" spans="1:17" ht="12.75" outlineLevel="2" x14ac:dyDescent="0.35">
      <c r="A157" s="496"/>
      <c r="B157" s="496"/>
      <c r="C157" s="478">
        <f t="shared" ref="C157:C166" si="8">C156+1</f>
        <v>1</v>
      </c>
      <c r="D157" s="511" t="str">
        <f>IF(D143=0,"N/A",D143)</f>
        <v>Collection site management costs</v>
      </c>
      <c r="E157" s="497"/>
      <c r="F157" s="489" t="s">
        <v>614</v>
      </c>
      <c r="G157" s="499"/>
      <c r="H157" s="501"/>
      <c r="I157" s="501"/>
      <c r="K157" s="488">
        <v>3</v>
      </c>
      <c r="L157" s="488">
        <f t="shared" ref="L157:Q157" si="9">K157</f>
        <v>3</v>
      </c>
      <c r="M157" s="488">
        <f t="shared" si="9"/>
        <v>3</v>
      </c>
      <c r="N157" s="488">
        <f t="shared" si="9"/>
        <v>3</v>
      </c>
      <c r="O157" s="488">
        <f t="shared" si="9"/>
        <v>3</v>
      </c>
      <c r="P157" s="488">
        <f t="shared" si="9"/>
        <v>3</v>
      </c>
      <c r="Q157" s="488">
        <f t="shared" si="9"/>
        <v>3</v>
      </c>
    </row>
    <row r="158" spans="1:17" ht="12.75" outlineLevel="2" x14ac:dyDescent="0.35">
      <c r="A158" s="496"/>
      <c r="B158" s="496"/>
      <c r="C158" s="478">
        <f t="shared" si="8"/>
        <v>2</v>
      </c>
      <c r="D158" s="511" t="str">
        <f>IF(D144=0,"N/A",D144)</f>
        <v>Collection site security and technical staff</v>
      </c>
      <c r="E158" s="497"/>
      <c r="F158" s="489" t="s">
        <v>614</v>
      </c>
      <c r="G158" s="499"/>
      <c r="H158" s="501"/>
      <c r="I158" s="501"/>
      <c r="K158" s="488">
        <f>('Operational Costs'!H15)*3</f>
        <v>12</v>
      </c>
      <c r="L158" s="488">
        <f t="shared" ref="L158:Q164" si="10">K158</f>
        <v>12</v>
      </c>
      <c r="M158" s="488">
        <f t="shared" si="10"/>
        <v>12</v>
      </c>
      <c r="N158" s="488">
        <f t="shared" si="10"/>
        <v>12</v>
      </c>
      <c r="O158" s="488">
        <f t="shared" si="10"/>
        <v>12</v>
      </c>
      <c r="P158" s="488">
        <f t="shared" si="10"/>
        <v>12</v>
      </c>
      <c r="Q158" s="488">
        <f t="shared" si="10"/>
        <v>12</v>
      </c>
    </row>
    <row r="159" spans="1:17" ht="12.75" outlineLevel="2" x14ac:dyDescent="0.35">
      <c r="A159" s="496"/>
      <c r="B159" s="496"/>
      <c r="C159" s="478">
        <f t="shared" si="8"/>
        <v>3</v>
      </c>
      <c r="D159" s="511" t="str">
        <f>IF(D145=0,"N/A",D145)</f>
        <v>Collection site supervision &amp; monitoring staff</v>
      </c>
      <c r="E159" s="497"/>
      <c r="F159" s="489" t="s">
        <v>614</v>
      </c>
      <c r="G159" s="499"/>
      <c r="H159" s="501"/>
      <c r="I159" s="501"/>
      <c r="K159" s="488">
        <f>('Operational Costs'!H16)*3</f>
        <v>399</v>
      </c>
      <c r="L159" s="488">
        <f t="shared" si="10"/>
        <v>399</v>
      </c>
      <c r="M159" s="488">
        <f t="shared" si="10"/>
        <v>399</v>
      </c>
      <c r="N159" s="488">
        <f t="shared" si="10"/>
        <v>399</v>
      </c>
      <c r="O159" s="488">
        <f t="shared" si="10"/>
        <v>399</v>
      </c>
      <c r="P159" s="488">
        <f t="shared" si="10"/>
        <v>399</v>
      </c>
      <c r="Q159" s="488">
        <f t="shared" si="10"/>
        <v>399</v>
      </c>
    </row>
    <row r="160" spans="1:17" ht="12.75" outlineLevel="2" x14ac:dyDescent="0.35">
      <c r="A160" s="496"/>
      <c r="B160" s="496"/>
      <c r="C160" s="478">
        <f t="shared" si="8"/>
        <v>4</v>
      </c>
      <c r="D160" s="511" t="str">
        <f t="shared" ref="D160:D166" si="11">IF(D146=0,"N/A",D146)</f>
        <v>Collection site transport staff</v>
      </c>
      <c r="E160" s="497"/>
      <c r="F160" s="489" t="s">
        <v>614</v>
      </c>
      <c r="G160" s="499"/>
      <c r="H160" s="501"/>
      <c r="I160" s="501"/>
      <c r="K160" s="488">
        <f>('Operational Costs'!H17)*3</f>
        <v>30</v>
      </c>
      <c r="L160" s="488">
        <f t="shared" si="10"/>
        <v>30</v>
      </c>
      <c r="M160" s="488">
        <f t="shared" si="10"/>
        <v>30</v>
      </c>
      <c r="N160" s="488">
        <f t="shared" si="10"/>
        <v>30</v>
      </c>
      <c r="O160" s="488">
        <f t="shared" si="10"/>
        <v>30</v>
      </c>
      <c r="P160" s="488">
        <f t="shared" si="10"/>
        <v>30</v>
      </c>
      <c r="Q160" s="488">
        <f t="shared" si="10"/>
        <v>30</v>
      </c>
    </row>
    <row r="161" spans="1:17" ht="12.75" outlineLevel="2" x14ac:dyDescent="0.35">
      <c r="A161" s="496"/>
      <c r="B161" s="496"/>
      <c r="C161" s="478">
        <f t="shared" si="8"/>
        <v>5</v>
      </c>
      <c r="D161" s="511" t="str">
        <f t="shared" si="11"/>
        <v>Processing centre management costs</v>
      </c>
      <c r="E161" s="497"/>
      <c r="F161" s="489" t="s">
        <v>614</v>
      </c>
      <c r="G161" s="499"/>
      <c r="H161" s="501"/>
      <c r="I161" s="501"/>
      <c r="K161" s="488">
        <v>1</v>
      </c>
      <c r="L161" s="488">
        <f t="shared" si="10"/>
        <v>1</v>
      </c>
      <c r="M161" s="488">
        <f t="shared" si="10"/>
        <v>1</v>
      </c>
      <c r="N161" s="488">
        <f t="shared" si="10"/>
        <v>1</v>
      </c>
      <c r="O161" s="488">
        <f t="shared" si="10"/>
        <v>1</v>
      </c>
      <c r="P161" s="488">
        <f t="shared" si="10"/>
        <v>1</v>
      </c>
      <c r="Q161" s="488">
        <f t="shared" si="10"/>
        <v>1</v>
      </c>
    </row>
    <row r="162" spans="1:17" ht="12.75" outlineLevel="2" x14ac:dyDescent="0.35">
      <c r="A162" s="496"/>
      <c r="B162" s="496"/>
      <c r="C162" s="478">
        <f t="shared" si="8"/>
        <v>6</v>
      </c>
      <c r="D162" s="511" t="str">
        <f t="shared" si="11"/>
        <v>Processing centre security and technical staff</v>
      </c>
      <c r="E162" s="497"/>
      <c r="F162" s="489" t="s">
        <v>614</v>
      </c>
      <c r="G162" s="499"/>
      <c r="H162" s="501"/>
      <c r="I162" s="501"/>
      <c r="K162" s="488">
        <f>'Operational Costs'!H20</f>
        <v>1</v>
      </c>
      <c r="L162" s="488">
        <f t="shared" si="10"/>
        <v>1</v>
      </c>
      <c r="M162" s="488">
        <f t="shared" si="10"/>
        <v>1</v>
      </c>
      <c r="N162" s="488">
        <f t="shared" si="10"/>
        <v>1</v>
      </c>
      <c r="O162" s="488">
        <f t="shared" si="10"/>
        <v>1</v>
      </c>
      <c r="P162" s="488">
        <f t="shared" si="10"/>
        <v>1</v>
      </c>
      <c r="Q162" s="488">
        <f t="shared" si="10"/>
        <v>1</v>
      </c>
    </row>
    <row r="163" spans="1:17" ht="12.75" outlineLevel="2" x14ac:dyDescent="0.35">
      <c r="A163" s="496"/>
      <c r="B163" s="496"/>
      <c r="C163" s="478">
        <f t="shared" si="8"/>
        <v>7</v>
      </c>
      <c r="D163" s="511" t="str">
        <f t="shared" si="11"/>
        <v>Processing centre supervision &amp; monitoring staff</v>
      </c>
      <c r="E163" s="497"/>
      <c r="F163" s="489" t="s">
        <v>614</v>
      </c>
      <c r="G163" s="499"/>
      <c r="H163" s="501"/>
      <c r="I163" s="501"/>
      <c r="K163" s="488">
        <f>'Operational Costs'!H21</f>
        <v>15</v>
      </c>
      <c r="L163" s="488">
        <f t="shared" si="10"/>
        <v>15</v>
      </c>
      <c r="M163" s="488">
        <f t="shared" si="10"/>
        <v>15</v>
      </c>
      <c r="N163" s="488">
        <f t="shared" si="10"/>
        <v>15</v>
      </c>
      <c r="O163" s="488">
        <f t="shared" si="10"/>
        <v>15</v>
      </c>
      <c r="P163" s="488">
        <f t="shared" si="10"/>
        <v>15</v>
      </c>
      <c r="Q163" s="488">
        <f t="shared" si="10"/>
        <v>15</v>
      </c>
    </row>
    <row r="164" spans="1:17" ht="12.75" outlineLevel="2" x14ac:dyDescent="0.35">
      <c r="A164" s="496"/>
      <c r="B164" s="496"/>
      <c r="C164" s="478">
        <f t="shared" si="8"/>
        <v>8</v>
      </c>
      <c r="D164" s="511" t="str">
        <f t="shared" si="11"/>
        <v>Processing centre transport staff</v>
      </c>
      <c r="E164" s="497"/>
      <c r="F164" s="489" t="s">
        <v>614</v>
      </c>
      <c r="G164" s="499"/>
      <c r="H164" s="501"/>
      <c r="I164" s="501"/>
      <c r="K164" s="488">
        <f>'Operational Costs'!H22</f>
        <v>10</v>
      </c>
      <c r="L164" s="488">
        <f t="shared" si="10"/>
        <v>10</v>
      </c>
      <c r="M164" s="488">
        <f t="shared" si="10"/>
        <v>10</v>
      </c>
      <c r="N164" s="488">
        <f t="shared" si="10"/>
        <v>10</v>
      </c>
      <c r="O164" s="488">
        <f t="shared" si="10"/>
        <v>10</v>
      </c>
      <c r="P164" s="488">
        <f t="shared" si="10"/>
        <v>10</v>
      </c>
      <c r="Q164" s="488">
        <f t="shared" si="10"/>
        <v>10</v>
      </c>
    </row>
    <row r="165" spans="1:17" ht="12.75" outlineLevel="2" x14ac:dyDescent="0.35">
      <c r="A165" s="496"/>
      <c r="B165" s="496"/>
      <c r="C165" s="478">
        <f t="shared" si="8"/>
        <v>9</v>
      </c>
      <c r="D165" s="511" t="str">
        <f t="shared" si="11"/>
        <v>N/A</v>
      </c>
      <c r="E165" s="497"/>
      <c r="F165" s="489" t="s">
        <v>614</v>
      </c>
      <c r="G165" s="499"/>
      <c r="H165" s="501"/>
      <c r="I165" s="501"/>
      <c r="K165" s="488"/>
      <c r="L165" s="488"/>
      <c r="M165" s="488"/>
      <c r="N165" s="488"/>
      <c r="O165" s="488"/>
      <c r="P165" s="488"/>
      <c r="Q165" s="488"/>
    </row>
    <row r="166" spans="1:17" ht="12.75" outlineLevel="2" x14ac:dyDescent="0.35">
      <c r="A166" s="496"/>
      <c r="B166" s="496"/>
      <c r="C166" s="478">
        <f t="shared" si="8"/>
        <v>10</v>
      </c>
      <c r="D166" s="511" t="str">
        <f t="shared" si="11"/>
        <v>N/A</v>
      </c>
      <c r="E166" s="497"/>
      <c r="F166" s="489" t="s">
        <v>614</v>
      </c>
      <c r="G166" s="499"/>
      <c r="H166" s="501"/>
      <c r="I166" s="501"/>
      <c r="K166" s="488"/>
      <c r="L166" s="488"/>
      <c r="M166" s="488"/>
      <c r="N166" s="488"/>
      <c r="O166" s="488"/>
      <c r="P166" s="488"/>
      <c r="Q166" s="488"/>
    </row>
    <row r="167" spans="1:17" outlineLevel="2" x14ac:dyDescent="0.4">
      <c r="A167" s="496"/>
      <c r="B167" s="496"/>
      <c r="D167" s="512" t="s">
        <v>626</v>
      </c>
      <c r="E167" s="515"/>
      <c r="F167" s="489" t="s">
        <v>614</v>
      </c>
      <c r="G167" s="499"/>
      <c r="H167" s="497"/>
      <c r="I167" s="501"/>
      <c r="K167" s="513">
        <f t="shared" ref="K167:Q167" si="12">SUM(K157:K166)</f>
        <v>471</v>
      </c>
      <c r="L167" s="513">
        <f t="shared" si="12"/>
        <v>471</v>
      </c>
      <c r="M167" s="513">
        <f t="shared" si="12"/>
        <v>471</v>
      </c>
      <c r="N167" s="513">
        <f t="shared" si="12"/>
        <v>471</v>
      </c>
      <c r="O167" s="513">
        <f t="shared" si="12"/>
        <v>471</v>
      </c>
      <c r="P167" s="513">
        <f t="shared" si="12"/>
        <v>471</v>
      </c>
      <c r="Q167" s="513">
        <f t="shared" si="12"/>
        <v>471</v>
      </c>
    </row>
    <row r="168" spans="1:17" ht="12.75" outlineLevel="2" x14ac:dyDescent="0.35">
      <c r="A168" s="496"/>
      <c r="B168" s="496"/>
      <c r="D168" s="516"/>
      <c r="E168" s="497"/>
      <c r="F168" s="497"/>
      <c r="G168" s="499"/>
      <c r="H168" s="501"/>
      <c r="I168" s="501"/>
    </row>
    <row r="169" spans="1:17" ht="12.75" outlineLevel="1" x14ac:dyDescent="0.35">
      <c r="A169" s="496"/>
      <c r="B169" s="496"/>
      <c r="D169" s="516"/>
      <c r="E169" s="497"/>
      <c r="F169" s="497"/>
      <c r="G169" s="499"/>
      <c r="H169" s="501"/>
      <c r="I169" s="501"/>
    </row>
    <row r="170" spans="1:17" s="483" customFormat="1" outlineLevel="1" x14ac:dyDescent="0.4">
      <c r="A170" s="482"/>
      <c r="B170" s="482">
        <f>MAX($A$7:B169)+0.1</f>
        <v>4.2999999999999989</v>
      </c>
      <c r="C170" s="482" t="s">
        <v>627</v>
      </c>
      <c r="D170" s="482"/>
      <c r="E170" s="482"/>
      <c r="F170" s="482"/>
      <c r="G170" s="482"/>
      <c r="H170" s="482"/>
      <c r="I170" s="482"/>
      <c r="J170" s="482"/>
      <c r="K170" s="482"/>
      <c r="L170" s="482"/>
      <c r="M170" s="482"/>
      <c r="N170" s="482"/>
      <c r="O170" s="482"/>
      <c r="P170" s="482"/>
      <c r="Q170" s="482"/>
    </row>
    <row r="171" spans="1:17" ht="12.75" outlineLevel="2" x14ac:dyDescent="0.35">
      <c r="A171" s="496"/>
      <c r="B171" s="496"/>
      <c r="D171" s="516"/>
      <c r="E171" s="497"/>
      <c r="F171" s="497"/>
      <c r="G171" s="499"/>
      <c r="H171" s="501"/>
      <c r="I171" s="501"/>
    </row>
    <row r="172" spans="1:17" ht="12.75" outlineLevel="2" x14ac:dyDescent="0.35">
      <c r="A172" s="496"/>
      <c r="B172" s="496"/>
      <c r="D172" s="486" t="s">
        <v>628</v>
      </c>
      <c r="F172" s="489" t="s">
        <v>614</v>
      </c>
      <c r="K172" s="488"/>
      <c r="L172" s="488"/>
      <c r="M172" s="488"/>
      <c r="N172" s="488"/>
      <c r="O172" s="488"/>
      <c r="P172" s="488"/>
      <c r="Q172" s="488"/>
    </row>
    <row r="173" spans="1:17" ht="12.75" outlineLevel="2" x14ac:dyDescent="0.35">
      <c r="A173" s="496"/>
      <c r="B173" s="496"/>
      <c r="D173" s="486" t="s">
        <v>629</v>
      </c>
      <c r="F173" s="489" t="s">
        <v>614</v>
      </c>
      <c r="K173" s="488">
        <v>8</v>
      </c>
      <c r="L173" s="488">
        <v>8</v>
      </c>
      <c r="M173" s="488">
        <v>8</v>
      </c>
      <c r="N173" s="488">
        <v>8</v>
      </c>
      <c r="O173" s="488">
        <v>8</v>
      </c>
      <c r="P173" s="488">
        <v>8</v>
      </c>
      <c r="Q173" s="488">
        <v>8</v>
      </c>
    </row>
    <row r="174" spans="1:17" ht="12.75" outlineLevel="2" x14ac:dyDescent="0.35">
      <c r="A174" s="496"/>
      <c r="B174" s="496"/>
      <c r="D174" s="486" t="s">
        <v>630</v>
      </c>
      <c r="F174" s="489" t="s">
        <v>614</v>
      </c>
      <c r="K174" s="488">
        <v>12</v>
      </c>
      <c r="L174" s="488">
        <v>12</v>
      </c>
      <c r="M174" s="488">
        <v>12</v>
      </c>
      <c r="N174" s="488">
        <v>12</v>
      </c>
      <c r="O174" s="488">
        <v>12</v>
      </c>
      <c r="P174" s="488">
        <v>12</v>
      </c>
      <c r="Q174" s="488">
        <v>12</v>
      </c>
    </row>
    <row r="175" spans="1:17" ht="12.75" outlineLevel="2" x14ac:dyDescent="0.35">
      <c r="A175" s="496"/>
      <c r="B175" s="496"/>
      <c r="D175" s="486" t="s">
        <v>631</v>
      </c>
      <c r="F175" s="489" t="s">
        <v>614</v>
      </c>
      <c r="K175" s="488">
        <v>38</v>
      </c>
      <c r="L175" s="488">
        <v>38</v>
      </c>
      <c r="M175" s="488">
        <v>38</v>
      </c>
      <c r="N175" s="488">
        <v>38</v>
      </c>
      <c r="O175" s="488">
        <v>38</v>
      </c>
      <c r="P175" s="488">
        <v>38</v>
      </c>
      <c r="Q175" s="488">
        <v>38</v>
      </c>
    </row>
    <row r="176" spans="1:17" outlineLevel="2" x14ac:dyDescent="0.4">
      <c r="A176" s="496"/>
      <c r="B176" s="496"/>
      <c r="D176" s="512" t="s">
        <v>626</v>
      </c>
      <c r="E176" s="517" t="s">
        <v>734</v>
      </c>
      <c r="F176" s="489" t="s">
        <v>614</v>
      </c>
      <c r="K176" s="513">
        <f t="shared" ref="K176:Q176" si="13">SUM(K172:K175)</f>
        <v>58</v>
      </c>
      <c r="L176" s="513">
        <f t="shared" si="13"/>
        <v>58</v>
      </c>
      <c r="M176" s="513">
        <f t="shared" si="13"/>
        <v>58</v>
      </c>
      <c r="N176" s="513">
        <f t="shared" si="13"/>
        <v>58</v>
      </c>
      <c r="O176" s="513">
        <f t="shared" si="13"/>
        <v>58</v>
      </c>
      <c r="P176" s="513">
        <f t="shared" si="13"/>
        <v>58</v>
      </c>
      <c r="Q176" s="513">
        <f t="shared" si="13"/>
        <v>58</v>
      </c>
    </row>
    <row r="177" spans="1:17" ht="12.75" outlineLevel="2" x14ac:dyDescent="0.35">
      <c r="A177" s="496"/>
      <c r="B177" s="496"/>
      <c r="C177" s="501"/>
      <c r="E177" s="497"/>
      <c r="F177" s="497"/>
      <c r="G177" s="499"/>
      <c r="H177" s="501"/>
      <c r="I177" s="501"/>
    </row>
    <row r="178" spans="1:17" ht="12.75" outlineLevel="1" x14ac:dyDescent="0.35">
      <c r="A178" s="496"/>
      <c r="B178" s="496"/>
      <c r="C178" s="501"/>
      <c r="E178" s="497"/>
      <c r="F178" s="497"/>
      <c r="G178" s="499"/>
      <c r="H178" s="501"/>
      <c r="I178" s="501"/>
      <c r="K178" s="650">
        <f>K175/K176</f>
        <v>0.65517241379310343</v>
      </c>
    </row>
    <row r="179" spans="1:17" ht="12.75" x14ac:dyDescent="0.35">
      <c r="A179" s="496"/>
      <c r="B179" s="496"/>
      <c r="C179" s="501"/>
      <c r="E179" s="497"/>
      <c r="F179" s="497"/>
      <c r="G179" s="499"/>
      <c r="H179" s="497"/>
      <c r="I179" s="501"/>
    </row>
    <row r="180" spans="1:17" s="476" customFormat="1" x14ac:dyDescent="0.4">
      <c r="A180" s="475">
        <f>MAX($A$7:A179)+1</f>
        <v>5</v>
      </c>
      <c r="B180" s="475" t="s">
        <v>632</v>
      </c>
      <c r="C180" s="475"/>
      <c r="D180" s="475"/>
      <c r="E180" s="475"/>
      <c r="F180" s="475"/>
      <c r="G180" s="475"/>
      <c r="H180" s="475"/>
      <c r="I180" s="475"/>
      <c r="J180" s="475"/>
      <c r="K180" s="475"/>
      <c r="L180" s="475"/>
      <c r="M180" s="475"/>
      <c r="N180" s="475"/>
      <c r="O180" s="475"/>
      <c r="P180" s="475"/>
      <c r="Q180" s="475"/>
    </row>
    <row r="181" spans="1:17" outlineLevel="1" x14ac:dyDescent="0.4"/>
    <row r="182" spans="1:17" s="519" customFormat="1" outlineLevel="1" x14ac:dyDescent="0.4">
      <c r="A182" s="518"/>
      <c r="B182" s="518">
        <f>MAX($A$7:B181)+0.1</f>
        <v>5.0999999999999996</v>
      </c>
      <c r="C182" s="518" t="s">
        <v>633</v>
      </c>
      <c r="D182" s="518"/>
      <c r="E182" s="518"/>
      <c r="F182" s="518"/>
      <c r="G182" s="518"/>
      <c r="H182" s="518"/>
      <c r="I182" s="518"/>
      <c r="J182" s="518"/>
      <c r="K182" s="518"/>
      <c r="L182" s="518"/>
      <c r="M182" s="518"/>
      <c r="N182" s="518"/>
      <c r="O182" s="518"/>
      <c r="P182" s="518"/>
      <c r="Q182" s="518"/>
    </row>
    <row r="183" spans="1:17" ht="12.75" outlineLevel="2" x14ac:dyDescent="0.35">
      <c r="A183" s="496"/>
      <c r="B183" s="496"/>
      <c r="C183" s="501"/>
      <c r="D183" s="492" t="s">
        <v>634</v>
      </c>
      <c r="E183" s="497"/>
      <c r="F183" s="497"/>
      <c r="G183" s="504"/>
      <c r="H183" s="497"/>
      <c r="I183" s="501"/>
      <c r="J183" s="520"/>
    </row>
    <row r="184" spans="1:17" ht="12.75" outlineLevel="2" x14ac:dyDescent="0.35">
      <c r="A184" s="496"/>
      <c r="B184" s="496"/>
      <c r="C184" s="501">
        <v>1</v>
      </c>
      <c r="D184" s="488"/>
      <c r="E184" s="497"/>
      <c r="F184" s="489" t="s">
        <v>823</v>
      </c>
      <c r="G184" s="499"/>
      <c r="H184" s="500"/>
      <c r="I184" s="501"/>
      <c r="J184" s="520"/>
      <c r="K184" s="502" t="s">
        <v>794</v>
      </c>
      <c r="L184" s="502"/>
      <c r="M184" s="502"/>
      <c r="N184" s="502"/>
      <c r="O184" s="502"/>
      <c r="P184" s="502"/>
      <c r="Q184" s="502"/>
    </row>
    <row r="185" spans="1:17" ht="12.75" outlineLevel="2" x14ac:dyDescent="0.35">
      <c r="A185" s="496"/>
      <c r="B185" s="496"/>
      <c r="C185" s="501">
        <f>C184+1</f>
        <v>2</v>
      </c>
      <c r="D185" s="488"/>
      <c r="E185" s="497"/>
      <c r="F185" s="489" t="s">
        <v>823</v>
      </c>
      <c r="G185" s="499"/>
      <c r="H185" s="500"/>
      <c r="I185" s="501"/>
      <c r="J185" s="520"/>
      <c r="K185" s="502"/>
      <c r="L185" s="502"/>
      <c r="M185" s="502"/>
      <c r="N185" s="502"/>
      <c r="O185" s="502"/>
      <c r="P185" s="502"/>
      <c r="Q185" s="502"/>
    </row>
    <row r="186" spans="1:17" ht="12.75" outlineLevel="2" x14ac:dyDescent="0.35">
      <c r="A186" s="496"/>
      <c r="B186" s="496"/>
      <c r="C186" s="501">
        <f>C185+1</f>
        <v>3</v>
      </c>
      <c r="D186" s="488"/>
      <c r="E186" s="497"/>
      <c r="F186" s="489" t="s">
        <v>823</v>
      </c>
      <c r="G186" s="499"/>
      <c r="H186" s="500"/>
      <c r="I186" s="501"/>
      <c r="J186" s="520"/>
      <c r="K186" s="502"/>
      <c r="L186" s="502"/>
      <c r="M186" s="502"/>
      <c r="N186" s="502"/>
      <c r="O186" s="502"/>
      <c r="P186" s="502"/>
      <c r="Q186" s="502"/>
    </row>
    <row r="187" spans="1:17" ht="12.75" outlineLevel="2" x14ac:dyDescent="0.35">
      <c r="A187" s="496"/>
      <c r="B187" s="496"/>
      <c r="C187" s="501">
        <f>C186+1</f>
        <v>4</v>
      </c>
      <c r="D187" s="488"/>
      <c r="E187" s="497"/>
      <c r="F187" s="489" t="s">
        <v>823</v>
      </c>
      <c r="G187" s="499"/>
      <c r="H187" s="500"/>
      <c r="I187" s="501"/>
      <c r="J187" s="520"/>
      <c r="K187" s="502"/>
      <c r="L187" s="502"/>
      <c r="M187" s="502"/>
      <c r="N187" s="502"/>
      <c r="O187" s="502"/>
      <c r="P187" s="502"/>
      <c r="Q187" s="502"/>
    </row>
    <row r="188" spans="1:17" ht="12.75" outlineLevel="2" x14ac:dyDescent="0.35">
      <c r="A188" s="496"/>
      <c r="B188" s="496"/>
      <c r="C188" s="501">
        <f>C187+1</f>
        <v>5</v>
      </c>
      <c r="D188" s="488"/>
      <c r="E188" s="497"/>
      <c r="F188" s="489" t="s">
        <v>823</v>
      </c>
      <c r="G188" s="499"/>
      <c r="H188" s="500"/>
      <c r="I188" s="501"/>
      <c r="J188" s="520"/>
      <c r="K188" s="502"/>
      <c r="L188" s="502"/>
      <c r="M188" s="502"/>
      <c r="N188" s="502"/>
      <c r="O188" s="502"/>
      <c r="P188" s="502"/>
      <c r="Q188" s="502"/>
    </row>
    <row r="189" spans="1:17" ht="12.75" outlineLevel="2" x14ac:dyDescent="0.35">
      <c r="A189" s="496"/>
      <c r="B189" s="496"/>
      <c r="C189" s="501"/>
      <c r="E189" s="497"/>
      <c r="F189" s="497"/>
      <c r="G189" s="499"/>
      <c r="H189" s="497"/>
      <c r="I189" s="501"/>
    </row>
    <row r="190" spans="1:17" ht="12.75" outlineLevel="1" x14ac:dyDescent="0.35">
      <c r="A190" s="496"/>
      <c r="B190" s="496"/>
      <c r="C190" s="501"/>
      <c r="E190" s="497"/>
      <c r="F190" s="497"/>
      <c r="G190" s="499"/>
      <c r="H190" s="497"/>
      <c r="I190" s="501"/>
    </row>
    <row r="191" spans="1:17" s="519" customFormat="1" outlineLevel="1" x14ac:dyDescent="0.4">
      <c r="A191" s="518"/>
      <c r="B191" s="518">
        <f>MAX($A$7:B190)+0.1</f>
        <v>5.1999999999999993</v>
      </c>
      <c r="C191" s="518" t="s">
        <v>635</v>
      </c>
      <c r="D191" s="518"/>
      <c r="E191" s="518"/>
      <c r="F191" s="518"/>
      <c r="G191" s="518"/>
      <c r="H191" s="518"/>
      <c r="I191" s="518"/>
      <c r="J191" s="518"/>
      <c r="K191" s="518"/>
      <c r="L191" s="518"/>
      <c r="M191" s="518"/>
      <c r="N191" s="518"/>
      <c r="O191" s="518"/>
      <c r="P191" s="518"/>
      <c r="Q191" s="518"/>
    </row>
    <row r="192" spans="1:17" ht="12.75" outlineLevel="2" x14ac:dyDescent="0.35">
      <c r="A192" s="496"/>
      <c r="B192" s="496"/>
      <c r="C192" s="501"/>
      <c r="D192" s="492" t="s">
        <v>634</v>
      </c>
      <c r="E192" s="497"/>
      <c r="F192" s="497"/>
      <c r="G192" s="504"/>
      <c r="H192" s="497"/>
      <c r="I192" s="501"/>
    </row>
    <row r="193" spans="1:17" ht="12.75" outlineLevel="2" x14ac:dyDescent="0.35">
      <c r="A193" s="496"/>
      <c r="B193" s="496"/>
      <c r="C193" s="501">
        <v>1</v>
      </c>
      <c r="D193" s="488" t="str">
        <f>'Financial Overview'!D206</f>
        <v>Total opex costs</v>
      </c>
      <c r="E193" s="497"/>
      <c r="F193" s="489" t="s">
        <v>823</v>
      </c>
      <c r="G193" s="499"/>
      <c r="H193" s="500"/>
      <c r="I193" s="501"/>
      <c r="K193" s="502">
        <f>'Financial Overview'!G206</f>
        <v>2128800</v>
      </c>
      <c r="L193" s="502">
        <f>'Financial Overview'!H206</f>
        <v>5953536</v>
      </c>
      <c r="M193" s="502">
        <f>'Financial Overview'!I206</f>
        <v>6072606.7200000007</v>
      </c>
      <c r="N193" s="502">
        <f>'Financial Overview'!J206</f>
        <v>6194058.8544000005</v>
      </c>
      <c r="O193" s="502">
        <f>'Financial Overview'!K206</f>
        <v>6317940.0314880004</v>
      </c>
      <c r="P193" s="502">
        <f>'Financial Overview'!L206</f>
        <v>6444298.8321177606</v>
      </c>
      <c r="Q193" s="502">
        <f>'Financial Overview'!M206</f>
        <v>6573184.8087601159</v>
      </c>
    </row>
    <row r="194" spans="1:17" ht="12.75" outlineLevel="2" x14ac:dyDescent="0.35">
      <c r="A194" s="496"/>
      <c r="B194" s="496"/>
      <c r="C194" s="501">
        <f>C193+1</f>
        <v>2</v>
      </c>
      <c r="D194" s="488"/>
      <c r="E194" s="497"/>
      <c r="F194" s="489" t="s">
        <v>823</v>
      </c>
      <c r="G194" s="499"/>
      <c r="H194" s="500"/>
      <c r="I194" s="501"/>
      <c r="K194" s="502"/>
      <c r="L194" s="502"/>
      <c r="M194" s="502"/>
      <c r="N194" s="502"/>
      <c r="O194" s="502"/>
      <c r="P194" s="502"/>
      <c r="Q194" s="502"/>
    </row>
    <row r="195" spans="1:17" ht="12.75" outlineLevel="2" x14ac:dyDescent="0.35">
      <c r="A195" s="496"/>
      <c r="B195" s="496"/>
      <c r="C195" s="501">
        <f>C194+1</f>
        <v>3</v>
      </c>
      <c r="D195" s="488"/>
      <c r="E195" s="497"/>
      <c r="F195" s="489" t="s">
        <v>823</v>
      </c>
      <c r="G195" s="499"/>
      <c r="H195" s="500"/>
      <c r="I195" s="501"/>
      <c r="K195" s="502"/>
      <c r="L195" s="502"/>
      <c r="M195" s="502"/>
      <c r="N195" s="502"/>
      <c r="O195" s="502"/>
      <c r="P195" s="502"/>
      <c r="Q195" s="502"/>
    </row>
    <row r="196" spans="1:17" ht="12.75" outlineLevel="2" x14ac:dyDescent="0.35">
      <c r="A196" s="496"/>
      <c r="B196" s="496"/>
      <c r="C196" s="501">
        <f>C195+1</f>
        <v>4</v>
      </c>
      <c r="D196" s="488"/>
      <c r="E196" s="497"/>
      <c r="F196" s="489" t="s">
        <v>823</v>
      </c>
      <c r="G196" s="499"/>
      <c r="H196" s="500"/>
      <c r="I196" s="501"/>
      <c r="K196" s="502"/>
      <c r="L196" s="502"/>
      <c r="M196" s="502"/>
      <c r="N196" s="502"/>
      <c r="O196" s="502"/>
      <c r="P196" s="502"/>
      <c r="Q196" s="502"/>
    </row>
    <row r="197" spans="1:17" ht="12.75" outlineLevel="2" x14ac:dyDescent="0.35">
      <c r="A197" s="496"/>
      <c r="B197" s="496"/>
      <c r="C197" s="501">
        <f>C196+1</f>
        <v>5</v>
      </c>
      <c r="D197" s="488"/>
      <c r="E197" s="497"/>
      <c r="F197" s="489" t="s">
        <v>823</v>
      </c>
      <c r="G197" s="499"/>
      <c r="H197" s="500"/>
      <c r="I197" s="501"/>
      <c r="K197" s="502"/>
      <c r="L197" s="502"/>
      <c r="M197" s="502"/>
      <c r="N197" s="502"/>
      <c r="O197" s="502"/>
      <c r="P197" s="502"/>
      <c r="Q197" s="502"/>
    </row>
    <row r="198" spans="1:17" ht="12.75" outlineLevel="2" x14ac:dyDescent="0.35">
      <c r="A198" s="496"/>
      <c r="B198" s="496"/>
      <c r="C198" s="501"/>
      <c r="E198" s="497"/>
      <c r="F198" s="497"/>
      <c r="G198" s="499"/>
      <c r="H198" s="497"/>
      <c r="I198" s="501"/>
    </row>
    <row r="199" spans="1:17" ht="12.75" outlineLevel="1" x14ac:dyDescent="0.35">
      <c r="A199" s="496"/>
      <c r="B199" s="496"/>
      <c r="C199" s="501"/>
      <c r="E199" s="497"/>
      <c r="F199" s="497"/>
      <c r="G199" s="499"/>
      <c r="H199" s="497"/>
      <c r="I199" s="501"/>
    </row>
    <row r="200" spans="1:17" s="483" customFormat="1" outlineLevel="1" x14ac:dyDescent="0.4">
      <c r="A200" s="482"/>
      <c r="B200" s="482">
        <f>MAX($A$7:B199)+0.1</f>
        <v>5.2999999999999989</v>
      </c>
      <c r="C200" s="482" t="s">
        <v>636</v>
      </c>
      <c r="D200" s="482"/>
      <c r="E200" s="482"/>
      <c r="F200" s="482"/>
      <c r="G200" s="482"/>
      <c r="H200" s="482"/>
      <c r="I200" s="482"/>
      <c r="J200" s="482"/>
      <c r="K200" s="482"/>
      <c r="L200" s="482"/>
      <c r="M200" s="482"/>
      <c r="N200" s="482"/>
      <c r="O200" s="482"/>
      <c r="P200" s="482"/>
      <c r="Q200" s="482"/>
    </row>
    <row r="201" spans="1:17" ht="12.75" outlineLevel="2" x14ac:dyDescent="0.35">
      <c r="A201" s="496"/>
      <c r="B201" s="496"/>
      <c r="C201" s="501"/>
      <c r="E201" s="497"/>
      <c r="F201" s="497"/>
      <c r="G201" s="504"/>
      <c r="H201" s="497"/>
      <c r="I201" s="501"/>
      <c r="J201" s="520"/>
    </row>
    <row r="202" spans="1:17" ht="12.75" outlineLevel="2" x14ac:dyDescent="0.35">
      <c r="A202" s="496"/>
      <c r="B202" s="496"/>
      <c r="C202" s="501"/>
      <c r="D202" s="486" t="s">
        <v>637</v>
      </c>
      <c r="E202" s="497"/>
      <c r="F202" s="489" t="s">
        <v>823</v>
      </c>
      <c r="G202" s="499"/>
      <c r="H202" s="500"/>
      <c r="I202" s="501"/>
      <c r="J202" s="520"/>
      <c r="K202" s="502" t="s">
        <v>793</v>
      </c>
      <c r="L202" s="502"/>
      <c r="M202" s="502"/>
      <c r="N202" s="502"/>
      <c r="O202" s="502"/>
      <c r="P202" s="502"/>
      <c r="Q202" s="502"/>
    </row>
    <row r="203" spans="1:17" ht="12.75" outlineLevel="2" x14ac:dyDescent="0.35">
      <c r="A203" s="496"/>
      <c r="B203" s="496"/>
      <c r="C203" s="501"/>
      <c r="D203" s="486" t="s">
        <v>638</v>
      </c>
      <c r="E203" s="497"/>
      <c r="F203" s="489" t="s">
        <v>21</v>
      </c>
      <c r="G203" s="521"/>
      <c r="H203" s="500"/>
      <c r="I203" s="501"/>
      <c r="J203" s="496"/>
      <c r="K203" s="481"/>
      <c r="L203" s="481"/>
      <c r="M203" s="481"/>
      <c r="N203" s="481"/>
      <c r="O203" s="481"/>
      <c r="P203" s="481"/>
      <c r="Q203" s="481"/>
    </row>
    <row r="204" spans="1:17" ht="12.75" outlineLevel="2" x14ac:dyDescent="0.35">
      <c r="A204" s="496"/>
      <c r="B204" s="496"/>
      <c r="C204" s="501"/>
      <c r="E204" s="497"/>
      <c r="F204" s="501"/>
      <c r="G204" s="499"/>
      <c r="H204" s="501"/>
      <c r="I204" s="501"/>
    </row>
    <row r="205" spans="1:17" ht="12.75" outlineLevel="1" x14ac:dyDescent="0.35">
      <c r="A205" s="496"/>
      <c r="B205" s="496"/>
      <c r="C205" s="501"/>
      <c r="E205" s="497"/>
      <c r="F205" s="501"/>
      <c r="G205" s="499"/>
      <c r="H205" s="501"/>
      <c r="I205" s="501"/>
    </row>
    <row r="206" spans="1:17" s="483" customFormat="1" outlineLevel="1" x14ac:dyDescent="0.4">
      <c r="A206" s="482"/>
      <c r="B206" s="482">
        <f>MAX($A$7:B205)+0.1</f>
        <v>5.3999999999999986</v>
      </c>
      <c r="C206" s="482" t="s">
        <v>639</v>
      </c>
      <c r="D206" s="482"/>
      <c r="E206" s="482"/>
      <c r="F206" s="482"/>
      <c r="G206" s="482"/>
      <c r="H206" s="482"/>
      <c r="I206" s="482"/>
      <c r="J206" s="482"/>
      <c r="K206" s="482"/>
      <c r="L206" s="482"/>
      <c r="M206" s="482"/>
      <c r="N206" s="482"/>
      <c r="O206" s="482"/>
      <c r="P206" s="482"/>
      <c r="Q206" s="482"/>
    </row>
    <row r="207" spans="1:17" ht="12.75" outlineLevel="2" x14ac:dyDescent="0.35">
      <c r="A207" s="496"/>
      <c r="B207" s="496"/>
      <c r="C207" s="501"/>
      <c r="E207" s="497"/>
      <c r="F207" s="501"/>
      <c r="G207" s="499"/>
      <c r="H207" s="501"/>
      <c r="I207" s="501"/>
    </row>
    <row r="208" spans="1:17" ht="12.75" outlineLevel="2" x14ac:dyDescent="0.35">
      <c r="A208" s="496"/>
      <c r="B208" s="496"/>
      <c r="C208" s="501">
        <f>C207+1</f>
        <v>1</v>
      </c>
      <c r="D208" s="488"/>
      <c r="E208" s="497"/>
      <c r="F208" s="489" t="s">
        <v>823</v>
      </c>
      <c r="G208" s="499"/>
      <c r="H208" s="497"/>
      <c r="I208" s="501"/>
      <c r="K208" s="502" t="s">
        <v>793</v>
      </c>
      <c r="L208" s="502"/>
      <c r="M208" s="502"/>
      <c r="N208" s="502"/>
      <c r="O208" s="502"/>
      <c r="P208" s="502"/>
      <c r="Q208" s="502"/>
    </row>
    <row r="209" spans="1:17" ht="12.75" outlineLevel="2" x14ac:dyDescent="0.35">
      <c r="A209" s="496"/>
      <c r="B209" s="496"/>
      <c r="C209" s="501">
        <f>C208+1</f>
        <v>2</v>
      </c>
      <c r="D209" s="488"/>
      <c r="E209" s="497"/>
      <c r="F209" s="489" t="s">
        <v>823</v>
      </c>
      <c r="G209" s="499"/>
      <c r="H209" s="497"/>
      <c r="I209" s="501"/>
      <c r="K209" s="502"/>
      <c r="L209" s="502"/>
      <c r="M209" s="502"/>
      <c r="N209" s="502"/>
      <c r="O209" s="502"/>
      <c r="P209" s="502"/>
      <c r="Q209" s="502"/>
    </row>
    <row r="210" spans="1:17" ht="12.75" outlineLevel="2" x14ac:dyDescent="0.35">
      <c r="A210" s="496"/>
      <c r="B210" s="496"/>
      <c r="C210" s="501">
        <f>C209+1</f>
        <v>3</v>
      </c>
      <c r="D210" s="488"/>
      <c r="E210" s="497"/>
      <c r="F210" s="489" t="s">
        <v>823</v>
      </c>
      <c r="G210" s="499"/>
      <c r="H210" s="497"/>
      <c r="I210" s="501"/>
      <c r="K210" s="502"/>
      <c r="L210" s="502"/>
      <c r="M210" s="502"/>
      <c r="N210" s="502"/>
      <c r="O210" s="502"/>
      <c r="P210" s="502"/>
      <c r="Q210" s="502"/>
    </row>
    <row r="211" spans="1:17" ht="12.75" outlineLevel="2" x14ac:dyDescent="0.35">
      <c r="A211" s="496"/>
      <c r="B211" s="496"/>
      <c r="C211" s="501">
        <f>C210+1</f>
        <v>4</v>
      </c>
      <c r="D211" s="488"/>
      <c r="E211" s="497"/>
      <c r="F211" s="489" t="s">
        <v>823</v>
      </c>
      <c r="G211" s="499"/>
      <c r="H211" s="497"/>
      <c r="I211" s="501"/>
      <c r="K211" s="502"/>
      <c r="L211" s="502"/>
      <c r="M211" s="502"/>
      <c r="N211" s="502"/>
      <c r="O211" s="502"/>
      <c r="P211" s="502"/>
      <c r="Q211" s="502"/>
    </row>
    <row r="212" spans="1:17" ht="12.75" outlineLevel="2" x14ac:dyDescent="0.35">
      <c r="A212" s="496"/>
      <c r="B212" s="496"/>
      <c r="C212" s="501">
        <f>C211+1</f>
        <v>5</v>
      </c>
      <c r="D212" s="488"/>
      <c r="E212" s="497"/>
      <c r="F212" s="489" t="s">
        <v>823</v>
      </c>
      <c r="G212" s="499"/>
      <c r="H212" s="497"/>
      <c r="I212" s="501"/>
      <c r="K212" s="502"/>
      <c r="L212" s="502"/>
      <c r="M212" s="502"/>
      <c r="N212" s="502"/>
      <c r="O212" s="502"/>
      <c r="P212" s="502"/>
      <c r="Q212" s="502"/>
    </row>
    <row r="213" spans="1:17" ht="12.75" outlineLevel="2" x14ac:dyDescent="0.35">
      <c r="A213" s="496"/>
      <c r="B213" s="496"/>
      <c r="C213" s="501"/>
      <c r="E213" s="497"/>
      <c r="F213" s="497"/>
      <c r="G213" s="499"/>
      <c r="H213" s="497"/>
      <c r="I213" s="501"/>
    </row>
    <row r="214" spans="1:17" ht="12.75" outlineLevel="1" x14ac:dyDescent="0.35">
      <c r="A214" s="496"/>
      <c r="B214" s="496"/>
      <c r="C214" s="501"/>
      <c r="E214" s="497"/>
      <c r="F214" s="497"/>
      <c r="G214" s="499"/>
      <c r="H214" s="497"/>
      <c r="I214" s="501"/>
    </row>
    <row r="215" spans="1:17" s="483" customFormat="1" outlineLevel="1" x14ac:dyDescent="0.4">
      <c r="A215" s="482"/>
      <c r="B215" s="482">
        <f>MAX($A$7:B214)+0.1</f>
        <v>5.4999999999999982</v>
      </c>
      <c r="C215" s="482" t="s">
        <v>640</v>
      </c>
      <c r="D215" s="482"/>
      <c r="E215" s="482"/>
      <c r="F215" s="482"/>
      <c r="G215" s="482"/>
      <c r="H215" s="482"/>
      <c r="I215" s="482"/>
      <c r="J215" s="482"/>
      <c r="K215" s="482"/>
      <c r="L215" s="482"/>
      <c r="M215" s="482"/>
      <c r="N215" s="482"/>
      <c r="O215" s="482"/>
      <c r="P215" s="482"/>
      <c r="Q215" s="482"/>
    </row>
    <row r="216" spans="1:17" ht="12.75" outlineLevel="2" x14ac:dyDescent="0.35">
      <c r="A216" s="496"/>
      <c r="B216" s="496"/>
      <c r="C216" s="496"/>
      <c r="D216" s="481"/>
      <c r="E216" s="497"/>
      <c r="F216" s="497"/>
      <c r="G216" s="499"/>
      <c r="H216" s="497"/>
      <c r="I216" s="501"/>
    </row>
    <row r="217" spans="1:17" ht="12.75" outlineLevel="2" x14ac:dyDescent="0.35">
      <c r="A217" s="496"/>
      <c r="B217" s="496"/>
      <c r="C217" s="501">
        <v>1</v>
      </c>
      <c r="D217" s="488"/>
      <c r="E217" s="515"/>
      <c r="F217" s="489" t="s">
        <v>823</v>
      </c>
      <c r="G217" s="499"/>
      <c r="H217" s="497"/>
      <c r="I217" s="501"/>
      <c r="K217" s="502" t="s">
        <v>793</v>
      </c>
      <c r="L217" s="502"/>
      <c r="M217" s="502"/>
      <c r="N217" s="502"/>
      <c r="O217" s="502"/>
      <c r="P217" s="502"/>
      <c r="Q217" s="502"/>
    </row>
    <row r="218" spans="1:17" ht="12.75" outlineLevel="2" x14ac:dyDescent="0.35">
      <c r="A218" s="496"/>
      <c r="B218" s="496"/>
      <c r="C218" s="501">
        <f>C217+1</f>
        <v>2</v>
      </c>
      <c r="D218" s="488"/>
      <c r="E218" s="515"/>
      <c r="F218" s="489" t="s">
        <v>823</v>
      </c>
      <c r="G218" s="499"/>
      <c r="H218" s="497"/>
      <c r="I218" s="501"/>
      <c r="K218" s="502"/>
      <c r="L218" s="502"/>
      <c r="M218" s="502"/>
      <c r="N218" s="502"/>
      <c r="O218" s="502"/>
      <c r="P218" s="502"/>
      <c r="Q218" s="502"/>
    </row>
    <row r="219" spans="1:17" ht="12.75" outlineLevel="2" x14ac:dyDescent="0.35">
      <c r="A219" s="496"/>
      <c r="B219" s="496"/>
      <c r="C219" s="501">
        <f>C218+1</f>
        <v>3</v>
      </c>
      <c r="D219" s="488"/>
      <c r="E219" s="515"/>
      <c r="F219" s="489" t="s">
        <v>823</v>
      </c>
      <c r="G219" s="499"/>
      <c r="H219" s="497"/>
      <c r="I219" s="501"/>
      <c r="K219" s="502"/>
      <c r="L219" s="502"/>
      <c r="M219" s="502"/>
      <c r="N219" s="502"/>
      <c r="O219" s="502"/>
      <c r="P219" s="502"/>
      <c r="Q219" s="502"/>
    </row>
    <row r="220" spans="1:17" ht="12.75" outlineLevel="2" x14ac:dyDescent="0.35">
      <c r="A220" s="496"/>
      <c r="B220" s="496"/>
      <c r="C220" s="501">
        <f>C219+1</f>
        <v>4</v>
      </c>
      <c r="D220" s="488"/>
      <c r="E220" s="515"/>
      <c r="F220" s="489" t="s">
        <v>823</v>
      </c>
      <c r="G220" s="499"/>
      <c r="H220" s="497"/>
      <c r="I220" s="501"/>
      <c r="K220" s="502"/>
      <c r="L220" s="502"/>
      <c r="M220" s="502"/>
      <c r="N220" s="502"/>
      <c r="O220" s="502"/>
      <c r="P220" s="502"/>
      <c r="Q220" s="502"/>
    </row>
    <row r="221" spans="1:17" ht="12.75" outlineLevel="2" x14ac:dyDescent="0.35">
      <c r="A221" s="496"/>
      <c r="B221" s="496"/>
      <c r="C221" s="501">
        <f>C220+1</f>
        <v>5</v>
      </c>
      <c r="D221" s="488"/>
      <c r="E221" s="515"/>
      <c r="F221" s="489" t="s">
        <v>823</v>
      </c>
      <c r="G221" s="499"/>
      <c r="H221" s="497"/>
      <c r="I221" s="501"/>
      <c r="K221" s="502"/>
      <c r="L221" s="502"/>
      <c r="M221" s="502"/>
      <c r="N221" s="502"/>
      <c r="O221" s="502"/>
      <c r="P221" s="502"/>
      <c r="Q221" s="502"/>
    </row>
    <row r="222" spans="1:17" ht="12.75" outlineLevel="2" x14ac:dyDescent="0.35">
      <c r="A222" s="496"/>
      <c r="B222" s="496"/>
      <c r="C222" s="501"/>
      <c r="E222" s="497"/>
      <c r="F222" s="497"/>
      <c r="G222" s="499"/>
      <c r="H222" s="497"/>
      <c r="I222" s="501"/>
    </row>
    <row r="223" spans="1:17" ht="12.75" outlineLevel="1" x14ac:dyDescent="0.35">
      <c r="A223" s="496"/>
      <c r="B223" s="496"/>
      <c r="C223" s="501"/>
      <c r="E223" s="497"/>
      <c r="F223" s="497"/>
      <c r="G223" s="499"/>
      <c r="H223" s="497"/>
      <c r="I223" s="501"/>
    </row>
    <row r="224" spans="1:17" ht="12.75" x14ac:dyDescent="0.35">
      <c r="A224" s="496"/>
      <c r="B224" s="496"/>
      <c r="C224" s="501"/>
      <c r="E224" s="497"/>
      <c r="F224" s="497"/>
      <c r="G224" s="499"/>
      <c r="H224" s="497"/>
      <c r="I224" s="501"/>
    </row>
    <row r="225" spans="1:17" s="476" customFormat="1" x14ac:dyDescent="0.4">
      <c r="A225" s="475">
        <f>MAX($A$7:A224)+1</f>
        <v>6</v>
      </c>
      <c r="B225" s="475" t="s">
        <v>641</v>
      </c>
      <c r="C225" s="475"/>
      <c r="D225" s="475"/>
      <c r="E225" s="475"/>
      <c r="F225" s="475"/>
      <c r="G225" s="475"/>
      <c r="H225" s="475"/>
      <c r="I225" s="475"/>
      <c r="J225" s="475"/>
      <c r="K225" s="475"/>
      <c r="L225" s="475"/>
      <c r="M225" s="475"/>
      <c r="N225" s="475"/>
      <c r="O225" s="475"/>
      <c r="P225" s="475"/>
      <c r="Q225" s="475"/>
    </row>
    <row r="226" spans="1:17" outlineLevel="1" x14ac:dyDescent="0.4"/>
    <row r="227" spans="1:17" s="483" customFormat="1" outlineLevel="1" x14ac:dyDescent="0.4">
      <c r="A227" s="482"/>
      <c r="B227" s="482">
        <f>MAX($A$7:B226)+0.1</f>
        <v>6.1</v>
      </c>
      <c r="C227" s="482" t="s">
        <v>642</v>
      </c>
      <c r="D227" s="482"/>
      <c r="E227" s="482"/>
      <c r="F227" s="482"/>
      <c r="G227" s="482"/>
      <c r="H227" s="482"/>
      <c r="I227" s="482"/>
      <c r="J227" s="482"/>
      <c r="K227" s="482"/>
      <c r="L227" s="482"/>
      <c r="M227" s="482"/>
      <c r="N227" s="482"/>
      <c r="O227" s="482"/>
      <c r="P227" s="482"/>
      <c r="Q227" s="482"/>
    </row>
    <row r="228" spans="1:17" ht="12.75" outlineLevel="2" x14ac:dyDescent="0.35">
      <c r="A228" s="496"/>
      <c r="B228" s="496"/>
      <c r="C228" s="501"/>
      <c r="E228" s="497"/>
      <c r="F228" s="497"/>
      <c r="G228" s="499"/>
      <c r="H228" s="496"/>
      <c r="I228" s="501"/>
    </row>
    <row r="229" spans="1:17" ht="12.75" outlineLevel="2" x14ac:dyDescent="0.35">
      <c r="A229" s="496"/>
      <c r="B229" s="496"/>
      <c r="C229" s="501">
        <v>1</v>
      </c>
      <c r="D229" s="488" t="str">
        <f>'Financial Overview'!D246</f>
        <v>Mango sales</v>
      </c>
      <c r="E229" s="497"/>
      <c r="F229" s="489" t="s">
        <v>823</v>
      </c>
      <c r="G229" s="522"/>
      <c r="H229" s="496"/>
      <c r="I229" s="501"/>
      <c r="K229" s="502">
        <f>'Financial Overview'!G246</f>
        <v>0</v>
      </c>
      <c r="L229" s="502">
        <f>'Financial Overview'!H246</f>
        <v>0</v>
      </c>
      <c r="M229" s="502">
        <f>'Financial Overview'!I246</f>
        <v>0</v>
      </c>
      <c r="N229" s="502">
        <f>'Financial Overview'!J246</f>
        <v>0</v>
      </c>
      <c r="O229" s="502">
        <f>'Financial Overview'!K246</f>
        <v>0</v>
      </c>
      <c r="P229" s="502">
        <f>'Financial Overview'!L246</f>
        <v>0</v>
      </c>
      <c r="Q229" s="502">
        <f>'Financial Overview'!M246</f>
        <v>0</v>
      </c>
    </row>
    <row r="230" spans="1:17" ht="12.75" outlineLevel="2" x14ac:dyDescent="0.35">
      <c r="A230" s="496"/>
      <c r="B230" s="496"/>
      <c r="C230" s="501">
        <f>C229+1</f>
        <v>2</v>
      </c>
      <c r="D230" s="488" t="str">
        <f>'Financial Overview'!D247</f>
        <v>Compost sales</v>
      </c>
      <c r="E230" s="497"/>
      <c r="F230" s="489" t="s">
        <v>823</v>
      </c>
      <c r="G230" s="522"/>
      <c r="H230" s="496"/>
      <c r="I230" s="501"/>
      <c r="K230" s="502">
        <f>'Financial Overview'!G247</f>
        <v>30000</v>
      </c>
      <c r="L230" s="502">
        <f>'Financial Overview'!H247</f>
        <v>30600</v>
      </c>
      <c r="M230" s="502">
        <f>'Financial Overview'!I247</f>
        <v>31212</v>
      </c>
      <c r="N230" s="502">
        <f>'Financial Overview'!J247</f>
        <v>31836.240000000002</v>
      </c>
      <c r="O230" s="502">
        <f>'Financial Overview'!K247</f>
        <v>32472.964800000002</v>
      </c>
      <c r="P230" s="502">
        <f>'Financial Overview'!L247</f>
        <v>33122.424096000002</v>
      </c>
      <c r="Q230" s="502">
        <f>'Financial Overview'!M247</f>
        <v>33784.872577920003</v>
      </c>
    </row>
    <row r="231" spans="1:17" ht="12.75" outlineLevel="2" x14ac:dyDescent="0.35">
      <c r="A231" s="496"/>
      <c r="B231" s="496"/>
      <c r="C231" s="501">
        <f>C230+1</f>
        <v>3</v>
      </c>
      <c r="D231" s="488" t="str">
        <f>'Financial Overview'!D248</f>
        <v>Fuel sales</v>
      </c>
      <c r="E231" s="497"/>
      <c r="F231" s="489" t="s">
        <v>823</v>
      </c>
      <c r="G231" s="522"/>
      <c r="H231" s="496"/>
      <c r="I231" s="501"/>
      <c r="K231" s="502">
        <f>'Financial Overview'!G248</f>
        <v>15000</v>
      </c>
      <c r="L231" s="502">
        <f>'Financial Overview'!H248</f>
        <v>15300</v>
      </c>
      <c r="M231" s="502">
        <f>'Financial Overview'!I248</f>
        <v>15606</v>
      </c>
      <c r="N231" s="502">
        <f>'Financial Overview'!J248</f>
        <v>15918.12</v>
      </c>
      <c r="O231" s="502">
        <f>'Financial Overview'!K248</f>
        <v>16236.482400000001</v>
      </c>
      <c r="P231" s="502">
        <f>'Financial Overview'!L248</f>
        <v>16561.212048000001</v>
      </c>
      <c r="Q231" s="502">
        <f>'Financial Overview'!M248</f>
        <v>16892.436288960002</v>
      </c>
    </row>
    <row r="232" spans="1:17" ht="12.75" outlineLevel="2" x14ac:dyDescent="0.35">
      <c r="A232" s="496"/>
      <c r="B232" s="496"/>
      <c r="C232" s="501">
        <f>C231+1</f>
        <v>4</v>
      </c>
      <c r="D232" s="488"/>
      <c r="E232" s="497"/>
      <c r="F232" s="489" t="s">
        <v>823</v>
      </c>
      <c r="G232" s="522"/>
      <c r="H232" s="496"/>
      <c r="I232" s="501"/>
      <c r="K232" s="502"/>
      <c r="L232" s="502"/>
      <c r="M232" s="502"/>
      <c r="N232" s="502"/>
      <c r="O232" s="502"/>
      <c r="P232" s="502"/>
      <c r="Q232" s="502"/>
    </row>
    <row r="233" spans="1:17" ht="12.75" outlineLevel="2" x14ac:dyDescent="0.35">
      <c r="A233" s="496"/>
      <c r="B233" s="496"/>
      <c r="C233" s="501">
        <f>C232+1</f>
        <v>5</v>
      </c>
      <c r="D233" s="488"/>
      <c r="E233" s="497"/>
      <c r="F233" s="489" t="s">
        <v>823</v>
      </c>
      <c r="G233" s="522"/>
      <c r="H233" s="496"/>
      <c r="I233" s="501"/>
      <c r="K233" s="502"/>
      <c r="L233" s="502"/>
      <c r="M233" s="502"/>
      <c r="N233" s="502"/>
      <c r="O233" s="502"/>
      <c r="P233" s="502"/>
      <c r="Q233" s="502"/>
    </row>
    <row r="234" spans="1:17" ht="12.75" outlineLevel="2" x14ac:dyDescent="0.35">
      <c r="A234" s="496"/>
      <c r="B234" s="496"/>
      <c r="C234" s="501"/>
      <c r="E234" s="497"/>
      <c r="F234" s="497"/>
      <c r="G234" s="522"/>
      <c r="H234" s="496"/>
      <c r="I234" s="500"/>
      <c r="J234" s="479"/>
      <c r="K234" s="479"/>
      <c r="L234" s="479"/>
      <c r="M234" s="479"/>
      <c r="N234" s="479"/>
      <c r="O234" s="479"/>
      <c r="P234" s="479"/>
      <c r="Q234" s="479"/>
    </row>
    <row r="235" spans="1:17" ht="12.75" outlineLevel="1" x14ac:dyDescent="0.35">
      <c r="A235" s="496"/>
      <c r="B235" s="496"/>
      <c r="C235" s="501"/>
      <c r="E235" s="497"/>
      <c r="F235" s="497"/>
      <c r="G235" s="522"/>
      <c r="H235" s="496"/>
      <c r="I235" s="500"/>
      <c r="J235" s="479"/>
      <c r="K235" s="479"/>
      <c r="L235" s="479"/>
      <c r="M235" s="479"/>
      <c r="N235" s="479"/>
      <c r="O235" s="479"/>
      <c r="P235" s="479"/>
      <c r="Q235" s="479"/>
    </row>
    <row r="236" spans="1:17" ht="12.75" x14ac:dyDescent="0.35">
      <c r="A236" s="496"/>
      <c r="B236" s="496"/>
      <c r="C236" s="501"/>
      <c r="E236" s="497"/>
      <c r="F236" s="497"/>
      <c r="G236" s="499"/>
      <c r="H236" s="496"/>
      <c r="I236" s="501"/>
    </row>
    <row r="237" spans="1:17" s="476" customFormat="1" x14ac:dyDescent="0.4">
      <c r="A237" s="475">
        <f>MAX($A$7:A236)+1</f>
        <v>7</v>
      </c>
      <c r="B237" s="475" t="s">
        <v>643</v>
      </c>
      <c r="C237" s="475"/>
      <c r="D237" s="475"/>
      <c r="E237" s="475"/>
      <c r="F237" s="475"/>
      <c r="G237" s="475"/>
      <c r="H237" s="475"/>
      <c r="I237" s="475"/>
      <c r="J237" s="475"/>
      <c r="K237" s="475"/>
      <c r="L237" s="475"/>
      <c r="M237" s="475"/>
      <c r="N237" s="475"/>
      <c r="O237" s="475"/>
      <c r="P237" s="475"/>
      <c r="Q237" s="475"/>
    </row>
    <row r="238" spans="1:17" outlineLevel="1" x14ac:dyDescent="0.4">
      <c r="H238" s="481"/>
    </row>
    <row r="239" spans="1:17" s="483" customFormat="1" outlineLevel="1" x14ac:dyDescent="0.4">
      <c r="A239" s="482"/>
      <c r="B239" s="482">
        <f>MAX($A$7:B238)+0.1</f>
        <v>7.1</v>
      </c>
      <c r="C239" s="482" t="s">
        <v>644</v>
      </c>
      <c r="D239" s="482"/>
      <c r="E239" s="482"/>
      <c r="F239" s="482"/>
      <c r="G239" s="482"/>
      <c r="H239" s="482"/>
      <c r="I239" s="482"/>
      <c r="J239" s="482"/>
      <c r="K239" s="482"/>
      <c r="L239" s="482"/>
      <c r="M239" s="482"/>
      <c r="N239" s="482"/>
      <c r="O239" s="482"/>
      <c r="P239" s="482"/>
      <c r="Q239" s="482"/>
    </row>
    <row r="240" spans="1:17" ht="12.75" outlineLevel="2" x14ac:dyDescent="0.35">
      <c r="A240" s="496"/>
      <c r="B240" s="496"/>
      <c r="C240" s="501"/>
      <c r="E240" s="497"/>
      <c r="F240" s="497"/>
      <c r="G240" s="499"/>
      <c r="H240" s="496"/>
      <c r="I240" s="501"/>
    </row>
    <row r="241" spans="1:17" ht="12.75" outlineLevel="2" x14ac:dyDescent="0.35">
      <c r="A241" s="496"/>
      <c r="B241" s="486"/>
      <c r="C241" s="501"/>
      <c r="D241" s="486" t="s">
        <v>482</v>
      </c>
      <c r="E241" s="497"/>
      <c r="F241" s="489" t="s">
        <v>823</v>
      </c>
      <c r="G241" s="522"/>
      <c r="H241" s="496"/>
      <c r="I241" s="501"/>
      <c r="J241" s="523">
        <f>SUMIF('Financial Overview'!$F$42:$F$140,$D241,'Financial Overview'!$G$42:$G$140)</f>
        <v>0</v>
      </c>
    </row>
    <row r="242" spans="1:17" ht="12.75" outlineLevel="2" x14ac:dyDescent="0.35">
      <c r="A242" s="496"/>
      <c r="B242" s="486"/>
      <c r="C242" s="501"/>
      <c r="D242" s="486" t="s">
        <v>645</v>
      </c>
      <c r="E242" s="497"/>
      <c r="F242" s="489" t="s">
        <v>823</v>
      </c>
      <c r="G242" s="522"/>
      <c r="H242" s="496"/>
      <c r="I242" s="501"/>
      <c r="J242" s="523">
        <f>SUMIF('Financial Overview'!$F$42:$F$140,$D242,'Financial Overview'!$G$42:$G$140)</f>
        <v>0</v>
      </c>
    </row>
    <row r="243" spans="1:17" ht="12.75" outlineLevel="2" x14ac:dyDescent="0.35">
      <c r="A243" s="496"/>
      <c r="B243" s="486"/>
      <c r="C243" s="501"/>
      <c r="D243" s="486" t="s">
        <v>646</v>
      </c>
      <c r="E243" s="497"/>
      <c r="F243" s="489" t="s">
        <v>823</v>
      </c>
      <c r="G243" s="522"/>
      <c r="H243" s="496"/>
      <c r="I243" s="501"/>
      <c r="J243" s="523">
        <f>SUMIF('Financial Overview'!$F$42:$F$140,$D243,'Financial Overview'!$G$42:$G$140)</f>
        <v>0</v>
      </c>
    </row>
    <row r="244" spans="1:17" ht="12.75" outlineLevel="2" x14ac:dyDescent="0.35">
      <c r="A244" s="496"/>
      <c r="B244" s="486"/>
      <c r="C244" s="501"/>
      <c r="D244" s="486" t="s">
        <v>647</v>
      </c>
      <c r="E244" s="497"/>
      <c r="F244" s="489" t="s">
        <v>823</v>
      </c>
      <c r="G244" s="522"/>
      <c r="H244" s="496"/>
      <c r="I244" s="500"/>
      <c r="J244" s="523">
        <f>SUMIF('Financial Overview'!$F$42:$F$140,$D244,'Financial Overview'!$G$42:$G$140)</f>
        <v>0</v>
      </c>
    </row>
    <row r="245" spans="1:17" outlineLevel="2" x14ac:dyDescent="0.4">
      <c r="B245" s="486"/>
      <c r="D245" s="486" t="s">
        <v>648</v>
      </c>
      <c r="F245" s="489" t="s">
        <v>823</v>
      </c>
      <c r="H245" s="481"/>
      <c r="J245" s="523">
        <f>SUMIF('Financial Overview'!$F$42:$F$140,$D245,'Financial Overview'!$G$42:$G$140)</f>
        <v>0</v>
      </c>
    </row>
    <row r="246" spans="1:17" outlineLevel="2" x14ac:dyDescent="0.4">
      <c r="B246" s="486"/>
      <c r="D246" s="486" t="s">
        <v>725</v>
      </c>
      <c r="F246" s="489" t="s">
        <v>823</v>
      </c>
      <c r="H246" s="481"/>
      <c r="J246" s="523">
        <f>SUMIF('Financial Overview'!$F$42:$F$140,$D246,'Financial Overview'!$G$42:$G$140)</f>
        <v>0</v>
      </c>
    </row>
    <row r="247" spans="1:17" ht="14.25" outlineLevel="2" x14ac:dyDescent="0.45">
      <c r="B247"/>
      <c r="D247" s="488" t="s">
        <v>483</v>
      </c>
      <c r="F247" s="489" t="s">
        <v>823</v>
      </c>
      <c r="H247" s="481"/>
      <c r="J247" s="523">
        <f>SUMIF('Financial Overview'!$F$42:$F$140,$D247,'Financial Overview'!$G$42:$G$140)</f>
        <v>0</v>
      </c>
    </row>
    <row r="248" spans="1:17" outlineLevel="2" x14ac:dyDescent="0.4">
      <c r="D248" s="488"/>
      <c r="F248" s="489" t="s">
        <v>823</v>
      </c>
      <c r="H248" s="481"/>
      <c r="J248" s="523">
        <f>SUMIF('Financial Overview'!$F$42:$F$140,$D248,'Financial Overview'!$G$42:$G$140)</f>
        <v>0</v>
      </c>
    </row>
    <row r="249" spans="1:17" outlineLevel="2" x14ac:dyDescent="0.4">
      <c r="D249" s="488"/>
      <c r="F249" s="489" t="s">
        <v>823</v>
      </c>
      <c r="H249" s="481"/>
      <c r="J249" s="523"/>
    </row>
    <row r="250" spans="1:17" outlineLevel="2" x14ac:dyDescent="0.4">
      <c r="H250" s="481"/>
    </row>
    <row r="251" spans="1:17" outlineLevel="1" x14ac:dyDescent="0.4">
      <c r="H251" s="481"/>
    </row>
    <row r="252" spans="1:17" s="483" customFormat="1" outlineLevel="1" x14ac:dyDescent="0.4">
      <c r="A252" s="482"/>
      <c r="B252" s="482">
        <f>MAX($A$7:B239)+0.1</f>
        <v>7.1999999999999993</v>
      </c>
      <c r="C252" s="482" t="s">
        <v>650</v>
      </c>
      <c r="D252" s="482"/>
      <c r="E252" s="482"/>
      <c r="F252" s="482"/>
      <c r="G252" s="482"/>
      <c r="H252" s="482"/>
      <c r="I252" s="482"/>
      <c r="J252" s="482"/>
      <c r="K252" s="482"/>
      <c r="L252" s="482"/>
      <c r="M252" s="482"/>
      <c r="N252" s="482"/>
      <c r="O252" s="482"/>
      <c r="P252" s="482"/>
      <c r="Q252" s="482"/>
    </row>
    <row r="253" spans="1:17" ht="12.75" outlineLevel="2" x14ac:dyDescent="0.35">
      <c r="A253" s="496"/>
      <c r="B253" s="496"/>
      <c r="C253" s="501"/>
      <c r="E253" s="497"/>
      <c r="F253" s="497"/>
      <c r="G253" s="499"/>
      <c r="H253" s="496"/>
      <c r="I253" s="501"/>
    </row>
    <row r="254" spans="1:17" ht="12.75" outlineLevel="2" x14ac:dyDescent="0.35">
      <c r="A254" s="496"/>
      <c r="B254" s="496"/>
      <c r="C254" s="501"/>
      <c r="D254" s="486" t="s">
        <v>482</v>
      </c>
      <c r="E254" s="497"/>
      <c r="F254" s="489" t="s">
        <v>135</v>
      </c>
      <c r="G254" s="488">
        <f>Assumptions!H59</f>
        <v>21</v>
      </c>
      <c r="H254" s="496"/>
      <c r="I254" s="501"/>
      <c r="J254" s="496"/>
    </row>
    <row r="255" spans="1:17" ht="12.75" outlineLevel="2" x14ac:dyDescent="0.35">
      <c r="A255" s="496"/>
      <c r="B255" s="496"/>
      <c r="C255" s="501"/>
      <c r="D255" s="486" t="s">
        <v>645</v>
      </c>
      <c r="E255" s="497"/>
      <c r="F255" s="489" t="s">
        <v>135</v>
      </c>
      <c r="G255" s="488">
        <f>Assumptions!H69</f>
        <v>21</v>
      </c>
      <c r="H255" s="496"/>
      <c r="I255" s="501"/>
      <c r="J255" s="496"/>
    </row>
    <row r="256" spans="1:17" ht="12.75" outlineLevel="2" x14ac:dyDescent="0.35">
      <c r="A256" s="496"/>
      <c r="B256" s="496"/>
      <c r="C256" s="501"/>
      <c r="D256" s="486" t="s">
        <v>646</v>
      </c>
      <c r="E256" s="497"/>
      <c r="F256" s="489" t="s">
        <v>135</v>
      </c>
      <c r="G256" s="488">
        <f>Assumptions!H80</f>
        <v>21</v>
      </c>
      <c r="H256" s="496"/>
      <c r="I256" s="501"/>
      <c r="J256" s="496"/>
    </row>
    <row r="257" spans="1:17" ht="12.75" outlineLevel="2" x14ac:dyDescent="0.35">
      <c r="A257" s="496"/>
      <c r="B257" s="496"/>
      <c r="C257" s="501"/>
      <c r="D257" s="486" t="s">
        <v>647</v>
      </c>
      <c r="E257" s="497"/>
      <c r="F257" s="489" t="s">
        <v>135</v>
      </c>
      <c r="G257" s="488">
        <f>Assumptions!H81</f>
        <v>21</v>
      </c>
      <c r="H257" s="496"/>
      <c r="I257" s="500"/>
      <c r="J257" s="496"/>
    </row>
    <row r="258" spans="1:17" outlineLevel="2" x14ac:dyDescent="0.4">
      <c r="D258" s="486" t="s">
        <v>648</v>
      </c>
      <c r="F258" s="489" t="s">
        <v>135</v>
      </c>
      <c r="G258" s="488">
        <f>Assumptions!H81</f>
        <v>21</v>
      </c>
      <c r="H258" s="481"/>
    </row>
    <row r="259" spans="1:17" outlineLevel="2" x14ac:dyDescent="0.4">
      <c r="D259" s="486" t="s">
        <v>649</v>
      </c>
      <c r="F259" s="489" t="s">
        <v>135</v>
      </c>
      <c r="G259" s="488">
        <f>Assumptions!H61</f>
        <v>21</v>
      </c>
      <c r="H259" s="481"/>
    </row>
    <row r="260" spans="1:17" outlineLevel="2" x14ac:dyDescent="0.4">
      <c r="D260" s="511" t="str">
        <f>IF(D247=0,"N/A",D247)</f>
        <v>Land</v>
      </c>
      <c r="F260" s="489" t="s">
        <v>135</v>
      </c>
      <c r="G260" s="488">
        <f>Assumptions!H59</f>
        <v>21</v>
      </c>
      <c r="H260" s="481"/>
    </row>
    <row r="261" spans="1:17" outlineLevel="2" x14ac:dyDescent="0.4">
      <c r="D261" s="511" t="str">
        <f>IF(D248=0,"N/A",D248)</f>
        <v>N/A</v>
      </c>
      <c r="F261" s="489" t="s">
        <v>135</v>
      </c>
      <c r="G261" s="488"/>
      <c r="H261" s="481"/>
    </row>
    <row r="262" spans="1:17" outlineLevel="2" x14ac:dyDescent="0.4">
      <c r="D262" s="511" t="str">
        <f>IF(D249=0,"N/A",D249)</f>
        <v>N/A</v>
      </c>
      <c r="F262" s="489" t="s">
        <v>135</v>
      </c>
      <c r="G262" s="488"/>
      <c r="H262" s="481"/>
    </row>
    <row r="263" spans="1:17" outlineLevel="2" x14ac:dyDescent="0.4">
      <c r="H263" s="481"/>
    </row>
    <row r="264" spans="1:17" outlineLevel="1" x14ac:dyDescent="0.4">
      <c r="H264" s="481"/>
    </row>
    <row r="265" spans="1:17" s="483" customFormat="1" outlineLevel="1" x14ac:dyDescent="0.4">
      <c r="A265" s="482"/>
      <c r="B265" s="482">
        <f>MAX($A$7:B253)+0.1</f>
        <v>7.2999999999999989</v>
      </c>
      <c r="C265" s="482" t="s">
        <v>651</v>
      </c>
      <c r="D265" s="482"/>
      <c r="E265" s="482"/>
      <c r="F265" s="482"/>
      <c r="G265" s="482"/>
      <c r="H265" s="482"/>
      <c r="I265" s="482"/>
      <c r="J265" s="482"/>
      <c r="K265" s="482"/>
      <c r="L265" s="482"/>
      <c r="M265" s="482"/>
      <c r="N265" s="482"/>
      <c r="O265" s="482"/>
      <c r="P265" s="482"/>
      <c r="Q265" s="482"/>
    </row>
    <row r="266" spans="1:17" ht="12.75" outlineLevel="2" x14ac:dyDescent="0.35">
      <c r="A266" s="496"/>
      <c r="B266" s="496"/>
      <c r="C266" s="501"/>
      <c r="E266" s="497"/>
      <c r="F266" s="497"/>
      <c r="G266" s="499"/>
      <c r="H266" s="496"/>
      <c r="I266" s="501"/>
    </row>
    <row r="267" spans="1:17" ht="12.75" outlineLevel="2" x14ac:dyDescent="0.35">
      <c r="A267" s="496"/>
      <c r="B267" s="496"/>
      <c r="C267" s="501"/>
      <c r="D267" s="486" t="s">
        <v>482</v>
      </c>
      <c r="E267" s="497"/>
      <c r="F267" s="489" t="s">
        <v>823</v>
      </c>
      <c r="G267" s="522"/>
      <c r="H267" s="496"/>
      <c r="I267" s="501"/>
      <c r="K267" s="502"/>
      <c r="L267" s="502"/>
      <c r="M267" s="502"/>
      <c r="N267" s="502"/>
      <c r="O267" s="502"/>
      <c r="P267" s="502"/>
      <c r="Q267" s="502"/>
    </row>
    <row r="268" spans="1:17" ht="12.75" outlineLevel="2" x14ac:dyDescent="0.35">
      <c r="A268" s="496"/>
      <c r="B268" s="496"/>
      <c r="C268" s="501"/>
      <c r="D268" s="486" t="s">
        <v>645</v>
      </c>
      <c r="E268" s="497"/>
      <c r="F268" s="489" t="s">
        <v>823</v>
      </c>
      <c r="G268" s="522"/>
      <c r="H268" s="496"/>
      <c r="I268" s="501"/>
      <c r="K268" s="502"/>
      <c r="L268" s="502"/>
      <c r="M268" s="502"/>
      <c r="N268" s="502"/>
      <c r="O268" s="502"/>
      <c r="P268" s="502"/>
      <c r="Q268" s="502"/>
    </row>
    <row r="269" spans="1:17" ht="12.75" outlineLevel="2" x14ac:dyDescent="0.35">
      <c r="A269" s="496"/>
      <c r="B269" s="496"/>
      <c r="C269" s="501"/>
      <c r="D269" s="486" t="s">
        <v>646</v>
      </c>
      <c r="E269" s="497"/>
      <c r="F269" s="489" t="s">
        <v>823</v>
      </c>
      <c r="G269" s="522"/>
      <c r="H269" s="496"/>
      <c r="I269" s="501"/>
      <c r="K269" s="502"/>
      <c r="L269" s="502"/>
      <c r="M269" s="502"/>
      <c r="N269" s="502"/>
      <c r="O269" s="502"/>
      <c r="P269" s="502"/>
      <c r="Q269" s="502"/>
    </row>
    <row r="270" spans="1:17" ht="12.75" outlineLevel="2" x14ac:dyDescent="0.35">
      <c r="A270" s="496"/>
      <c r="B270" s="496"/>
      <c r="C270" s="501"/>
      <c r="D270" s="486" t="s">
        <v>647</v>
      </c>
      <c r="E270" s="497"/>
      <c r="F270" s="489" t="s">
        <v>823</v>
      </c>
      <c r="G270" s="522"/>
      <c r="H270" s="496"/>
      <c r="I270" s="500"/>
      <c r="K270" s="502"/>
      <c r="L270" s="502"/>
      <c r="M270" s="502"/>
      <c r="N270" s="502"/>
      <c r="O270" s="502"/>
      <c r="P270" s="502"/>
      <c r="Q270" s="502"/>
    </row>
    <row r="271" spans="1:17" outlineLevel="2" x14ac:dyDescent="0.4">
      <c r="D271" s="486" t="s">
        <v>648</v>
      </c>
      <c r="F271" s="489" t="s">
        <v>823</v>
      </c>
      <c r="H271" s="481"/>
      <c r="K271" s="502"/>
      <c r="L271" s="502"/>
      <c r="M271" s="502"/>
      <c r="N271" s="502"/>
      <c r="O271" s="502"/>
      <c r="P271" s="502"/>
      <c r="Q271" s="502"/>
    </row>
    <row r="272" spans="1:17" outlineLevel="2" x14ac:dyDescent="0.4">
      <c r="D272" s="486" t="s">
        <v>649</v>
      </c>
      <c r="F272" s="489" t="s">
        <v>823</v>
      </c>
      <c r="H272" s="481"/>
      <c r="K272" s="502"/>
      <c r="L272" s="502"/>
      <c r="M272" s="502"/>
      <c r="N272" s="502"/>
      <c r="O272" s="502"/>
      <c r="P272" s="502"/>
      <c r="Q272" s="502"/>
    </row>
    <row r="273" spans="1:17" outlineLevel="2" x14ac:dyDescent="0.4">
      <c r="D273" s="511" t="str">
        <f>IF(D247=0,"N/A",D247)</f>
        <v>Land</v>
      </c>
      <c r="F273" s="489" t="s">
        <v>823</v>
      </c>
      <c r="H273" s="481"/>
      <c r="K273" s="502"/>
      <c r="L273" s="502"/>
      <c r="M273" s="502"/>
      <c r="N273" s="502"/>
      <c r="O273" s="502"/>
      <c r="P273" s="502"/>
      <c r="Q273" s="502"/>
    </row>
    <row r="274" spans="1:17" outlineLevel="2" x14ac:dyDescent="0.4">
      <c r="D274" s="511" t="str">
        <f>IF(D248=0,"N/A",D248)</f>
        <v>N/A</v>
      </c>
      <c r="F274" s="489" t="s">
        <v>823</v>
      </c>
      <c r="H274" s="481"/>
      <c r="K274" s="502"/>
      <c r="L274" s="502"/>
      <c r="M274" s="502"/>
      <c r="N274" s="502"/>
      <c r="O274" s="502"/>
      <c r="P274" s="502"/>
      <c r="Q274" s="502"/>
    </row>
    <row r="275" spans="1:17" outlineLevel="2" x14ac:dyDescent="0.4">
      <c r="D275" s="511" t="str">
        <f>IF(D249=0,"N/A",D249)</f>
        <v>N/A</v>
      </c>
      <c r="F275" s="489" t="s">
        <v>823</v>
      </c>
      <c r="H275" s="481"/>
      <c r="K275" s="502"/>
      <c r="L275" s="502"/>
      <c r="M275" s="502"/>
      <c r="N275" s="502"/>
      <c r="O275" s="502"/>
      <c r="P275" s="502"/>
      <c r="Q275" s="502"/>
    </row>
    <row r="276" spans="1:17" outlineLevel="2" x14ac:dyDescent="0.4">
      <c r="F276" s="497"/>
      <c r="H276" s="481"/>
    </row>
    <row r="277" spans="1:17" outlineLevel="1" x14ac:dyDescent="0.4">
      <c r="F277" s="497"/>
      <c r="H277" s="481"/>
    </row>
    <row r="278" spans="1:17" s="483" customFormat="1" outlineLevel="1" x14ac:dyDescent="0.4">
      <c r="A278" s="482"/>
      <c r="B278" s="482">
        <f>MAX($A$7:B265)+0.1</f>
        <v>7.3999999999999986</v>
      </c>
      <c r="C278" s="482" t="s">
        <v>652</v>
      </c>
      <c r="D278" s="482"/>
      <c r="E278" s="482"/>
      <c r="F278" s="482"/>
      <c r="G278" s="482"/>
      <c r="H278" s="482"/>
      <c r="I278" s="482"/>
      <c r="J278" s="482"/>
      <c r="K278" s="482"/>
      <c r="L278" s="482"/>
      <c r="M278" s="482"/>
      <c r="N278" s="482"/>
      <c r="O278" s="482"/>
      <c r="P278" s="482"/>
      <c r="Q278" s="482"/>
    </row>
    <row r="279" spans="1:17" ht="12.75" outlineLevel="2" x14ac:dyDescent="0.35">
      <c r="A279" s="496"/>
      <c r="B279" s="496"/>
      <c r="C279" s="501"/>
      <c r="E279" s="497"/>
      <c r="F279" s="497"/>
      <c r="G279" s="499"/>
      <c r="H279" s="496"/>
      <c r="I279" s="501"/>
    </row>
    <row r="280" spans="1:17" ht="12.75" outlineLevel="2" x14ac:dyDescent="0.35">
      <c r="A280" s="496"/>
      <c r="B280" s="496"/>
      <c r="C280" s="501"/>
      <c r="D280" s="486" t="s">
        <v>482</v>
      </c>
      <c r="E280" s="497"/>
      <c r="F280" s="489" t="s">
        <v>135</v>
      </c>
      <c r="G280" s="488">
        <v>21</v>
      </c>
      <c r="H280" s="496"/>
      <c r="I280" s="501"/>
      <c r="J280" s="496"/>
    </row>
    <row r="281" spans="1:17" ht="12.75" outlineLevel="2" x14ac:dyDescent="0.35">
      <c r="A281" s="496"/>
      <c r="B281" s="496"/>
      <c r="C281" s="501"/>
      <c r="D281" s="486" t="s">
        <v>645</v>
      </c>
      <c r="E281" s="497"/>
      <c r="F281" s="489" t="s">
        <v>135</v>
      </c>
      <c r="G281" s="488">
        <v>7</v>
      </c>
      <c r="H281" s="496"/>
      <c r="I281" s="501"/>
      <c r="J281" s="496"/>
    </row>
    <row r="282" spans="1:17" ht="12.75" outlineLevel="2" x14ac:dyDescent="0.35">
      <c r="A282" s="496"/>
      <c r="B282" s="496"/>
      <c r="C282" s="501"/>
      <c r="D282" s="486" t="s">
        <v>646</v>
      </c>
      <c r="E282" s="497"/>
      <c r="F282" s="489" t="s">
        <v>135</v>
      </c>
      <c r="G282" s="488">
        <v>7</v>
      </c>
      <c r="H282" s="496"/>
      <c r="I282" s="501"/>
      <c r="J282" s="496"/>
    </row>
    <row r="283" spans="1:17" ht="12.75" outlineLevel="2" x14ac:dyDescent="0.35">
      <c r="A283" s="496"/>
      <c r="B283" s="496"/>
      <c r="C283" s="501"/>
      <c r="D283" s="486" t="s">
        <v>647</v>
      </c>
      <c r="E283" s="497"/>
      <c r="F283" s="489" t="s">
        <v>135</v>
      </c>
      <c r="G283" s="488">
        <v>7</v>
      </c>
      <c r="H283" s="496"/>
      <c r="I283" s="500"/>
      <c r="J283" s="496"/>
    </row>
    <row r="284" spans="1:17" outlineLevel="2" x14ac:dyDescent="0.4">
      <c r="D284" s="486" t="s">
        <v>648</v>
      </c>
      <c r="F284" s="489" t="s">
        <v>135</v>
      </c>
      <c r="G284" s="488">
        <v>21</v>
      </c>
      <c r="H284" s="481"/>
    </row>
    <row r="285" spans="1:17" outlineLevel="2" x14ac:dyDescent="0.4">
      <c r="D285" s="486" t="s">
        <v>649</v>
      </c>
      <c r="F285" s="489" t="s">
        <v>135</v>
      </c>
      <c r="G285" s="488">
        <v>21</v>
      </c>
      <c r="H285" s="481"/>
    </row>
    <row r="286" spans="1:17" outlineLevel="2" x14ac:dyDescent="0.4">
      <c r="D286" s="511" t="str">
        <f>IF(D247=0,"N/A",D247)</f>
        <v>Land</v>
      </c>
      <c r="F286" s="489" t="s">
        <v>135</v>
      </c>
      <c r="G286" s="488">
        <v>21</v>
      </c>
      <c r="H286" s="481"/>
    </row>
    <row r="287" spans="1:17" outlineLevel="2" x14ac:dyDescent="0.4">
      <c r="D287" s="511" t="str">
        <f>IF(D248=0,"N/A",D248)</f>
        <v>N/A</v>
      </c>
      <c r="F287" s="489" t="s">
        <v>135</v>
      </c>
      <c r="G287" s="488"/>
      <c r="H287" s="481"/>
    </row>
    <row r="288" spans="1:17" outlineLevel="2" x14ac:dyDescent="0.4">
      <c r="D288" s="511" t="str">
        <f>IF(D249=0,"N/A",D249)</f>
        <v>N/A</v>
      </c>
      <c r="F288" s="489" t="s">
        <v>135</v>
      </c>
      <c r="G288" s="488"/>
      <c r="H288" s="481"/>
    </row>
    <row r="289" spans="1:17" outlineLevel="2" x14ac:dyDescent="0.4">
      <c r="H289" s="481"/>
    </row>
    <row r="290" spans="1:17" outlineLevel="1" x14ac:dyDescent="0.4">
      <c r="H290" s="481"/>
    </row>
    <row r="291" spans="1:17" s="483" customFormat="1" outlineLevel="1" x14ac:dyDescent="0.4">
      <c r="A291" s="482"/>
      <c r="B291" s="482">
        <f>MAX($A$7:B278)+0.1</f>
        <v>7.4999999999999982</v>
      </c>
      <c r="C291" s="482" t="s">
        <v>653</v>
      </c>
      <c r="D291" s="482"/>
      <c r="E291" s="482"/>
      <c r="F291" s="482"/>
      <c r="G291" s="482"/>
      <c r="H291" s="482"/>
      <c r="I291" s="482"/>
      <c r="J291" s="482"/>
      <c r="K291" s="482"/>
      <c r="L291" s="482"/>
      <c r="M291" s="482"/>
      <c r="N291" s="482"/>
      <c r="O291" s="482"/>
      <c r="P291" s="482"/>
      <c r="Q291" s="482"/>
    </row>
    <row r="292" spans="1:17" ht="12.75" outlineLevel="2" x14ac:dyDescent="0.35">
      <c r="A292" s="496"/>
      <c r="B292" s="496"/>
      <c r="C292" s="501"/>
      <c r="E292" s="497"/>
      <c r="F292" s="497"/>
      <c r="G292" s="499"/>
      <c r="H292" s="496"/>
      <c r="I292" s="501"/>
    </row>
    <row r="293" spans="1:17" ht="12.75" outlineLevel="2" x14ac:dyDescent="0.35">
      <c r="A293" s="496"/>
      <c r="B293" s="496"/>
      <c r="C293" s="501"/>
      <c r="D293" s="486" t="s">
        <v>482</v>
      </c>
      <c r="E293" s="497"/>
      <c r="F293" s="489" t="s">
        <v>823</v>
      </c>
      <c r="G293" s="522"/>
      <c r="H293" s="496"/>
      <c r="I293" s="501"/>
      <c r="K293" s="502"/>
      <c r="L293" s="502"/>
      <c r="M293" s="502"/>
      <c r="N293" s="502"/>
      <c r="O293" s="502"/>
      <c r="P293" s="502"/>
      <c r="Q293" s="502"/>
    </row>
    <row r="294" spans="1:17" ht="12.75" outlineLevel="2" x14ac:dyDescent="0.35">
      <c r="A294" s="496"/>
      <c r="B294" s="496"/>
      <c r="C294" s="501"/>
      <c r="D294" s="486" t="s">
        <v>645</v>
      </c>
      <c r="E294" s="497"/>
      <c r="F294" s="489" t="s">
        <v>823</v>
      </c>
      <c r="G294" s="522"/>
      <c r="H294" s="496"/>
      <c r="I294" s="501"/>
      <c r="K294" s="502"/>
      <c r="L294" s="502"/>
      <c r="M294" s="502"/>
      <c r="N294" s="502"/>
      <c r="O294" s="502"/>
      <c r="P294" s="502"/>
      <c r="Q294" s="502"/>
    </row>
    <row r="295" spans="1:17" ht="12.75" outlineLevel="2" x14ac:dyDescent="0.35">
      <c r="A295" s="496"/>
      <c r="B295" s="496"/>
      <c r="C295" s="501"/>
      <c r="D295" s="486" t="s">
        <v>646</v>
      </c>
      <c r="E295" s="497"/>
      <c r="F295" s="489" t="s">
        <v>823</v>
      </c>
      <c r="G295" s="522"/>
      <c r="H295" s="496"/>
      <c r="I295" s="501"/>
      <c r="K295" s="502"/>
      <c r="L295" s="502"/>
      <c r="M295" s="502"/>
      <c r="N295" s="502"/>
      <c r="O295" s="502"/>
      <c r="P295" s="502"/>
      <c r="Q295" s="502"/>
    </row>
    <row r="296" spans="1:17" ht="12.75" outlineLevel="2" x14ac:dyDescent="0.35">
      <c r="A296" s="496"/>
      <c r="B296" s="496"/>
      <c r="C296" s="501"/>
      <c r="D296" s="486" t="s">
        <v>647</v>
      </c>
      <c r="E296" s="497"/>
      <c r="F296" s="489" t="s">
        <v>823</v>
      </c>
      <c r="G296" s="522"/>
      <c r="H296" s="496"/>
      <c r="I296" s="500"/>
      <c r="K296" s="502"/>
      <c r="L296" s="502"/>
      <c r="M296" s="502"/>
      <c r="N296" s="502"/>
      <c r="O296" s="502"/>
      <c r="P296" s="502"/>
      <c r="Q296" s="502"/>
    </row>
    <row r="297" spans="1:17" outlineLevel="2" x14ac:dyDescent="0.4">
      <c r="D297" s="486" t="s">
        <v>648</v>
      </c>
      <c r="F297" s="489" t="s">
        <v>823</v>
      </c>
      <c r="H297" s="481"/>
      <c r="K297" s="502"/>
      <c r="L297" s="502"/>
      <c r="M297" s="502"/>
      <c r="N297" s="502"/>
      <c r="O297" s="502"/>
      <c r="P297" s="502"/>
      <c r="Q297" s="502"/>
    </row>
    <row r="298" spans="1:17" outlineLevel="2" x14ac:dyDescent="0.4">
      <c r="D298" s="486" t="s">
        <v>649</v>
      </c>
      <c r="F298" s="489" t="s">
        <v>823</v>
      </c>
      <c r="H298" s="481"/>
      <c r="K298" s="502"/>
      <c r="L298" s="502"/>
      <c r="M298" s="502"/>
      <c r="N298" s="502"/>
      <c r="O298" s="502"/>
      <c r="P298" s="502"/>
      <c r="Q298" s="502"/>
    </row>
    <row r="299" spans="1:17" outlineLevel="2" x14ac:dyDescent="0.4">
      <c r="D299" s="511" t="str">
        <f>IF(D247=0,"N/A",D247)</f>
        <v>Land</v>
      </c>
      <c r="F299" s="489" t="s">
        <v>823</v>
      </c>
      <c r="H299" s="481"/>
      <c r="K299" s="502"/>
      <c r="L299" s="502"/>
      <c r="M299" s="502"/>
      <c r="N299" s="502"/>
      <c r="O299" s="502"/>
      <c r="P299" s="502"/>
      <c r="Q299" s="502"/>
    </row>
    <row r="300" spans="1:17" outlineLevel="2" x14ac:dyDescent="0.4">
      <c r="D300" s="511" t="str">
        <f>IF(D248=0,"N/A",D248)</f>
        <v>N/A</v>
      </c>
      <c r="F300" s="489" t="s">
        <v>823</v>
      </c>
      <c r="H300" s="481"/>
      <c r="K300" s="502"/>
      <c r="L300" s="502"/>
      <c r="M300" s="502"/>
      <c r="N300" s="502"/>
      <c r="O300" s="502"/>
      <c r="P300" s="502"/>
      <c r="Q300" s="502"/>
    </row>
    <row r="301" spans="1:17" outlineLevel="2" x14ac:dyDescent="0.4">
      <c r="D301" s="511" t="str">
        <f>IF(D249=0,"N/A",D249)</f>
        <v>N/A</v>
      </c>
      <c r="F301" s="489" t="s">
        <v>823</v>
      </c>
      <c r="H301" s="481"/>
      <c r="K301" s="502"/>
      <c r="L301" s="502"/>
      <c r="M301" s="502"/>
      <c r="N301" s="502"/>
      <c r="O301" s="502"/>
      <c r="P301" s="502"/>
      <c r="Q301" s="502"/>
    </row>
    <row r="302" spans="1:17" outlineLevel="2" x14ac:dyDescent="0.4">
      <c r="F302" s="497"/>
      <c r="H302" s="481"/>
    </row>
    <row r="303" spans="1:17" outlineLevel="1" x14ac:dyDescent="0.4">
      <c r="F303" s="497"/>
      <c r="H303" s="481"/>
    </row>
    <row r="304" spans="1:17" s="483" customFormat="1" outlineLevel="1" x14ac:dyDescent="0.4">
      <c r="A304" s="482"/>
      <c r="B304" s="482">
        <f>MAX($A$7:B291)+0.1</f>
        <v>7.5999999999999979</v>
      </c>
      <c r="C304" s="482" t="s">
        <v>654</v>
      </c>
      <c r="D304" s="482"/>
      <c r="E304" s="482"/>
      <c r="F304" s="482"/>
      <c r="G304" s="482"/>
      <c r="H304" s="482"/>
      <c r="I304" s="482"/>
      <c r="J304" s="482"/>
      <c r="K304" s="482"/>
      <c r="L304" s="482"/>
      <c r="M304" s="482"/>
      <c r="N304" s="482"/>
      <c r="O304" s="482"/>
      <c r="P304" s="482"/>
      <c r="Q304" s="482"/>
    </row>
    <row r="305" spans="1:20" ht="12.75" outlineLevel="2" x14ac:dyDescent="0.35">
      <c r="A305" s="496"/>
      <c r="B305" s="496"/>
      <c r="C305" s="501"/>
      <c r="E305" s="497"/>
      <c r="F305" s="497"/>
      <c r="G305" s="499"/>
      <c r="H305" s="496"/>
      <c r="I305" s="501"/>
    </row>
    <row r="306" spans="1:20" ht="12.75" outlineLevel="2" x14ac:dyDescent="0.35">
      <c r="A306" s="496"/>
      <c r="B306" s="496"/>
      <c r="C306" s="501"/>
      <c r="D306" s="486" t="s">
        <v>482</v>
      </c>
      <c r="F306" s="489" t="s">
        <v>823</v>
      </c>
      <c r="G306" s="522"/>
      <c r="H306" s="496"/>
      <c r="I306" s="501"/>
      <c r="J306" s="502"/>
      <c r="K306" s="502"/>
      <c r="L306" s="502"/>
      <c r="M306" s="502"/>
      <c r="N306" s="502"/>
      <c r="O306" s="502"/>
      <c r="P306" s="502"/>
      <c r="Q306" s="502"/>
    </row>
    <row r="307" spans="1:20" ht="12.75" outlineLevel="2" x14ac:dyDescent="0.35">
      <c r="A307" s="496"/>
      <c r="B307" s="496"/>
      <c r="C307" s="501"/>
      <c r="D307" s="486" t="s">
        <v>645</v>
      </c>
      <c r="F307" s="489" t="s">
        <v>823</v>
      </c>
      <c r="G307" s="522"/>
      <c r="H307" s="496"/>
      <c r="I307" s="501"/>
      <c r="J307" s="502"/>
      <c r="K307" s="502"/>
      <c r="L307" s="502"/>
      <c r="M307" s="502"/>
      <c r="N307" s="502"/>
      <c r="O307" s="502"/>
      <c r="P307" s="502"/>
      <c r="Q307" s="502"/>
    </row>
    <row r="308" spans="1:20" ht="12.75" outlineLevel="2" x14ac:dyDescent="0.35">
      <c r="A308" s="496"/>
      <c r="B308" s="496"/>
      <c r="C308" s="501"/>
      <c r="D308" s="486" t="s">
        <v>646</v>
      </c>
      <c r="F308" s="489" t="s">
        <v>823</v>
      </c>
      <c r="G308" s="522"/>
      <c r="H308" s="496"/>
      <c r="I308" s="501"/>
      <c r="J308" s="502"/>
      <c r="K308" s="502"/>
      <c r="L308" s="502"/>
      <c r="M308" s="502"/>
      <c r="N308" s="502"/>
      <c r="O308" s="502"/>
      <c r="P308" s="502"/>
      <c r="Q308" s="502"/>
    </row>
    <row r="309" spans="1:20" ht="12.75" outlineLevel="2" x14ac:dyDescent="0.35">
      <c r="A309" s="496"/>
      <c r="B309" s="496"/>
      <c r="C309" s="501"/>
      <c r="D309" s="486" t="s">
        <v>647</v>
      </c>
      <c r="F309" s="489" t="s">
        <v>823</v>
      </c>
      <c r="G309" s="522"/>
      <c r="H309" s="496"/>
      <c r="I309" s="500"/>
      <c r="J309" s="502"/>
      <c r="K309" s="502"/>
      <c r="L309" s="502"/>
      <c r="M309" s="502"/>
      <c r="N309" s="502"/>
      <c r="O309" s="502"/>
      <c r="P309" s="502"/>
      <c r="Q309" s="502"/>
    </row>
    <row r="310" spans="1:20" outlineLevel="2" x14ac:dyDescent="0.4">
      <c r="D310" s="486" t="s">
        <v>648</v>
      </c>
      <c r="F310" s="489" t="s">
        <v>823</v>
      </c>
      <c r="H310" s="481"/>
      <c r="J310" s="502"/>
      <c r="K310" s="502"/>
      <c r="L310" s="502"/>
      <c r="M310" s="502"/>
      <c r="N310" s="502"/>
      <c r="O310" s="502"/>
      <c r="P310" s="502"/>
      <c r="Q310" s="502"/>
    </row>
    <row r="311" spans="1:20" outlineLevel="2" x14ac:dyDescent="0.4">
      <c r="D311" s="486" t="s">
        <v>649</v>
      </c>
      <c r="F311" s="489" t="s">
        <v>823</v>
      </c>
      <c r="H311" s="481"/>
      <c r="J311" s="502"/>
      <c r="K311" s="502"/>
      <c r="L311" s="502"/>
      <c r="M311" s="502"/>
      <c r="N311" s="502"/>
      <c r="O311" s="502"/>
      <c r="P311" s="502"/>
      <c r="Q311" s="502"/>
    </row>
    <row r="312" spans="1:20" outlineLevel="2" x14ac:dyDescent="0.4">
      <c r="D312" s="511" t="str">
        <f>IF(D260=0,"N/A",D260)</f>
        <v>Land</v>
      </c>
      <c r="F312" s="489" t="s">
        <v>823</v>
      </c>
      <c r="H312" s="481"/>
      <c r="J312" s="502"/>
      <c r="K312" s="502"/>
      <c r="L312" s="502"/>
      <c r="M312" s="502"/>
      <c r="N312" s="502"/>
      <c r="O312" s="502"/>
      <c r="P312" s="502"/>
      <c r="Q312" s="502"/>
    </row>
    <row r="313" spans="1:20" outlineLevel="2" x14ac:dyDescent="0.4">
      <c r="D313" s="511" t="str">
        <f>IF(D261=0,"N/A",D261)</f>
        <v>N/A</v>
      </c>
      <c r="F313" s="489" t="s">
        <v>823</v>
      </c>
      <c r="H313" s="481"/>
      <c r="J313" s="502"/>
      <c r="K313" s="502"/>
      <c r="L313" s="502"/>
      <c r="M313" s="502"/>
      <c r="N313" s="502"/>
      <c r="O313" s="502"/>
      <c r="P313" s="502"/>
      <c r="Q313" s="502"/>
    </row>
    <row r="314" spans="1:20" outlineLevel="2" x14ac:dyDescent="0.4">
      <c r="D314" s="511" t="str">
        <f>IF(D262=0,"N/A",D262)</f>
        <v>N/A</v>
      </c>
      <c r="F314" s="489" t="s">
        <v>823</v>
      </c>
      <c r="H314" s="481"/>
      <c r="J314" s="502"/>
      <c r="K314" s="502"/>
      <c r="L314" s="502"/>
      <c r="M314" s="502"/>
      <c r="N314" s="502"/>
      <c r="O314" s="502"/>
      <c r="P314" s="502"/>
      <c r="Q314" s="502"/>
    </row>
    <row r="315" spans="1:20" outlineLevel="2" x14ac:dyDescent="0.4">
      <c r="F315" s="497"/>
      <c r="H315" s="481"/>
    </row>
    <row r="316" spans="1:20" outlineLevel="1" x14ac:dyDescent="0.4">
      <c r="F316" s="497"/>
      <c r="H316" s="481"/>
    </row>
    <row r="317" spans="1:20" s="483" customFormat="1" outlineLevel="1" x14ac:dyDescent="0.4">
      <c r="A317" s="482"/>
      <c r="B317" s="482">
        <f>MAX($A$7:B304)+0.1</f>
        <v>7.6999999999999975</v>
      </c>
      <c r="C317" s="482" t="s">
        <v>655</v>
      </c>
      <c r="D317" s="482"/>
      <c r="E317" s="482"/>
      <c r="F317" s="482"/>
      <c r="G317" s="482"/>
      <c r="H317" s="482"/>
      <c r="I317" s="482"/>
      <c r="J317" s="482"/>
      <c r="K317" s="482"/>
      <c r="L317" s="482"/>
      <c r="M317" s="482"/>
      <c r="N317" s="482"/>
      <c r="O317" s="482"/>
      <c r="P317" s="482"/>
      <c r="Q317" s="482"/>
    </row>
    <row r="318" spans="1:20" ht="12.75" outlineLevel="2" x14ac:dyDescent="0.35">
      <c r="A318" s="496"/>
      <c r="B318" s="496"/>
      <c r="C318" s="501"/>
      <c r="E318" s="497"/>
      <c r="F318" s="497"/>
      <c r="G318" s="499"/>
      <c r="H318" s="496"/>
      <c r="I318" s="501"/>
    </row>
    <row r="319" spans="1:20" ht="12.75" outlineLevel="2" x14ac:dyDescent="0.35">
      <c r="A319" s="496"/>
      <c r="B319" s="496"/>
      <c r="C319" s="501"/>
      <c r="D319" s="486" t="s">
        <v>482</v>
      </c>
      <c r="E319" s="514" t="s">
        <v>735</v>
      </c>
      <c r="F319" s="489" t="s">
        <v>135</v>
      </c>
      <c r="G319" s="502"/>
      <c r="H319" s="496"/>
      <c r="I319" s="501"/>
      <c r="R319" s="478"/>
      <c r="S319" s="478"/>
      <c r="T319" s="478"/>
    </row>
    <row r="320" spans="1:20" ht="12.75" outlineLevel="2" x14ac:dyDescent="0.35">
      <c r="A320" s="496"/>
      <c r="B320" s="496"/>
      <c r="C320" s="501"/>
      <c r="D320" s="486" t="s">
        <v>645</v>
      </c>
      <c r="E320" s="514" t="s">
        <v>735</v>
      </c>
      <c r="F320" s="489" t="s">
        <v>135</v>
      </c>
      <c r="G320" s="502"/>
      <c r="H320" s="496"/>
      <c r="I320" s="501"/>
      <c r="R320" s="478"/>
      <c r="S320" s="478"/>
      <c r="T320" s="478"/>
    </row>
    <row r="321" spans="1:20" ht="12.75" outlineLevel="2" x14ac:dyDescent="0.35">
      <c r="A321" s="496"/>
      <c r="B321" s="496"/>
      <c r="C321" s="501"/>
      <c r="D321" s="486" t="s">
        <v>646</v>
      </c>
      <c r="E321" s="514" t="s">
        <v>735</v>
      </c>
      <c r="F321" s="489" t="s">
        <v>135</v>
      </c>
      <c r="G321" s="502"/>
      <c r="H321" s="496"/>
      <c r="I321" s="501"/>
      <c r="R321" s="478"/>
      <c r="S321" s="478"/>
      <c r="T321" s="478"/>
    </row>
    <row r="322" spans="1:20" ht="12.75" outlineLevel="2" x14ac:dyDescent="0.35">
      <c r="A322" s="496"/>
      <c r="B322" s="496"/>
      <c r="C322" s="501"/>
      <c r="D322" s="486" t="s">
        <v>647</v>
      </c>
      <c r="E322" s="514" t="s">
        <v>735</v>
      </c>
      <c r="F322" s="489" t="s">
        <v>135</v>
      </c>
      <c r="G322" s="502"/>
      <c r="H322" s="496"/>
      <c r="I322" s="500"/>
      <c r="R322" s="478"/>
      <c r="S322" s="478"/>
      <c r="T322" s="478"/>
    </row>
    <row r="323" spans="1:20" outlineLevel="2" x14ac:dyDescent="0.4">
      <c r="D323" s="486" t="s">
        <v>648</v>
      </c>
      <c r="E323" s="514" t="s">
        <v>735</v>
      </c>
      <c r="F323" s="489" t="s">
        <v>135</v>
      </c>
      <c r="G323" s="502"/>
      <c r="H323" s="481"/>
      <c r="R323" s="478"/>
      <c r="S323" s="478"/>
      <c r="T323" s="478"/>
    </row>
    <row r="324" spans="1:20" outlineLevel="2" x14ac:dyDescent="0.4">
      <c r="D324" s="486" t="s">
        <v>649</v>
      </c>
      <c r="E324" s="514" t="s">
        <v>735</v>
      </c>
      <c r="F324" s="489" t="s">
        <v>135</v>
      </c>
      <c r="G324" s="502"/>
      <c r="H324" s="481"/>
      <c r="R324" s="478"/>
      <c r="S324" s="478"/>
      <c r="T324" s="478"/>
    </row>
    <row r="325" spans="1:20" outlineLevel="2" x14ac:dyDescent="0.4">
      <c r="D325" s="511" t="str">
        <f>IF(D273=0,"N/A",D273)</f>
        <v>Land</v>
      </c>
      <c r="E325" s="514" t="s">
        <v>735</v>
      </c>
      <c r="F325" s="489" t="s">
        <v>135</v>
      </c>
      <c r="G325" s="502"/>
      <c r="H325" s="481"/>
      <c r="R325" s="478"/>
      <c r="S325" s="478"/>
      <c r="T325" s="478"/>
    </row>
    <row r="326" spans="1:20" outlineLevel="2" x14ac:dyDescent="0.4">
      <c r="D326" s="511" t="str">
        <f>IF(D274=0,"N/A",D274)</f>
        <v>N/A</v>
      </c>
      <c r="E326" s="514" t="s">
        <v>735</v>
      </c>
      <c r="F326" s="489" t="s">
        <v>135</v>
      </c>
      <c r="G326" s="502"/>
      <c r="H326" s="481"/>
      <c r="R326" s="478"/>
      <c r="S326" s="478"/>
      <c r="T326" s="478"/>
    </row>
    <row r="327" spans="1:20" outlineLevel="2" x14ac:dyDescent="0.4">
      <c r="D327" s="511" t="str">
        <f>IF(D275=0,"N/A",D275)</f>
        <v>N/A</v>
      </c>
      <c r="E327" s="514" t="s">
        <v>735</v>
      </c>
      <c r="F327" s="489" t="s">
        <v>135</v>
      </c>
      <c r="G327" s="502"/>
      <c r="H327" s="481"/>
      <c r="R327" s="478"/>
      <c r="S327" s="478"/>
      <c r="T327" s="478"/>
    </row>
    <row r="328" spans="1:20" outlineLevel="2" x14ac:dyDescent="0.4">
      <c r="F328" s="497"/>
      <c r="H328" s="481"/>
    </row>
    <row r="329" spans="1:20" outlineLevel="1" x14ac:dyDescent="0.4">
      <c r="F329" s="497"/>
      <c r="H329" s="481"/>
    </row>
    <row r="330" spans="1:20" x14ac:dyDescent="0.4">
      <c r="F330" s="497"/>
      <c r="H330" s="481"/>
    </row>
    <row r="331" spans="1:20" s="476" customFormat="1" x14ac:dyDescent="0.4">
      <c r="A331" s="475">
        <f>MAX($A$7:A330)+1</f>
        <v>8</v>
      </c>
      <c r="B331" s="475" t="s">
        <v>656</v>
      </c>
      <c r="C331" s="475"/>
      <c r="D331" s="475"/>
      <c r="E331" s="475"/>
      <c r="F331" s="475"/>
      <c r="G331" s="475"/>
      <c r="H331" s="475"/>
      <c r="I331" s="475"/>
      <c r="J331" s="475"/>
      <c r="K331" s="475"/>
      <c r="L331" s="475"/>
      <c r="M331" s="475"/>
      <c r="N331" s="475"/>
      <c r="O331" s="475"/>
      <c r="P331" s="475"/>
      <c r="Q331" s="475"/>
    </row>
    <row r="332" spans="1:20" outlineLevel="1" x14ac:dyDescent="0.4">
      <c r="H332" s="481"/>
    </row>
    <row r="333" spans="1:20" s="483" customFormat="1" outlineLevel="1" x14ac:dyDescent="0.4">
      <c r="A333" s="482"/>
      <c r="B333" s="482">
        <f>MAX($A$7:B332)+0.1</f>
        <v>8.1</v>
      </c>
      <c r="C333" s="482" t="s">
        <v>657</v>
      </c>
      <c r="D333" s="482"/>
      <c r="E333" s="482"/>
      <c r="F333" s="482"/>
      <c r="G333" s="482"/>
      <c r="H333" s="482"/>
      <c r="I333" s="482"/>
      <c r="J333" s="482"/>
      <c r="K333" s="482"/>
      <c r="L333" s="482"/>
      <c r="M333" s="482"/>
      <c r="N333" s="482"/>
      <c r="O333" s="482"/>
      <c r="P333" s="482"/>
      <c r="Q333" s="482"/>
    </row>
    <row r="334" spans="1:20" outlineLevel="2" x14ac:dyDescent="0.4">
      <c r="H334" s="481"/>
    </row>
    <row r="335" spans="1:20" outlineLevel="2" x14ac:dyDescent="0.4">
      <c r="C335" s="501">
        <v>1</v>
      </c>
      <c r="D335" s="488"/>
      <c r="F335" s="489" t="s">
        <v>823</v>
      </c>
      <c r="H335" s="481"/>
      <c r="J335" s="502"/>
      <c r="K335" s="502"/>
      <c r="L335" s="502"/>
      <c r="M335" s="502"/>
      <c r="N335" s="502"/>
      <c r="O335" s="502"/>
      <c r="P335" s="502"/>
      <c r="Q335" s="502"/>
    </row>
    <row r="336" spans="1:20" outlineLevel="2" x14ac:dyDescent="0.4">
      <c r="C336" s="501">
        <f>C335+1</f>
        <v>2</v>
      </c>
      <c r="D336" s="488"/>
      <c r="F336" s="489" t="s">
        <v>823</v>
      </c>
      <c r="H336" s="481"/>
      <c r="J336" s="502"/>
      <c r="K336" s="502"/>
      <c r="L336" s="502"/>
      <c r="M336" s="502"/>
      <c r="N336" s="502"/>
      <c r="O336" s="502"/>
      <c r="P336" s="502"/>
      <c r="Q336" s="502"/>
    </row>
    <row r="337" spans="1:17" outlineLevel="2" x14ac:dyDescent="0.4">
      <c r="C337" s="501">
        <f>C336+1</f>
        <v>3</v>
      </c>
      <c r="D337" s="488"/>
      <c r="F337" s="489" t="s">
        <v>823</v>
      </c>
      <c r="H337" s="481"/>
      <c r="J337" s="502"/>
      <c r="K337" s="502"/>
      <c r="L337" s="502"/>
      <c r="M337" s="502"/>
      <c r="N337" s="502"/>
      <c r="O337" s="502"/>
      <c r="P337" s="502"/>
      <c r="Q337" s="502"/>
    </row>
    <row r="338" spans="1:17" outlineLevel="2" x14ac:dyDescent="0.4">
      <c r="C338" s="501">
        <f>C337+1</f>
        <v>4</v>
      </c>
      <c r="D338" s="488"/>
      <c r="F338" s="489" t="s">
        <v>823</v>
      </c>
      <c r="H338" s="481"/>
      <c r="J338" s="502"/>
      <c r="K338" s="502"/>
      <c r="L338" s="502"/>
      <c r="M338" s="502"/>
      <c r="N338" s="502"/>
      <c r="O338" s="502"/>
      <c r="P338" s="502"/>
      <c r="Q338" s="502"/>
    </row>
    <row r="339" spans="1:17" outlineLevel="2" x14ac:dyDescent="0.4">
      <c r="C339" s="501">
        <f>C338+1</f>
        <v>5</v>
      </c>
      <c r="D339" s="488"/>
      <c r="F339" s="489" t="s">
        <v>823</v>
      </c>
      <c r="H339" s="481"/>
      <c r="J339" s="502"/>
      <c r="K339" s="502"/>
      <c r="L339" s="502"/>
      <c r="M339" s="502"/>
      <c r="N339" s="502"/>
      <c r="O339" s="502"/>
      <c r="P339" s="502"/>
      <c r="Q339" s="502"/>
    </row>
    <row r="340" spans="1:17" outlineLevel="2" x14ac:dyDescent="0.4">
      <c r="H340" s="481"/>
    </row>
    <row r="341" spans="1:17" outlineLevel="1" x14ac:dyDescent="0.4">
      <c r="H341" s="481"/>
    </row>
    <row r="342" spans="1:17" x14ac:dyDescent="0.4">
      <c r="H342" s="481"/>
    </row>
    <row r="343" spans="1:17" s="476" customFormat="1" x14ac:dyDescent="0.4">
      <c r="A343" s="475">
        <f>MAX($A$7:A342)+1</f>
        <v>9</v>
      </c>
      <c r="B343" s="475" t="s">
        <v>658</v>
      </c>
      <c r="C343" s="475"/>
      <c r="D343" s="475"/>
      <c r="E343" s="475"/>
      <c r="F343" s="475"/>
      <c r="G343" s="475"/>
      <c r="H343" s="475"/>
      <c r="I343" s="475"/>
      <c r="J343" s="475"/>
      <c r="K343" s="475"/>
      <c r="L343" s="475"/>
      <c r="M343" s="475"/>
      <c r="N343" s="475"/>
      <c r="O343" s="475"/>
      <c r="P343" s="475"/>
      <c r="Q343" s="475"/>
    </row>
    <row r="344" spans="1:17" outlineLevel="1" x14ac:dyDescent="0.4">
      <c r="H344" s="481"/>
    </row>
    <row r="345" spans="1:17" s="483" customFormat="1" outlineLevel="1" x14ac:dyDescent="0.4">
      <c r="A345" s="482"/>
      <c r="B345" s="482">
        <f>MAX($A$7:B344)+0.1</f>
        <v>9.1</v>
      </c>
      <c r="C345" s="482" t="s">
        <v>659</v>
      </c>
      <c r="D345" s="482"/>
      <c r="E345" s="482"/>
      <c r="F345" s="482"/>
      <c r="G345" s="482"/>
      <c r="H345" s="482"/>
      <c r="I345" s="482"/>
      <c r="J345" s="482"/>
      <c r="K345" s="482"/>
      <c r="L345" s="482"/>
      <c r="M345" s="482"/>
      <c r="N345" s="482"/>
      <c r="O345" s="482"/>
      <c r="P345" s="482"/>
      <c r="Q345" s="482"/>
    </row>
    <row r="346" spans="1:17" outlineLevel="2" x14ac:dyDescent="0.4">
      <c r="H346" s="481"/>
    </row>
    <row r="347" spans="1:17" outlineLevel="2" x14ac:dyDescent="0.4">
      <c r="C347" s="501">
        <v>1</v>
      </c>
      <c r="D347" s="488"/>
      <c r="F347" s="489" t="s">
        <v>823</v>
      </c>
      <c r="H347" s="481"/>
      <c r="J347" s="502"/>
      <c r="K347" s="502"/>
      <c r="L347" s="502"/>
      <c r="M347" s="502"/>
      <c r="N347" s="502"/>
      <c r="O347" s="502"/>
      <c r="P347" s="502"/>
      <c r="Q347" s="502"/>
    </row>
    <row r="348" spans="1:17" outlineLevel="2" x14ac:dyDescent="0.4">
      <c r="C348" s="501">
        <f>C347+1</f>
        <v>2</v>
      </c>
      <c r="D348" s="488"/>
      <c r="F348" s="489" t="s">
        <v>823</v>
      </c>
      <c r="H348" s="481"/>
      <c r="J348" s="502"/>
      <c r="K348" s="502"/>
      <c r="L348" s="502"/>
      <c r="M348" s="502"/>
      <c r="N348" s="502"/>
      <c r="O348" s="502"/>
      <c r="P348" s="502"/>
      <c r="Q348" s="502"/>
    </row>
    <row r="349" spans="1:17" outlineLevel="2" x14ac:dyDescent="0.4">
      <c r="C349" s="501">
        <f>C348+1</f>
        <v>3</v>
      </c>
      <c r="D349" s="488"/>
      <c r="F349" s="489" t="s">
        <v>823</v>
      </c>
      <c r="H349" s="481"/>
      <c r="J349" s="502"/>
      <c r="K349" s="502"/>
      <c r="L349" s="502"/>
      <c r="M349" s="502"/>
      <c r="N349" s="502"/>
      <c r="O349" s="502"/>
      <c r="P349" s="502"/>
      <c r="Q349" s="502"/>
    </row>
    <row r="350" spans="1:17" outlineLevel="2" x14ac:dyDescent="0.4">
      <c r="H350" s="481"/>
    </row>
    <row r="351" spans="1:17" outlineLevel="1" x14ac:dyDescent="0.4">
      <c r="H351" s="481"/>
    </row>
    <row r="352" spans="1:17" x14ac:dyDescent="0.4">
      <c r="H352" s="481"/>
    </row>
    <row r="353" spans="1:17" s="476" customFormat="1" x14ac:dyDescent="0.4">
      <c r="A353" s="475">
        <f>MAX($A$7:A352)+1</f>
        <v>10</v>
      </c>
      <c r="B353" s="475" t="s">
        <v>660</v>
      </c>
      <c r="C353" s="475"/>
      <c r="D353" s="475"/>
      <c r="E353" s="475"/>
      <c r="F353" s="475"/>
      <c r="G353" s="475"/>
      <c r="H353" s="475"/>
      <c r="I353" s="475"/>
      <c r="J353" s="475"/>
      <c r="K353" s="475"/>
      <c r="L353" s="475"/>
      <c r="M353" s="475"/>
      <c r="N353" s="475"/>
      <c r="O353" s="475"/>
      <c r="P353" s="475"/>
      <c r="Q353" s="475"/>
    </row>
    <row r="354" spans="1:17" outlineLevel="1" x14ac:dyDescent="0.4">
      <c r="H354" s="481"/>
    </row>
    <row r="355" spans="1:17" s="483" customFormat="1" outlineLevel="1" x14ac:dyDescent="0.4">
      <c r="A355" s="482"/>
      <c r="B355" s="482">
        <f>MAX($A$7:B354)+0.1</f>
        <v>10.1</v>
      </c>
      <c r="C355" s="482" t="s">
        <v>661</v>
      </c>
      <c r="D355" s="482"/>
      <c r="E355" s="482"/>
      <c r="F355" s="482"/>
      <c r="G355" s="482"/>
      <c r="H355" s="482"/>
      <c r="I355" s="482"/>
      <c r="J355" s="482"/>
      <c r="K355" s="482"/>
      <c r="L355" s="482"/>
      <c r="M355" s="482"/>
      <c r="N355" s="482"/>
      <c r="O355" s="482"/>
      <c r="P355" s="482"/>
      <c r="Q355" s="482"/>
    </row>
    <row r="356" spans="1:17" ht="12.75" outlineLevel="2" x14ac:dyDescent="0.35">
      <c r="A356" s="496"/>
      <c r="B356" s="496"/>
      <c r="C356" s="501"/>
      <c r="D356" s="492" t="s">
        <v>662</v>
      </c>
      <c r="E356" s="497"/>
      <c r="F356" s="497"/>
      <c r="G356" s="499"/>
      <c r="H356" s="496"/>
      <c r="I356" s="501"/>
    </row>
    <row r="357" spans="1:17" ht="12.75" outlineLevel="2" x14ac:dyDescent="0.35">
      <c r="A357" s="496"/>
      <c r="B357" s="496"/>
      <c r="C357" s="501">
        <v>1</v>
      </c>
      <c r="D357" s="488"/>
      <c r="E357" s="497"/>
      <c r="F357" s="489" t="s">
        <v>823</v>
      </c>
      <c r="G357" s="522"/>
      <c r="H357" s="496"/>
      <c r="I357" s="501"/>
      <c r="J357" s="502"/>
    </row>
    <row r="358" spans="1:17" ht="12.75" outlineLevel="2" x14ac:dyDescent="0.35">
      <c r="A358" s="496"/>
      <c r="B358" s="496"/>
      <c r="C358" s="501">
        <f>C357+1</f>
        <v>2</v>
      </c>
      <c r="D358" s="488"/>
      <c r="E358" s="497"/>
      <c r="F358" s="489" t="s">
        <v>823</v>
      </c>
      <c r="G358" s="522"/>
      <c r="H358" s="496"/>
      <c r="I358" s="501"/>
      <c r="J358" s="502"/>
    </row>
    <row r="359" spans="1:17" ht="12.75" outlineLevel="2" x14ac:dyDescent="0.35">
      <c r="A359" s="496"/>
      <c r="B359" s="496"/>
      <c r="C359" s="501">
        <f>C358+1</f>
        <v>3</v>
      </c>
      <c r="D359" s="488"/>
      <c r="E359" s="497"/>
      <c r="F359" s="489" t="s">
        <v>823</v>
      </c>
      <c r="G359" s="522"/>
      <c r="H359" s="496"/>
      <c r="I359" s="501"/>
      <c r="J359" s="502"/>
    </row>
    <row r="360" spans="1:17" ht="12.75" outlineLevel="2" x14ac:dyDescent="0.35">
      <c r="A360" s="496"/>
      <c r="B360" s="496"/>
      <c r="C360" s="501">
        <f>C359+1</f>
        <v>4</v>
      </c>
      <c r="D360" s="488"/>
      <c r="E360" s="497"/>
      <c r="F360" s="489" t="s">
        <v>823</v>
      </c>
      <c r="G360" s="522"/>
      <c r="H360" s="496"/>
      <c r="I360" s="501"/>
      <c r="J360" s="502"/>
    </row>
    <row r="361" spans="1:17" ht="12.75" outlineLevel="2" x14ac:dyDescent="0.35">
      <c r="A361" s="496"/>
      <c r="B361" s="496"/>
      <c r="C361" s="501">
        <f>C360+1</f>
        <v>5</v>
      </c>
      <c r="D361" s="488"/>
      <c r="E361" s="497"/>
      <c r="F361" s="489" t="s">
        <v>823</v>
      </c>
      <c r="G361" s="522"/>
      <c r="H361" s="496"/>
      <c r="I361" s="501"/>
      <c r="J361" s="502"/>
    </row>
    <row r="362" spans="1:17" ht="12.75" outlineLevel="2" x14ac:dyDescent="0.35">
      <c r="A362" s="496"/>
      <c r="B362" s="496"/>
      <c r="C362" s="501"/>
      <c r="E362" s="497"/>
      <c r="F362" s="497"/>
      <c r="G362" s="522"/>
      <c r="H362" s="496"/>
      <c r="I362" s="500"/>
    </row>
    <row r="363" spans="1:17" ht="12.75" outlineLevel="1" x14ac:dyDescent="0.35">
      <c r="A363" s="496"/>
      <c r="B363" s="496"/>
      <c r="C363" s="501"/>
      <c r="E363" s="497"/>
      <c r="F363" s="497"/>
      <c r="G363" s="522"/>
      <c r="H363" s="496"/>
      <c r="I363" s="500"/>
    </row>
    <row r="364" spans="1:17" s="483" customFormat="1" outlineLevel="1" x14ac:dyDescent="0.4">
      <c r="A364" s="482"/>
      <c r="B364" s="482">
        <f>MAX($A$7:B363)+0.1</f>
        <v>10.199999999999999</v>
      </c>
      <c r="C364" s="482" t="s">
        <v>663</v>
      </c>
      <c r="D364" s="482"/>
      <c r="E364" s="482"/>
      <c r="F364" s="482"/>
      <c r="G364" s="482"/>
      <c r="H364" s="482"/>
      <c r="I364" s="482"/>
      <c r="J364" s="482"/>
      <c r="K364" s="482"/>
      <c r="L364" s="482"/>
      <c r="M364" s="482"/>
      <c r="N364" s="482"/>
      <c r="O364" s="482"/>
      <c r="P364" s="482"/>
      <c r="Q364" s="482"/>
    </row>
    <row r="365" spans="1:17" ht="12.75" outlineLevel="2" x14ac:dyDescent="0.35">
      <c r="A365" s="496"/>
      <c r="B365" s="496"/>
      <c r="C365" s="501"/>
      <c r="E365" s="497"/>
      <c r="F365" s="497"/>
      <c r="G365" s="522"/>
      <c r="H365" s="496"/>
      <c r="I365" s="500"/>
    </row>
    <row r="366" spans="1:17" ht="12.75" outlineLevel="2" x14ac:dyDescent="0.35">
      <c r="A366" s="496"/>
      <c r="B366" s="496"/>
      <c r="C366" s="501">
        <v>1</v>
      </c>
      <c r="D366" s="511" t="str">
        <f>IF(D357=0,"N/A",D357)</f>
        <v>N/A</v>
      </c>
      <c r="E366" s="497"/>
      <c r="F366" s="489" t="s">
        <v>823</v>
      </c>
      <c r="G366" s="522"/>
      <c r="H366" s="496"/>
      <c r="I366" s="500"/>
      <c r="J366" s="502"/>
    </row>
    <row r="367" spans="1:17" ht="12.75" outlineLevel="2" x14ac:dyDescent="0.35">
      <c r="A367" s="496"/>
      <c r="B367" s="496"/>
      <c r="C367" s="501">
        <f>C366+1</f>
        <v>2</v>
      </c>
      <c r="D367" s="511" t="str">
        <f>IF(D358=0,"N/A",D358)</f>
        <v>N/A</v>
      </c>
      <c r="E367" s="497"/>
      <c r="F367" s="489" t="s">
        <v>823</v>
      </c>
      <c r="G367" s="522"/>
      <c r="H367" s="496"/>
      <c r="I367" s="500"/>
      <c r="J367" s="502"/>
    </row>
    <row r="368" spans="1:17" ht="12.75" outlineLevel="2" x14ac:dyDescent="0.35">
      <c r="A368" s="496"/>
      <c r="B368" s="496"/>
      <c r="C368" s="501">
        <f>C367+1</f>
        <v>3</v>
      </c>
      <c r="D368" s="511" t="str">
        <f>IF(D359=0,"N/A",D359)</f>
        <v>N/A</v>
      </c>
      <c r="E368" s="497"/>
      <c r="F368" s="489" t="s">
        <v>823</v>
      </c>
      <c r="G368" s="522"/>
      <c r="H368" s="496"/>
      <c r="I368" s="500"/>
      <c r="J368" s="502"/>
    </row>
    <row r="369" spans="1:17" ht="12.75" outlineLevel="2" x14ac:dyDescent="0.35">
      <c r="A369" s="496"/>
      <c r="B369" s="496"/>
      <c r="C369" s="501">
        <f>C368+1</f>
        <v>4</v>
      </c>
      <c r="D369" s="511" t="str">
        <f>IF(D360=0,"N/A",D360)</f>
        <v>N/A</v>
      </c>
      <c r="E369" s="497"/>
      <c r="F369" s="489" t="s">
        <v>823</v>
      </c>
      <c r="G369" s="522"/>
      <c r="H369" s="496"/>
      <c r="I369" s="500"/>
      <c r="J369" s="502"/>
    </row>
    <row r="370" spans="1:17" ht="12.75" outlineLevel="2" x14ac:dyDescent="0.35">
      <c r="A370" s="496"/>
      <c r="B370" s="496"/>
      <c r="C370" s="501">
        <f>C369+1</f>
        <v>5</v>
      </c>
      <c r="D370" s="511" t="str">
        <f>IF(D361=0,"N/A",D361)</f>
        <v>N/A</v>
      </c>
      <c r="E370" s="497"/>
      <c r="F370" s="489" t="s">
        <v>823</v>
      </c>
      <c r="G370" s="522"/>
      <c r="H370" s="496"/>
      <c r="I370" s="500"/>
      <c r="J370" s="502"/>
    </row>
    <row r="371" spans="1:17" ht="12.75" outlineLevel="2" x14ac:dyDescent="0.35">
      <c r="A371" s="496"/>
      <c r="B371" s="496"/>
      <c r="C371" s="501"/>
      <c r="E371" s="497"/>
      <c r="F371" s="497"/>
      <c r="G371" s="522"/>
      <c r="H371" s="496"/>
      <c r="I371" s="500"/>
    </row>
    <row r="372" spans="1:17" ht="12.75" outlineLevel="1" x14ac:dyDescent="0.35">
      <c r="A372" s="496"/>
      <c r="B372" s="496"/>
      <c r="C372" s="501"/>
      <c r="E372" s="497"/>
      <c r="F372" s="497"/>
      <c r="G372" s="522"/>
      <c r="H372" s="496"/>
      <c r="I372" s="500"/>
    </row>
    <row r="373" spans="1:17" s="483" customFormat="1" outlineLevel="1" x14ac:dyDescent="0.4">
      <c r="A373" s="482"/>
      <c r="B373" s="482">
        <f>MAX($A$7:B372)+0.1</f>
        <v>10.299999999999999</v>
      </c>
      <c r="C373" s="482" t="s">
        <v>664</v>
      </c>
      <c r="D373" s="482"/>
      <c r="E373" s="482"/>
      <c r="F373" s="482"/>
      <c r="G373" s="482"/>
      <c r="H373" s="482"/>
      <c r="I373" s="482"/>
      <c r="J373" s="482"/>
      <c r="K373" s="482"/>
      <c r="L373" s="482"/>
      <c r="M373" s="482"/>
      <c r="N373" s="482"/>
      <c r="O373" s="482"/>
      <c r="P373" s="482"/>
      <c r="Q373" s="482"/>
    </row>
    <row r="374" spans="1:17" ht="12.75" outlineLevel="2" x14ac:dyDescent="0.35">
      <c r="A374" s="496"/>
      <c r="B374" s="496"/>
      <c r="C374" s="501"/>
      <c r="E374" s="497"/>
      <c r="F374" s="497"/>
      <c r="G374" s="499"/>
      <c r="H374" s="496"/>
      <c r="I374" s="501"/>
    </row>
    <row r="375" spans="1:17" ht="12.75" outlineLevel="2" x14ac:dyDescent="0.35">
      <c r="A375" s="496"/>
      <c r="B375" s="496"/>
      <c r="C375" s="501">
        <v>1</v>
      </c>
      <c r="D375" s="511" t="str">
        <f>IF(D357=0,"N/A",D357)</f>
        <v>N/A</v>
      </c>
      <c r="E375" s="497"/>
      <c r="F375" s="489" t="s">
        <v>823</v>
      </c>
      <c r="G375" s="522"/>
      <c r="H375" s="496"/>
      <c r="I375" s="501"/>
      <c r="K375" s="502"/>
      <c r="L375" s="502"/>
      <c r="M375" s="502"/>
      <c r="N375" s="502"/>
      <c r="O375" s="502"/>
      <c r="P375" s="502"/>
      <c r="Q375" s="502"/>
    </row>
    <row r="376" spans="1:17" ht="12.75" outlineLevel="2" x14ac:dyDescent="0.35">
      <c r="A376" s="496"/>
      <c r="B376" s="496"/>
      <c r="C376" s="501">
        <f>C375+1</f>
        <v>2</v>
      </c>
      <c r="D376" s="511" t="str">
        <f>IF(D358=0,"N/A",D358)</f>
        <v>N/A</v>
      </c>
      <c r="E376" s="497"/>
      <c r="F376" s="489" t="s">
        <v>823</v>
      </c>
      <c r="G376" s="522"/>
      <c r="H376" s="496"/>
      <c r="I376" s="501"/>
      <c r="K376" s="502"/>
      <c r="L376" s="502"/>
      <c r="M376" s="502"/>
      <c r="N376" s="502"/>
      <c r="O376" s="502"/>
      <c r="P376" s="502"/>
      <c r="Q376" s="502"/>
    </row>
    <row r="377" spans="1:17" ht="12.75" outlineLevel="2" x14ac:dyDescent="0.35">
      <c r="A377" s="496"/>
      <c r="B377" s="496"/>
      <c r="C377" s="501">
        <f>C376+1</f>
        <v>3</v>
      </c>
      <c r="D377" s="511" t="str">
        <f>IF(D359=0,"N/A",D359)</f>
        <v>N/A</v>
      </c>
      <c r="E377" s="497"/>
      <c r="F377" s="489" t="s">
        <v>823</v>
      </c>
      <c r="G377" s="522"/>
      <c r="H377" s="496"/>
      <c r="I377" s="500"/>
      <c r="K377" s="502"/>
      <c r="L377" s="502"/>
      <c r="M377" s="502"/>
      <c r="N377" s="502"/>
      <c r="O377" s="502"/>
      <c r="P377" s="502"/>
      <c r="Q377" s="502"/>
    </row>
    <row r="378" spans="1:17" ht="12.75" outlineLevel="2" x14ac:dyDescent="0.35">
      <c r="A378" s="496"/>
      <c r="B378" s="496"/>
      <c r="C378" s="501">
        <f>C377+1</f>
        <v>4</v>
      </c>
      <c r="D378" s="511" t="str">
        <f>IF(D360=0,"N/A",D360)</f>
        <v>N/A</v>
      </c>
      <c r="E378" s="497"/>
      <c r="F378" s="489" t="s">
        <v>823</v>
      </c>
      <c r="G378" s="522"/>
      <c r="H378" s="496"/>
      <c r="I378" s="500"/>
      <c r="K378" s="502"/>
      <c r="L378" s="502"/>
      <c r="M378" s="502"/>
      <c r="N378" s="502"/>
      <c r="O378" s="502"/>
      <c r="P378" s="502"/>
      <c r="Q378" s="502"/>
    </row>
    <row r="379" spans="1:17" ht="12.75" outlineLevel="2" x14ac:dyDescent="0.35">
      <c r="A379" s="496"/>
      <c r="B379" s="496"/>
      <c r="C379" s="501">
        <f>C378+1</f>
        <v>5</v>
      </c>
      <c r="D379" s="511" t="str">
        <f>IF(D361=0,"N/A",D361)</f>
        <v>N/A</v>
      </c>
      <c r="E379" s="497"/>
      <c r="F379" s="489" t="s">
        <v>823</v>
      </c>
      <c r="G379" s="522"/>
      <c r="H379" s="496"/>
      <c r="I379" s="500"/>
      <c r="K379" s="502"/>
      <c r="L379" s="502"/>
      <c r="M379" s="502"/>
      <c r="N379" s="502"/>
      <c r="O379" s="502"/>
      <c r="P379" s="502"/>
      <c r="Q379" s="502"/>
    </row>
    <row r="380" spans="1:17" outlineLevel="2" x14ac:dyDescent="0.4">
      <c r="H380" s="481"/>
    </row>
    <row r="381" spans="1:17" outlineLevel="1" x14ac:dyDescent="0.4">
      <c r="H381" s="481"/>
    </row>
    <row r="382" spans="1:17" s="483" customFormat="1" outlineLevel="1" x14ac:dyDescent="0.4">
      <c r="A382" s="482"/>
      <c r="B382" s="482">
        <f>MAX($A$7:B381)+0.1</f>
        <v>10.399999999999999</v>
      </c>
      <c r="C382" s="482" t="s">
        <v>665</v>
      </c>
      <c r="D382" s="482"/>
      <c r="E382" s="482"/>
      <c r="F382" s="482"/>
      <c r="G382" s="482"/>
      <c r="H382" s="482"/>
      <c r="I382" s="482"/>
      <c r="J382" s="482"/>
      <c r="K382" s="482"/>
      <c r="L382" s="482"/>
      <c r="M382" s="482"/>
      <c r="N382" s="482"/>
      <c r="O382" s="482"/>
      <c r="P382" s="482"/>
      <c r="Q382" s="482"/>
    </row>
    <row r="383" spans="1:17" ht="12.75" outlineLevel="2" x14ac:dyDescent="0.35">
      <c r="A383" s="496"/>
      <c r="B383" s="496"/>
      <c r="E383" s="497"/>
      <c r="F383" s="497"/>
      <c r="G383" s="499"/>
      <c r="H383" s="496"/>
      <c r="I383" s="501"/>
    </row>
    <row r="384" spans="1:17" ht="12.75" outlineLevel="2" x14ac:dyDescent="0.35">
      <c r="A384" s="496"/>
      <c r="B384" s="496"/>
      <c r="D384" s="486" t="s">
        <v>666</v>
      </c>
      <c r="E384" s="497"/>
      <c r="F384" s="489" t="s">
        <v>21</v>
      </c>
      <c r="G384" s="522"/>
      <c r="H384" s="496"/>
      <c r="I384" s="501"/>
      <c r="K384" s="507"/>
      <c r="L384" s="507">
        <v>1</v>
      </c>
      <c r="M384" s="507">
        <v>1</v>
      </c>
      <c r="N384" s="507">
        <v>1</v>
      </c>
      <c r="O384" s="507"/>
      <c r="P384" s="507"/>
      <c r="Q384" s="507"/>
    </row>
    <row r="385" spans="1:17" ht="12.75" outlineLevel="2" x14ac:dyDescent="0.35">
      <c r="A385" s="496"/>
      <c r="B385" s="496"/>
      <c r="D385" s="486" t="s">
        <v>667</v>
      </c>
      <c r="E385" s="497"/>
      <c r="F385" s="489" t="s">
        <v>21</v>
      </c>
      <c r="G385" s="522"/>
      <c r="H385" s="496"/>
      <c r="I385" s="501"/>
      <c r="K385" s="507"/>
      <c r="L385" s="507"/>
      <c r="M385" s="507"/>
      <c r="N385" s="507"/>
      <c r="O385" s="507"/>
      <c r="P385" s="507"/>
      <c r="Q385" s="507"/>
    </row>
    <row r="386" spans="1:17" ht="12.75" outlineLevel="2" x14ac:dyDescent="0.35">
      <c r="A386" s="496"/>
      <c r="B386" s="496"/>
      <c r="D386" s="486" t="s">
        <v>668</v>
      </c>
      <c r="E386" s="497"/>
      <c r="F386" s="489" t="s">
        <v>21</v>
      </c>
      <c r="G386" s="522"/>
      <c r="H386" s="496"/>
      <c r="I386" s="501"/>
      <c r="K386" s="507">
        <v>1</v>
      </c>
      <c r="L386" s="507"/>
      <c r="M386" s="507"/>
      <c r="N386" s="507"/>
      <c r="O386" s="507"/>
      <c r="P386" s="507"/>
      <c r="Q386" s="507"/>
    </row>
    <row r="387" spans="1:17" ht="12.75" outlineLevel="2" x14ac:dyDescent="0.35">
      <c r="A387" s="496"/>
      <c r="B387" s="496"/>
      <c r="D387" s="486" t="s">
        <v>669</v>
      </c>
      <c r="E387" s="497"/>
      <c r="F387" s="489" t="s">
        <v>21</v>
      </c>
      <c r="G387" s="522"/>
      <c r="H387" s="496"/>
      <c r="I387" s="501"/>
      <c r="K387" s="507"/>
      <c r="L387" s="507"/>
      <c r="M387" s="507"/>
      <c r="N387" s="507"/>
      <c r="O387" s="507"/>
      <c r="P387" s="507"/>
      <c r="Q387" s="481"/>
    </row>
    <row r="388" spans="1:17" ht="12.75" outlineLevel="2" x14ac:dyDescent="0.35">
      <c r="A388" s="496"/>
      <c r="B388" s="496"/>
      <c r="E388" s="514" t="s">
        <v>734</v>
      </c>
      <c r="F388" s="489" t="s">
        <v>21</v>
      </c>
      <c r="G388" s="522"/>
      <c r="H388" s="496"/>
      <c r="I388" s="500"/>
      <c r="K388" s="524">
        <v>1</v>
      </c>
      <c r="L388" s="524">
        <v>1</v>
      </c>
      <c r="M388" s="524">
        <v>1</v>
      </c>
      <c r="N388" s="524">
        <v>1</v>
      </c>
      <c r="O388" s="524">
        <v>0</v>
      </c>
      <c r="P388" s="524">
        <v>0</v>
      </c>
      <c r="Q388" s="524">
        <v>0</v>
      </c>
    </row>
    <row r="389" spans="1:17" outlineLevel="2" x14ac:dyDescent="0.4">
      <c r="H389" s="481"/>
    </row>
    <row r="390" spans="1:17" outlineLevel="1" x14ac:dyDescent="0.4">
      <c r="H390" s="481"/>
    </row>
    <row r="391" spans="1:17" s="483" customFormat="1" outlineLevel="1" x14ac:dyDescent="0.4">
      <c r="A391" s="482"/>
      <c r="B391" s="482">
        <f>MAX($A$7:B390)+0.1</f>
        <v>10.499999999999998</v>
      </c>
      <c r="C391" s="482" t="s">
        <v>670</v>
      </c>
      <c r="D391" s="482"/>
      <c r="E391" s="482"/>
      <c r="F391" s="482"/>
      <c r="G391" s="482"/>
      <c r="H391" s="482"/>
      <c r="I391" s="482"/>
      <c r="J391" s="482"/>
      <c r="K391" s="482"/>
      <c r="L391" s="482"/>
      <c r="M391" s="482"/>
      <c r="N391" s="482"/>
      <c r="O391" s="482"/>
      <c r="P391" s="482"/>
      <c r="Q391" s="482"/>
    </row>
    <row r="392" spans="1:17" ht="12.75" outlineLevel="2" x14ac:dyDescent="0.35">
      <c r="A392" s="496"/>
      <c r="B392" s="496"/>
      <c r="C392" s="501"/>
      <c r="E392" s="497"/>
      <c r="F392" s="497"/>
      <c r="G392" s="499"/>
      <c r="H392" s="496"/>
      <c r="I392" s="501"/>
    </row>
    <row r="393" spans="1:17" ht="12.75" outlineLevel="2" x14ac:dyDescent="0.35">
      <c r="A393" s="496"/>
      <c r="B393" s="496"/>
      <c r="C393" s="501">
        <v>1</v>
      </c>
      <c r="D393" s="511" t="str">
        <f>IF(D375=0,"N/A",D375)</f>
        <v>N/A</v>
      </c>
      <c r="E393" s="496"/>
      <c r="F393" s="489" t="s">
        <v>21</v>
      </c>
      <c r="G393" s="507"/>
      <c r="H393" s="496"/>
      <c r="I393" s="501"/>
      <c r="J393" s="481"/>
    </row>
    <row r="394" spans="1:17" ht="12.75" outlineLevel="2" x14ac:dyDescent="0.35">
      <c r="A394" s="496"/>
      <c r="B394" s="496"/>
      <c r="C394" s="501">
        <f>C393+1</f>
        <v>2</v>
      </c>
      <c r="D394" s="511" t="str">
        <f>IF(D376=0,"N/A",D376)</f>
        <v>N/A</v>
      </c>
      <c r="E394" s="496"/>
      <c r="F394" s="489" t="s">
        <v>21</v>
      </c>
      <c r="G394" s="507"/>
      <c r="H394" s="496"/>
      <c r="I394" s="501"/>
      <c r="J394" s="481"/>
    </row>
    <row r="395" spans="1:17" ht="12.75" outlineLevel="2" x14ac:dyDescent="0.35">
      <c r="A395" s="496"/>
      <c r="B395" s="496"/>
      <c r="C395" s="501">
        <f>C394+1</f>
        <v>3</v>
      </c>
      <c r="D395" s="511" t="str">
        <f>IF(D377=0,"N/A",D377)</f>
        <v>N/A</v>
      </c>
      <c r="E395" s="496"/>
      <c r="F395" s="489" t="s">
        <v>21</v>
      </c>
      <c r="G395" s="507"/>
      <c r="H395" s="496"/>
      <c r="I395" s="501"/>
      <c r="J395" s="481"/>
    </row>
    <row r="396" spans="1:17" ht="12.75" outlineLevel="2" x14ac:dyDescent="0.35">
      <c r="A396" s="496"/>
      <c r="B396" s="496"/>
      <c r="C396" s="501">
        <f>C395+1</f>
        <v>4</v>
      </c>
      <c r="D396" s="511" t="str">
        <f>IF(D378=0,"N/A",D378)</f>
        <v>N/A</v>
      </c>
      <c r="E396" s="496"/>
      <c r="F396" s="489" t="s">
        <v>21</v>
      </c>
      <c r="G396" s="507"/>
      <c r="H396" s="496"/>
      <c r="I396" s="501"/>
      <c r="J396" s="481"/>
    </row>
    <row r="397" spans="1:17" ht="12.75" outlineLevel="2" x14ac:dyDescent="0.35">
      <c r="A397" s="496"/>
      <c r="B397" s="496"/>
      <c r="C397" s="501">
        <f>C396+1</f>
        <v>5</v>
      </c>
      <c r="D397" s="511" t="str">
        <f>IF(D379=0,"N/A",D379)</f>
        <v>N/A</v>
      </c>
      <c r="E397" s="496"/>
      <c r="F397" s="489" t="s">
        <v>21</v>
      </c>
      <c r="G397" s="507"/>
      <c r="H397" s="496"/>
      <c r="I397" s="500"/>
      <c r="J397" s="481"/>
    </row>
    <row r="398" spans="1:17" outlineLevel="2" x14ac:dyDescent="0.4">
      <c r="H398" s="481"/>
    </row>
    <row r="399" spans="1:17" outlineLevel="1" x14ac:dyDescent="0.4">
      <c r="H399" s="481"/>
    </row>
    <row r="400" spans="1:17" s="483" customFormat="1" outlineLevel="1" x14ac:dyDescent="0.4">
      <c r="A400" s="482"/>
      <c r="B400" s="482">
        <f>MAX($A$7:B399)+0.1</f>
        <v>10.599999999999998</v>
      </c>
      <c r="C400" s="482" t="s">
        <v>671</v>
      </c>
      <c r="D400" s="482"/>
      <c r="E400" s="482"/>
      <c r="F400" s="482"/>
      <c r="G400" s="482"/>
      <c r="H400" s="482"/>
      <c r="I400" s="482"/>
      <c r="J400" s="482"/>
      <c r="K400" s="482"/>
      <c r="L400" s="482"/>
      <c r="M400" s="482"/>
      <c r="N400" s="482"/>
      <c r="O400" s="482"/>
      <c r="P400" s="482"/>
      <c r="Q400" s="482"/>
    </row>
    <row r="401" spans="1:17" ht="12.75" outlineLevel="2" x14ac:dyDescent="0.35">
      <c r="A401" s="496"/>
      <c r="B401" s="496"/>
      <c r="C401" s="501"/>
      <c r="E401" s="497"/>
      <c r="F401" s="497"/>
      <c r="G401" s="499"/>
      <c r="H401" s="496"/>
      <c r="I401" s="501"/>
    </row>
    <row r="402" spans="1:17" ht="12.75" outlineLevel="2" x14ac:dyDescent="0.35">
      <c r="A402" s="496"/>
      <c r="B402" s="496"/>
      <c r="C402" s="501">
        <v>1</v>
      </c>
      <c r="D402" s="511" t="str">
        <f>IF(D393=0,"N/A",D393)</f>
        <v>N/A</v>
      </c>
      <c r="E402" s="514" t="s">
        <v>736</v>
      </c>
      <c r="F402" s="489" t="s">
        <v>823</v>
      </c>
      <c r="G402" s="504"/>
      <c r="H402" s="496"/>
      <c r="I402" s="501"/>
      <c r="J402" s="481"/>
      <c r="K402" s="502"/>
      <c r="L402" s="502"/>
      <c r="M402" s="502"/>
      <c r="N402" s="502"/>
      <c r="O402" s="502"/>
      <c r="P402" s="502"/>
      <c r="Q402" s="502"/>
    </row>
    <row r="403" spans="1:17" ht="12.75" outlineLevel="2" x14ac:dyDescent="0.35">
      <c r="A403" s="496"/>
      <c r="B403" s="496"/>
      <c r="C403" s="501">
        <f>C402+1</f>
        <v>2</v>
      </c>
      <c r="D403" s="511" t="str">
        <f>IF(D394=0,"N/A",D394)</f>
        <v>N/A</v>
      </c>
      <c r="E403" s="514" t="s">
        <v>736</v>
      </c>
      <c r="F403" s="489" t="s">
        <v>823</v>
      </c>
      <c r="G403" s="504"/>
      <c r="H403" s="496"/>
      <c r="I403" s="501"/>
      <c r="J403" s="481"/>
      <c r="K403" s="502"/>
      <c r="L403" s="502"/>
      <c r="M403" s="502"/>
      <c r="N403" s="502"/>
      <c r="O403" s="502"/>
      <c r="P403" s="502"/>
      <c r="Q403" s="502"/>
    </row>
    <row r="404" spans="1:17" ht="12.75" outlineLevel="2" x14ac:dyDescent="0.35">
      <c r="A404" s="496"/>
      <c r="B404" s="496"/>
      <c r="C404" s="501">
        <f>C403+1</f>
        <v>3</v>
      </c>
      <c r="D404" s="511" t="str">
        <f>IF(D395=0,"N/A",D395)</f>
        <v>N/A</v>
      </c>
      <c r="E404" s="514" t="s">
        <v>736</v>
      </c>
      <c r="F404" s="489" t="s">
        <v>823</v>
      </c>
      <c r="G404" s="504"/>
      <c r="H404" s="496"/>
      <c r="I404" s="501"/>
      <c r="J404" s="481"/>
      <c r="K404" s="502"/>
      <c r="L404" s="502"/>
      <c r="M404" s="502"/>
      <c r="N404" s="502"/>
      <c r="O404" s="502"/>
      <c r="P404" s="502"/>
      <c r="Q404" s="502"/>
    </row>
    <row r="405" spans="1:17" ht="12.75" outlineLevel="2" x14ac:dyDescent="0.35">
      <c r="A405" s="496"/>
      <c r="B405" s="496"/>
      <c r="C405" s="501">
        <f>C404+1</f>
        <v>4</v>
      </c>
      <c r="D405" s="511" t="str">
        <f>IF(D396=0,"N/A",D396)</f>
        <v>N/A</v>
      </c>
      <c r="E405" s="514" t="s">
        <v>736</v>
      </c>
      <c r="F405" s="489" t="s">
        <v>823</v>
      </c>
      <c r="G405" s="504"/>
      <c r="H405" s="496"/>
      <c r="I405" s="501"/>
      <c r="J405" s="481"/>
      <c r="K405" s="502"/>
      <c r="L405" s="502"/>
      <c r="M405" s="502"/>
      <c r="N405" s="502"/>
      <c r="O405" s="502"/>
      <c r="P405" s="502"/>
      <c r="Q405" s="502"/>
    </row>
    <row r="406" spans="1:17" ht="12.75" outlineLevel="2" x14ac:dyDescent="0.35">
      <c r="A406" s="496"/>
      <c r="B406" s="496"/>
      <c r="C406" s="501">
        <f>C405+1</f>
        <v>5</v>
      </c>
      <c r="D406" s="511" t="str">
        <f>IF(D397=0,"N/A",D397)</f>
        <v>N/A</v>
      </c>
      <c r="E406" s="514" t="s">
        <v>736</v>
      </c>
      <c r="F406" s="489" t="s">
        <v>823</v>
      </c>
      <c r="G406" s="504"/>
      <c r="H406" s="496"/>
      <c r="I406" s="500"/>
      <c r="J406" s="481"/>
      <c r="K406" s="502"/>
      <c r="L406" s="502"/>
      <c r="M406" s="502"/>
      <c r="N406" s="502"/>
      <c r="O406" s="502"/>
      <c r="P406" s="502"/>
      <c r="Q406" s="502"/>
    </row>
    <row r="407" spans="1:17" ht="12.75" outlineLevel="2" x14ac:dyDescent="0.35">
      <c r="A407" s="496"/>
      <c r="B407" s="496"/>
      <c r="C407" s="501"/>
      <c r="E407" s="497"/>
      <c r="F407" s="497"/>
      <c r="G407" s="499"/>
      <c r="H407" s="496"/>
      <c r="I407" s="501"/>
    </row>
    <row r="408" spans="1:17" ht="12.75" outlineLevel="1" x14ac:dyDescent="0.35">
      <c r="A408" s="496"/>
      <c r="B408" s="496"/>
      <c r="C408" s="501"/>
      <c r="E408" s="497"/>
      <c r="F408" s="497"/>
      <c r="G408" s="499"/>
      <c r="H408" s="496"/>
      <c r="I408" s="501"/>
    </row>
    <row r="409" spans="1:17" s="483" customFormat="1" outlineLevel="1" x14ac:dyDescent="0.4">
      <c r="A409" s="482"/>
      <c r="B409" s="482">
        <f>MAX($A$7:B408)+0.1</f>
        <v>10.699999999999998</v>
      </c>
      <c r="C409" s="482" t="s">
        <v>672</v>
      </c>
      <c r="D409" s="482"/>
      <c r="E409" s="482"/>
      <c r="F409" s="482"/>
      <c r="G409" s="482"/>
      <c r="H409" s="482"/>
      <c r="I409" s="482"/>
      <c r="J409" s="482"/>
      <c r="K409" s="482"/>
      <c r="L409" s="482"/>
      <c r="M409" s="482"/>
      <c r="N409" s="482"/>
      <c r="O409" s="482"/>
      <c r="P409" s="482"/>
      <c r="Q409" s="482"/>
    </row>
    <row r="410" spans="1:17" ht="12.75" outlineLevel="2" x14ac:dyDescent="0.35">
      <c r="A410" s="496"/>
      <c r="B410" s="496"/>
      <c r="C410" s="501"/>
      <c r="E410" s="497"/>
      <c r="F410" s="497"/>
      <c r="G410" s="499"/>
      <c r="H410" s="496"/>
      <c r="I410" s="501"/>
    </row>
    <row r="411" spans="1:17" ht="12.75" outlineLevel="2" x14ac:dyDescent="0.35">
      <c r="A411" s="496"/>
      <c r="B411" s="496"/>
      <c r="C411" s="501"/>
      <c r="D411" s="486" t="s">
        <v>666</v>
      </c>
      <c r="E411" s="497"/>
      <c r="F411" s="489" t="s">
        <v>21</v>
      </c>
      <c r="G411" s="522"/>
      <c r="H411" s="496"/>
      <c r="I411" s="501"/>
      <c r="K411" s="507"/>
      <c r="L411" s="507"/>
      <c r="M411" s="507"/>
      <c r="N411" s="507"/>
      <c r="O411" s="507"/>
      <c r="P411" s="507"/>
      <c r="Q411" s="507"/>
    </row>
    <row r="412" spans="1:17" ht="12.75" outlineLevel="2" x14ac:dyDescent="0.35">
      <c r="A412" s="496"/>
      <c r="B412" s="496"/>
      <c r="C412" s="501"/>
      <c r="D412" s="486" t="s">
        <v>667</v>
      </c>
      <c r="E412" s="497"/>
      <c r="F412" s="489" t="s">
        <v>21</v>
      </c>
      <c r="G412" s="522"/>
      <c r="H412" s="496"/>
      <c r="I412" s="501"/>
      <c r="K412" s="507"/>
      <c r="L412" s="507"/>
      <c r="M412" s="507"/>
      <c r="N412" s="507"/>
      <c r="O412" s="507"/>
      <c r="P412" s="507"/>
      <c r="Q412" s="507"/>
    </row>
    <row r="413" spans="1:17" ht="12.75" outlineLevel="2" x14ac:dyDescent="0.35">
      <c r="A413" s="496"/>
      <c r="B413" s="496"/>
      <c r="C413" s="501"/>
      <c r="D413" s="486" t="s">
        <v>668</v>
      </c>
      <c r="E413" s="497"/>
      <c r="F413" s="489" t="s">
        <v>21</v>
      </c>
      <c r="G413" s="522"/>
      <c r="H413" s="496"/>
      <c r="I413" s="501"/>
      <c r="K413" s="507"/>
      <c r="L413" s="507"/>
      <c r="M413" s="507"/>
      <c r="N413" s="507"/>
      <c r="O413" s="507"/>
      <c r="P413" s="507"/>
      <c r="Q413" s="507"/>
    </row>
    <row r="414" spans="1:17" ht="12.75" outlineLevel="2" x14ac:dyDescent="0.35">
      <c r="A414" s="496"/>
      <c r="B414" s="496"/>
      <c r="C414" s="501"/>
      <c r="D414" s="486" t="s">
        <v>669</v>
      </c>
      <c r="E414" s="497"/>
      <c r="F414" s="489" t="s">
        <v>21</v>
      </c>
      <c r="G414" s="522"/>
      <c r="H414" s="496"/>
      <c r="I414" s="501"/>
      <c r="K414" s="507"/>
      <c r="L414" s="507"/>
      <c r="M414" s="507"/>
      <c r="N414" s="507"/>
      <c r="O414" s="507"/>
      <c r="P414" s="507"/>
      <c r="Q414" s="481"/>
    </row>
    <row r="415" spans="1:17" ht="12.75" outlineLevel="2" x14ac:dyDescent="0.35">
      <c r="A415" s="496"/>
      <c r="B415" s="496"/>
      <c r="C415" s="501"/>
      <c r="D415" s="501"/>
      <c r="E415" s="514" t="s">
        <v>734</v>
      </c>
      <c r="F415" s="489" t="s">
        <v>21</v>
      </c>
      <c r="G415" s="522"/>
      <c r="H415" s="496"/>
      <c r="I415" s="500"/>
      <c r="K415" s="524">
        <f t="shared" ref="K415:Q415" si="14">SUM(K411:K414)</f>
        <v>0</v>
      </c>
      <c r="L415" s="524">
        <f t="shared" si="14"/>
        <v>0</v>
      </c>
      <c r="M415" s="524">
        <f t="shared" si="14"/>
        <v>0</v>
      </c>
      <c r="N415" s="524">
        <f t="shared" si="14"/>
        <v>0</v>
      </c>
      <c r="O415" s="524">
        <f t="shared" si="14"/>
        <v>0</v>
      </c>
      <c r="P415" s="524">
        <f t="shared" si="14"/>
        <v>0</v>
      </c>
      <c r="Q415" s="524">
        <f t="shared" si="14"/>
        <v>0</v>
      </c>
    </row>
    <row r="416" spans="1:17" outlineLevel="2" x14ac:dyDescent="0.4"/>
    <row r="417" spans="1:17" outlineLevel="1" x14ac:dyDescent="0.4"/>
    <row r="419" spans="1:17" s="476" customFormat="1" x14ac:dyDescent="0.4">
      <c r="A419" s="475">
        <f>MAX($A$7:A418)+1</f>
        <v>11</v>
      </c>
      <c r="B419" s="475" t="s">
        <v>673</v>
      </c>
      <c r="C419" s="475"/>
      <c r="D419" s="475"/>
      <c r="E419" s="475"/>
      <c r="F419" s="475"/>
      <c r="G419" s="475"/>
      <c r="H419" s="475"/>
      <c r="I419" s="475"/>
      <c r="J419" s="475"/>
      <c r="K419" s="475"/>
      <c r="L419" s="475"/>
      <c r="M419" s="475"/>
      <c r="N419" s="475"/>
      <c r="O419" s="475"/>
      <c r="P419" s="475"/>
      <c r="Q419" s="475"/>
    </row>
    <row r="420" spans="1:17" outlineLevel="1" x14ac:dyDescent="0.4">
      <c r="H420" s="481"/>
    </row>
    <row r="421" spans="1:17" s="483" customFormat="1" outlineLevel="1" x14ac:dyDescent="0.4">
      <c r="A421" s="482"/>
      <c r="B421" s="482">
        <f>MAX($A$7:B420)+0.1</f>
        <v>11.1</v>
      </c>
      <c r="C421" s="482" t="s">
        <v>674</v>
      </c>
      <c r="D421" s="482"/>
      <c r="E421" s="482"/>
      <c r="F421" s="482"/>
      <c r="G421" s="482"/>
      <c r="H421" s="482"/>
      <c r="I421" s="482"/>
      <c r="J421" s="482"/>
      <c r="K421" s="482"/>
      <c r="L421" s="482"/>
      <c r="M421" s="482"/>
      <c r="N421" s="482"/>
      <c r="O421" s="482"/>
      <c r="P421" s="482"/>
      <c r="Q421" s="482"/>
    </row>
    <row r="422" spans="1:17" outlineLevel="2" x14ac:dyDescent="0.4">
      <c r="H422" s="481"/>
    </row>
    <row r="423" spans="1:17" outlineLevel="2" x14ac:dyDescent="0.4">
      <c r="D423" s="486" t="s">
        <v>675</v>
      </c>
      <c r="F423" s="489" t="s">
        <v>823</v>
      </c>
      <c r="H423" s="481"/>
      <c r="K423" s="502">
        <f>'Financing Template'!G28</f>
        <v>0</v>
      </c>
      <c r="L423" s="502"/>
      <c r="M423" s="502"/>
      <c r="N423" s="502"/>
      <c r="O423" s="481"/>
      <c r="P423" s="481"/>
      <c r="Q423" s="481"/>
    </row>
    <row r="424" spans="1:17" outlineLevel="2" x14ac:dyDescent="0.4">
      <c r="D424" s="486" t="s">
        <v>676</v>
      </c>
      <c r="E424" s="514" t="s">
        <v>736</v>
      </c>
      <c r="F424" s="489" t="s">
        <v>823</v>
      </c>
      <c r="H424" s="481"/>
      <c r="N424" s="502">
        <v>150000</v>
      </c>
      <c r="O424" s="502">
        <v>150000</v>
      </c>
      <c r="P424" s="502">
        <v>150000</v>
      </c>
      <c r="Q424" s="502">
        <v>150000</v>
      </c>
    </row>
    <row r="425" spans="1:17" outlineLevel="2" x14ac:dyDescent="0.4">
      <c r="H425" s="481"/>
    </row>
    <row r="426" spans="1:17" outlineLevel="1" x14ac:dyDescent="0.4">
      <c r="H426" s="481"/>
    </row>
    <row r="427" spans="1:17" s="483" customFormat="1" outlineLevel="1" x14ac:dyDescent="0.4">
      <c r="A427" s="482"/>
      <c r="B427" s="482">
        <f>MAX($A$7:B426)+0.1</f>
        <v>11.2</v>
      </c>
      <c r="C427" s="482" t="s">
        <v>677</v>
      </c>
      <c r="D427" s="482"/>
      <c r="E427" s="482"/>
      <c r="F427" s="482"/>
      <c r="G427" s="482"/>
      <c r="H427" s="482"/>
      <c r="I427" s="482"/>
      <c r="J427" s="482"/>
      <c r="K427" s="482"/>
      <c r="L427" s="482"/>
      <c r="M427" s="482"/>
      <c r="N427" s="482"/>
      <c r="O427" s="482"/>
      <c r="P427" s="482"/>
      <c r="Q427" s="482"/>
    </row>
    <row r="428" spans="1:17" outlineLevel="2" x14ac:dyDescent="0.4">
      <c r="H428" s="481"/>
    </row>
    <row r="429" spans="1:17" outlineLevel="2" x14ac:dyDescent="0.4">
      <c r="D429" s="486" t="s">
        <v>677</v>
      </c>
      <c r="F429" s="489" t="s">
        <v>823</v>
      </c>
      <c r="H429" s="481"/>
      <c r="K429" s="502">
        <f>'Financing Template'!G23</f>
        <v>0</v>
      </c>
      <c r="L429" s="502"/>
      <c r="M429" s="502"/>
      <c r="N429" s="502"/>
      <c r="O429" s="481"/>
      <c r="P429" s="481"/>
      <c r="Q429" s="481"/>
    </row>
    <row r="430" spans="1:17" outlineLevel="2" x14ac:dyDescent="0.4">
      <c r="H430" s="481"/>
    </row>
    <row r="431" spans="1:17" outlineLevel="1" x14ac:dyDescent="0.4">
      <c r="H431" s="481"/>
    </row>
    <row r="432" spans="1:17" s="483" customFormat="1" outlineLevel="1" x14ac:dyDescent="0.4">
      <c r="A432" s="482"/>
      <c r="B432" s="482">
        <f>MAX($A$7:B431)+0.1</f>
        <v>11.299999999999999</v>
      </c>
      <c r="C432" s="482" t="s">
        <v>678</v>
      </c>
      <c r="D432" s="482"/>
      <c r="E432" s="482"/>
      <c r="F432" s="482"/>
      <c r="G432" s="482"/>
      <c r="H432" s="482"/>
      <c r="I432" s="482"/>
      <c r="J432" s="482"/>
      <c r="K432" s="482"/>
      <c r="L432" s="482"/>
      <c r="M432" s="482"/>
      <c r="N432" s="482"/>
      <c r="O432" s="482"/>
      <c r="P432" s="482"/>
      <c r="Q432" s="482"/>
    </row>
    <row r="433" spans="1:17" outlineLevel="2" x14ac:dyDescent="0.4"/>
    <row r="434" spans="1:17" ht="12.75" outlineLevel="2" x14ac:dyDescent="0.35">
      <c r="A434" s="496"/>
      <c r="B434" s="496"/>
      <c r="D434" s="486" t="s">
        <v>666</v>
      </c>
      <c r="E434" s="497"/>
      <c r="F434" s="489" t="s">
        <v>21</v>
      </c>
      <c r="G434" s="522"/>
      <c r="H434" s="496"/>
      <c r="I434" s="501"/>
      <c r="K434" s="507"/>
      <c r="L434" s="507"/>
      <c r="M434" s="507"/>
      <c r="N434" s="507"/>
    </row>
    <row r="435" spans="1:17" ht="12.75" outlineLevel="2" x14ac:dyDescent="0.35">
      <c r="A435" s="496"/>
      <c r="B435" s="496"/>
      <c r="D435" s="486" t="s">
        <v>667</v>
      </c>
      <c r="E435" s="497"/>
      <c r="F435" s="489" t="s">
        <v>21</v>
      </c>
      <c r="G435" s="522"/>
      <c r="H435" s="496"/>
      <c r="I435" s="501"/>
      <c r="K435" s="507">
        <v>1</v>
      </c>
      <c r="L435" s="507"/>
      <c r="M435" s="507"/>
      <c r="N435" s="507"/>
    </row>
    <row r="436" spans="1:17" ht="12.75" outlineLevel="2" x14ac:dyDescent="0.35">
      <c r="A436" s="496"/>
      <c r="B436" s="496"/>
      <c r="D436" s="486" t="s">
        <v>668</v>
      </c>
      <c r="E436" s="497"/>
      <c r="F436" s="489" t="s">
        <v>21</v>
      </c>
      <c r="G436" s="522"/>
      <c r="H436" s="496"/>
      <c r="I436" s="501"/>
      <c r="K436" s="507"/>
      <c r="L436" s="507"/>
      <c r="M436" s="507"/>
      <c r="N436" s="507"/>
    </row>
    <row r="437" spans="1:17" ht="12.75" outlineLevel="2" x14ac:dyDescent="0.35">
      <c r="A437" s="496"/>
      <c r="B437" s="496"/>
      <c r="D437" s="486" t="s">
        <v>669</v>
      </c>
      <c r="E437" s="497"/>
      <c r="F437" s="489" t="s">
        <v>21</v>
      </c>
      <c r="G437" s="522"/>
      <c r="H437" s="496"/>
      <c r="I437" s="501"/>
      <c r="K437" s="507"/>
      <c r="L437" s="507"/>
      <c r="M437" s="507"/>
    </row>
    <row r="438" spans="1:17" ht="12.75" outlineLevel="2" x14ac:dyDescent="0.35">
      <c r="A438" s="496"/>
      <c r="B438" s="496"/>
      <c r="E438" s="514" t="s">
        <v>734</v>
      </c>
      <c r="F438" s="489" t="s">
        <v>21</v>
      </c>
      <c r="G438" s="522"/>
      <c r="H438" s="496"/>
      <c r="I438" s="500"/>
      <c r="K438" s="524">
        <v>1</v>
      </c>
      <c r="L438" s="524">
        <v>1</v>
      </c>
      <c r="M438" s="524">
        <v>1</v>
      </c>
      <c r="N438" s="524">
        <v>0</v>
      </c>
    </row>
    <row r="439" spans="1:17" ht="12.75" outlineLevel="2" x14ac:dyDescent="0.35">
      <c r="A439" s="496"/>
      <c r="B439" s="496"/>
      <c r="E439" s="497"/>
      <c r="F439" s="497"/>
      <c r="G439" s="522"/>
      <c r="H439" s="496"/>
      <c r="I439" s="500"/>
      <c r="K439" s="525"/>
      <c r="L439" s="525"/>
      <c r="M439" s="525"/>
    </row>
    <row r="440" spans="1:17" outlineLevel="1" x14ac:dyDescent="0.4">
      <c r="H440" s="481"/>
      <c r="N440" s="525"/>
      <c r="O440" s="525"/>
      <c r="P440" s="525"/>
      <c r="Q440" s="525"/>
    </row>
    <row r="441" spans="1:17" s="483" customFormat="1" outlineLevel="1" x14ac:dyDescent="0.4">
      <c r="A441" s="482"/>
      <c r="B441" s="482">
        <f>MAX($A$7:B440)+0.1</f>
        <v>11.399999999999999</v>
      </c>
      <c r="C441" s="482" t="s">
        <v>679</v>
      </c>
      <c r="D441" s="482"/>
      <c r="E441" s="482"/>
      <c r="F441" s="482"/>
      <c r="G441" s="482"/>
      <c r="H441" s="482"/>
      <c r="I441" s="482"/>
      <c r="J441" s="482"/>
      <c r="K441" s="482"/>
      <c r="L441" s="482"/>
      <c r="M441" s="482"/>
      <c r="N441" s="482"/>
      <c r="O441" s="482"/>
      <c r="P441" s="482"/>
      <c r="Q441" s="482"/>
    </row>
    <row r="442" spans="1:17" outlineLevel="2" x14ac:dyDescent="0.4"/>
    <row r="443" spans="1:17" ht="12.75" outlineLevel="2" x14ac:dyDescent="0.35">
      <c r="A443" s="496"/>
      <c r="B443" s="496"/>
      <c r="D443" s="486" t="s">
        <v>666</v>
      </c>
      <c r="E443" s="497"/>
      <c r="F443" s="489" t="s">
        <v>21</v>
      </c>
      <c r="G443" s="522"/>
      <c r="H443" s="496"/>
      <c r="I443" s="501"/>
      <c r="K443" s="496"/>
      <c r="L443" s="496"/>
      <c r="M443" s="496"/>
      <c r="N443" s="507"/>
      <c r="O443" s="507"/>
      <c r="P443" s="507"/>
      <c r="Q443" s="507"/>
    </row>
    <row r="444" spans="1:17" ht="12.75" outlineLevel="2" x14ac:dyDescent="0.35">
      <c r="A444" s="496"/>
      <c r="B444" s="496"/>
      <c r="D444" s="486" t="s">
        <v>667</v>
      </c>
      <c r="E444" s="497"/>
      <c r="F444" s="489" t="s">
        <v>21</v>
      </c>
      <c r="G444" s="522"/>
      <c r="H444" s="496"/>
      <c r="I444" s="501"/>
      <c r="K444" s="496"/>
      <c r="L444" s="496"/>
      <c r="M444" s="496"/>
      <c r="N444" s="507"/>
      <c r="O444" s="507"/>
      <c r="P444" s="507"/>
      <c r="Q444" s="507"/>
    </row>
    <row r="445" spans="1:17" ht="12.75" outlineLevel="2" x14ac:dyDescent="0.35">
      <c r="A445" s="496"/>
      <c r="B445" s="496"/>
      <c r="D445" s="486" t="s">
        <v>668</v>
      </c>
      <c r="E445" s="497"/>
      <c r="F445" s="489" t="s">
        <v>21</v>
      </c>
      <c r="G445" s="522"/>
      <c r="H445" s="496"/>
      <c r="I445" s="501"/>
      <c r="K445" s="496"/>
      <c r="L445" s="496"/>
      <c r="M445" s="496"/>
      <c r="N445" s="507"/>
      <c r="O445" s="507"/>
      <c r="P445" s="507"/>
      <c r="Q445" s="507"/>
    </row>
    <row r="446" spans="1:17" ht="12.75" outlineLevel="2" x14ac:dyDescent="0.35">
      <c r="A446" s="496"/>
      <c r="B446" s="496"/>
      <c r="D446" s="486" t="s">
        <v>669</v>
      </c>
      <c r="E446" s="497"/>
      <c r="F446" s="489" t="s">
        <v>21</v>
      </c>
      <c r="G446" s="522"/>
      <c r="H446" s="496"/>
      <c r="I446" s="501"/>
      <c r="K446" s="496"/>
      <c r="L446" s="496"/>
      <c r="M446" s="496"/>
      <c r="N446" s="507"/>
      <c r="O446" s="507"/>
      <c r="P446" s="507"/>
      <c r="Q446" s="481"/>
    </row>
    <row r="447" spans="1:17" ht="12.75" outlineLevel="2" x14ac:dyDescent="0.35">
      <c r="A447" s="496"/>
      <c r="B447" s="496"/>
      <c r="E447" s="514" t="s">
        <v>734</v>
      </c>
      <c r="F447" s="489" t="s">
        <v>21</v>
      </c>
      <c r="G447" s="522"/>
      <c r="H447" s="496"/>
      <c r="I447" s="500"/>
      <c r="K447" s="496"/>
      <c r="L447" s="496"/>
      <c r="M447" s="496"/>
      <c r="N447" s="524">
        <f ca="1">IFERROR(IF(N$4=7,SUM(OFFSET(N443,0,0,($G$19-1))),SUM(N443:N446)),0)</f>
        <v>0</v>
      </c>
      <c r="O447" s="524">
        <f ca="1">IFERROR(IF(O$4=7,SUM(OFFSET(O443,0,0,($G$19-1))),SUM(O443:O446)),0)</f>
        <v>0</v>
      </c>
      <c r="P447" s="524">
        <f ca="1">IFERROR(IF(P$4=7,SUM(OFFSET(P443,0,0,($G$19-1))),SUM(P443:P446)),0)</f>
        <v>0</v>
      </c>
      <c r="Q447" s="524">
        <f ca="1">IFERROR(IF(Q$4=7,SUM(OFFSET(Q443,0,0,($G$19-1))),SUM(Q443:Q446)),0)</f>
        <v>0</v>
      </c>
    </row>
    <row r="448" spans="1:17" ht="12.75" outlineLevel="2" x14ac:dyDescent="0.35">
      <c r="A448" s="496"/>
      <c r="B448" s="496"/>
      <c r="E448" s="497"/>
      <c r="F448" s="497"/>
      <c r="G448" s="522"/>
      <c r="H448" s="496"/>
      <c r="I448" s="500"/>
      <c r="K448" s="525"/>
      <c r="L448" s="525"/>
      <c r="M448" s="525"/>
    </row>
    <row r="449" spans="1:17" ht="12.75" outlineLevel="1" x14ac:dyDescent="0.35">
      <c r="A449" s="496"/>
      <c r="B449" s="496"/>
      <c r="E449" s="497"/>
      <c r="F449" s="497"/>
      <c r="G449" s="522"/>
      <c r="H449" s="496"/>
      <c r="I449" s="500"/>
      <c r="K449" s="525"/>
      <c r="L449" s="525"/>
      <c r="M449" s="525"/>
    </row>
    <row r="450" spans="1:17" s="483" customFormat="1" outlineLevel="1" x14ac:dyDescent="0.4">
      <c r="A450" s="482"/>
      <c r="B450" s="482">
        <f>MAX($A$7:B449)+0.1</f>
        <v>11.499999999999998</v>
      </c>
      <c r="C450" s="482" t="s">
        <v>680</v>
      </c>
      <c r="D450" s="482"/>
      <c r="E450" s="482"/>
      <c r="F450" s="482"/>
      <c r="G450" s="482"/>
      <c r="H450" s="482"/>
      <c r="I450" s="482"/>
      <c r="J450" s="482"/>
      <c r="K450" s="482"/>
      <c r="L450" s="482"/>
      <c r="M450" s="482"/>
      <c r="N450" s="482"/>
      <c r="O450" s="482"/>
      <c r="P450" s="482"/>
      <c r="Q450" s="482"/>
    </row>
    <row r="451" spans="1:17" outlineLevel="2" x14ac:dyDescent="0.4"/>
    <row r="452" spans="1:17" ht="12.75" outlineLevel="2" x14ac:dyDescent="0.35">
      <c r="A452" s="496"/>
      <c r="B452" s="496"/>
      <c r="D452" s="486" t="s">
        <v>666</v>
      </c>
      <c r="E452" s="497"/>
      <c r="F452" s="489" t="s">
        <v>21</v>
      </c>
      <c r="G452" s="522"/>
      <c r="H452" s="496"/>
      <c r="I452" s="501"/>
      <c r="K452" s="507"/>
      <c r="L452" s="507"/>
      <c r="M452" s="507"/>
      <c r="N452" s="507"/>
    </row>
    <row r="453" spans="1:17" ht="12.75" outlineLevel="2" x14ac:dyDescent="0.35">
      <c r="A453" s="496"/>
      <c r="B453" s="496"/>
      <c r="D453" s="486" t="s">
        <v>667</v>
      </c>
      <c r="E453" s="497"/>
      <c r="F453" s="489" t="s">
        <v>21</v>
      </c>
      <c r="G453" s="522"/>
      <c r="H453" s="496"/>
      <c r="I453" s="501"/>
      <c r="K453" s="507">
        <v>1</v>
      </c>
      <c r="L453" s="507"/>
      <c r="M453" s="507"/>
      <c r="N453" s="507"/>
    </row>
    <row r="454" spans="1:17" ht="12.75" outlineLevel="2" x14ac:dyDescent="0.35">
      <c r="A454" s="496"/>
      <c r="B454" s="496"/>
      <c r="D454" s="486" t="s">
        <v>668</v>
      </c>
      <c r="E454" s="497"/>
      <c r="F454" s="489" t="s">
        <v>21</v>
      </c>
      <c r="G454" s="522"/>
      <c r="H454" s="496"/>
      <c r="I454" s="501"/>
      <c r="K454" s="507"/>
      <c r="L454" s="507"/>
      <c r="M454" s="507"/>
      <c r="N454" s="507"/>
    </row>
    <row r="455" spans="1:17" ht="12.75" outlineLevel="2" x14ac:dyDescent="0.35">
      <c r="A455" s="496"/>
      <c r="B455" s="496"/>
      <c r="D455" s="486" t="s">
        <v>669</v>
      </c>
      <c r="E455" s="497"/>
      <c r="F455" s="489" t="s">
        <v>21</v>
      </c>
      <c r="G455" s="522"/>
      <c r="H455" s="496"/>
      <c r="I455" s="501"/>
      <c r="K455" s="507"/>
      <c r="L455" s="507"/>
      <c r="M455" s="507"/>
    </row>
    <row r="456" spans="1:17" ht="12.75" outlineLevel="2" x14ac:dyDescent="0.35">
      <c r="A456" s="496"/>
      <c r="B456" s="496"/>
      <c r="E456" s="514" t="s">
        <v>734</v>
      </c>
      <c r="F456" s="489" t="s">
        <v>21</v>
      </c>
      <c r="G456" s="522"/>
      <c r="H456" s="496"/>
      <c r="I456" s="500"/>
      <c r="K456" s="524">
        <v>1</v>
      </c>
      <c r="L456" s="524">
        <v>1</v>
      </c>
      <c r="M456" s="524">
        <v>1</v>
      </c>
      <c r="N456" s="524">
        <v>1</v>
      </c>
    </row>
    <row r="457" spans="1:17" outlineLevel="2" x14ac:dyDescent="0.4">
      <c r="C457" s="501"/>
      <c r="E457" s="497"/>
      <c r="F457" s="497"/>
      <c r="G457" s="494"/>
      <c r="H457" s="485"/>
      <c r="K457" s="525"/>
      <c r="L457" s="525"/>
      <c r="M457" s="525"/>
    </row>
    <row r="458" spans="1:17" outlineLevel="1" x14ac:dyDescent="0.4">
      <c r="C458" s="501"/>
      <c r="E458" s="497"/>
      <c r="F458" s="497"/>
      <c r="G458" s="494"/>
      <c r="H458" s="485"/>
      <c r="K458" s="525"/>
      <c r="L458" s="525"/>
      <c r="M458" s="525"/>
    </row>
    <row r="459" spans="1:17" s="483" customFormat="1" outlineLevel="1" x14ac:dyDescent="0.4">
      <c r="A459" s="482"/>
      <c r="B459" s="482">
        <f>MAX($A$7:B458)+0.1</f>
        <v>11.599999999999998</v>
      </c>
      <c r="C459" s="482" t="s">
        <v>681</v>
      </c>
      <c r="D459" s="482"/>
      <c r="E459" s="482"/>
      <c r="F459" s="482"/>
      <c r="G459" s="482"/>
      <c r="H459" s="482"/>
      <c r="I459" s="482"/>
      <c r="J459" s="482"/>
      <c r="K459" s="482"/>
      <c r="L459" s="482"/>
      <c r="M459" s="482"/>
      <c r="N459" s="482"/>
      <c r="O459" s="482"/>
      <c r="P459" s="482"/>
      <c r="Q459" s="482"/>
    </row>
    <row r="460" spans="1:17" outlineLevel="2" x14ac:dyDescent="0.4">
      <c r="C460" s="501"/>
      <c r="E460" s="497"/>
      <c r="F460" s="497"/>
      <c r="G460" s="494"/>
      <c r="H460" s="485"/>
      <c r="K460" s="525"/>
      <c r="L460" s="525"/>
      <c r="M460" s="525"/>
    </row>
    <row r="461" spans="1:17" outlineLevel="2" x14ac:dyDescent="0.4">
      <c r="C461" s="501"/>
      <c r="D461" s="486" t="s">
        <v>682</v>
      </c>
      <c r="E461" s="514" t="s">
        <v>734</v>
      </c>
      <c r="F461" s="489" t="s">
        <v>21</v>
      </c>
      <c r="G461" s="494"/>
      <c r="H461" s="485"/>
      <c r="K461" s="525"/>
      <c r="L461" s="525"/>
      <c r="N461" s="524">
        <f>IFERROR(IF($G$19=1,(M437*M423+M429*M455),(INDEX(N434:N436,$G$19-1)*N423+INDEX(N452:N454,$G$19-1)*N429))/SUM(K423:N423,K429:N429),0)</f>
        <v>0</v>
      </c>
    </row>
    <row r="462" spans="1:17" outlineLevel="2" x14ac:dyDescent="0.4">
      <c r="C462" s="501"/>
      <c r="E462" s="497"/>
      <c r="F462" s="497"/>
      <c r="G462" s="494"/>
      <c r="H462" s="485"/>
      <c r="K462" s="525"/>
      <c r="L462" s="525"/>
      <c r="M462" s="525"/>
    </row>
    <row r="463" spans="1:17" outlineLevel="1" x14ac:dyDescent="0.4">
      <c r="C463" s="501"/>
      <c r="E463" s="497"/>
      <c r="F463" s="497"/>
      <c r="G463" s="494"/>
      <c r="H463" s="485"/>
      <c r="K463" s="525"/>
      <c r="L463" s="525"/>
      <c r="M463" s="525"/>
    </row>
    <row r="464" spans="1:17" x14ac:dyDescent="0.4">
      <c r="H464" s="481"/>
    </row>
    <row r="465" spans="1:17" s="476" customFormat="1" x14ac:dyDescent="0.4">
      <c r="A465" s="475">
        <f>MAX($A$7:A464)+1</f>
        <v>12</v>
      </c>
      <c r="B465" s="475" t="s">
        <v>683</v>
      </c>
      <c r="C465" s="475"/>
      <c r="D465" s="475"/>
      <c r="E465" s="475"/>
      <c r="F465" s="475"/>
      <c r="G465" s="475"/>
      <c r="H465" s="475"/>
      <c r="I465" s="475"/>
      <c r="J465" s="475"/>
      <c r="K465" s="475"/>
      <c r="L465" s="475"/>
      <c r="M465" s="475"/>
      <c r="N465" s="475"/>
      <c r="O465" s="475"/>
      <c r="P465" s="475"/>
      <c r="Q465" s="475"/>
    </row>
    <row r="466" spans="1:17" outlineLevel="1" x14ac:dyDescent="0.4">
      <c r="H466" s="481"/>
    </row>
    <row r="467" spans="1:17" s="483" customFormat="1" outlineLevel="1" x14ac:dyDescent="0.4">
      <c r="A467" s="482"/>
      <c r="B467" s="482">
        <f>MAX($A$7:B466)+0.1</f>
        <v>12.1</v>
      </c>
      <c r="C467" s="482" t="s">
        <v>684</v>
      </c>
      <c r="D467" s="482"/>
      <c r="E467" s="482"/>
      <c r="F467" s="482"/>
      <c r="G467" s="482"/>
      <c r="H467" s="482"/>
      <c r="I467" s="482"/>
      <c r="J467" s="482"/>
      <c r="K467" s="482"/>
      <c r="L467" s="482"/>
      <c r="M467" s="482"/>
      <c r="N467" s="482"/>
      <c r="O467" s="482"/>
      <c r="P467" s="482"/>
      <c r="Q467" s="482"/>
    </row>
    <row r="468" spans="1:17" outlineLevel="2" x14ac:dyDescent="0.4">
      <c r="H468" s="481"/>
    </row>
    <row r="469" spans="1:17" outlineLevel="2" x14ac:dyDescent="0.4">
      <c r="C469" s="501">
        <f>C468+1</f>
        <v>1</v>
      </c>
      <c r="D469" s="488"/>
      <c r="F469" s="489" t="s">
        <v>823</v>
      </c>
      <c r="H469" s="481"/>
      <c r="J469" s="502"/>
      <c r="K469" s="502"/>
      <c r="L469" s="502"/>
      <c r="M469" s="502"/>
      <c r="N469" s="502"/>
      <c r="O469" s="502"/>
      <c r="P469" s="502"/>
      <c r="Q469" s="502"/>
    </row>
    <row r="470" spans="1:17" outlineLevel="2" x14ac:dyDescent="0.4">
      <c r="C470" s="501">
        <f>C469+1</f>
        <v>2</v>
      </c>
      <c r="D470" s="488"/>
      <c r="F470" s="489" t="s">
        <v>823</v>
      </c>
      <c r="H470" s="481"/>
      <c r="J470" s="502"/>
      <c r="K470" s="502"/>
      <c r="L470" s="502"/>
      <c r="M470" s="502"/>
      <c r="N470" s="502"/>
      <c r="O470" s="502"/>
      <c r="P470" s="502"/>
      <c r="Q470" s="502"/>
    </row>
    <row r="471" spans="1:17" outlineLevel="2" x14ac:dyDescent="0.4">
      <c r="C471" s="501">
        <f>C470+1</f>
        <v>3</v>
      </c>
      <c r="D471" s="488"/>
      <c r="F471" s="489" t="s">
        <v>823</v>
      </c>
      <c r="H471" s="481"/>
      <c r="J471" s="502"/>
      <c r="K471" s="502"/>
      <c r="L471" s="502"/>
      <c r="M471" s="502"/>
      <c r="N471" s="502"/>
      <c r="O471" s="502"/>
      <c r="P471" s="502"/>
      <c r="Q471" s="502"/>
    </row>
    <row r="472" spans="1:17" outlineLevel="2" x14ac:dyDescent="0.4">
      <c r="H472" s="481"/>
    </row>
    <row r="473" spans="1:17" outlineLevel="1" x14ac:dyDescent="0.4">
      <c r="H473" s="481"/>
    </row>
    <row r="475" spans="1:17" s="476" customFormat="1" x14ac:dyDescent="0.4">
      <c r="A475" s="475">
        <f>MAX($A$7:A474)+1</f>
        <v>13</v>
      </c>
      <c r="B475" s="475" t="s">
        <v>685</v>
      </c>
      <c r="C475" s="475"/>
      <c r="D475" s="475"/>
      <c r="E475" s="475"/>
      <c r="F475" s="475"/>
      <c r="G475" s="475"/>
      <c r="H475" s="475"/>
      <c r="I475" s="475"/>
      <c r="J475" s="475"/>
      <c r="K475" s="475"/>
      <c r="L475" s="475"/>
      <c r="M475" s="475"/>
      <c r="N475" s="475"/>
      <c r="O475" s="475"/>
      <c r="P475" s="475"/>
      <c r="Q475" s="475"/>
    </row>
    <row r="476" spans="1:17" outlineLevel="1" x14ac:dyDescent="0.4"/>
    <row r="477" spans="1:17" s="483" customFormat="1" outlineLevel="1" x14ac:dyDescent="0.4">
      <c r="A477" s="482"/>
      <c r="B477" s="482">
        <f>MAX($A$7:B476)+0.1</f>
        <v>13.1</v>
      </c>
      <c r="C477" s="482" t="s">
        <v>686</v>
      </c>
      <c r="D477" s="482"/>
      <c r="E477" s="482"/>
      <c r="F477" s="482"/>
      <c r="G477" s="482"/>
      <c r="H477" s="482"/>
      <c r="I477" s="482"/>
      <c r="J477" s="482"/>
      <c r="K477" s="482"/>
      <c r="L477" s="482"/>
      <c r="M477" s="482"/>
      <c r="N477" s="482"/>
      <c r="O477" s="482"/>
      <c r="P477" s="482"/>
      <c r="Q477" s="482"/>
    </row>
    <row r="478" spans="1:17" outlineLevel="2" x14ac:dyDescent="0.4"/>
    <row r="479" spans="1:17" outlineLevel="2" x14ac:dyDescent="0.4">
      <c r="C479" s="501"/>
      <c r="D479" s="486" t="s">
        <v>687</v>
      </c>
      <c r="F479" s="489" t="s">
        <v>823</v>
      </c>
      <c r="J479" s="502">
        <v>73320</v>
      </c>
      <c r="K479" s="481"/>
      <c r="L479" s="481"/>
      <c r="M479" s="481"/>
      <c r="N479" s="481"/>
      <c r="O479" s="481"/>
      <c r="P479" s="481"/>
      <c r="Q479" s="481"/>
    </row>
    <row r="480" spans="1:17" outlineLevel="2" x14ac:dyDescent="0.4"/>
    <row r="481" spans="1:17" outlineLevel="1" x14ac:dyDescent="0.4"/>
    <row r="482" spans="1:17" s="483" customFormat="1" outlineLevel="1" x14ac:dyDescent="0.4">
      <c r="A482" s="482"/>
      <c r="B482" s="482">
        <f>MAX($A$7:B481)+0.1</f>
        <v>13.2</v>
      </c>
      <c r="C482" s="482" t="s">
        <v>688</v>
      </c>
      <c r="D482" s="482"/>
      <c r="E482" s="482"/>
      <c r="F482" s="482"/>
      <c r="G482" s="482"/>
      <c r="H482" s="482"/>
      <c r="I482" s="482"/>
      <c r="J482" s="482"/>
      <c r="K482" s="482"/>
      <c r="L482" s="482"/>
      <c r="M482" s="482"/>
      <c r="N482" s="482"/>
      <c r="O482" s="482"/>
      <c r="P482" s="482"/>
      <c r="Q482" s="482"/>
    </row>
    <row r="483" spans="1:17" outlineLevel="2" x14ac:dyDescent="0.4"/>
    <row r="484" spans="1:17" outlineLevel="2" x14ac:dyDescent="0.4">
      <c r="C484" s="501">
        <f>C483+1</f>
        <v>1</v>
      </c>
      <c r="D484" s="488"/>
      <c r="F484" s="489" t="s">
        <v>823</v>
      </c>
      <c r="K484" s="502"/>
      <c r="L484" s="502"/>
      <c r="M484" s="502"/>
      <c r="N484" s="502"/>
      <c r="O484" s="481"/>
      <c r="P484" s="481"/>
      <c r="Q484" s="481"/>
    </row>
    <row r="485" spans="1:17" outlineLevel="2" x14ac:dyDescent="0.4">
      <c r="C485" s="501">
        <f>C484+1</f>
        <v>2</v>
      </c>
      <c r="D485" s="488"/>
      <c r="F485" s="489" t="s">
        <v>823</v>
      </c>
      <c r="K485" s="502"/>
      <c r="L485" s="502"/>
      <c r="M485" s="502"/>
      <c r="N485" s="502"/>
      <c r="O485" s="481"/>
      <c r="P485" s="481"/>
      <c r="Q485" s="481"/>
    </row>
    <row r="486" spans="1:17" outlineLevel="2" x14ac:dyDescent="0.4">
      <c r="C486" s="501">
        <f>C485+1</f>
        <v>3</v>
      </c>
      <c r="D486" s="488"/>
      <c r="F486" s="489" t="s">
        <v>823</v>
      </c>
      <c r="K486" s="502"/>
      <c r="L486" s="502"/>
      <c r="M486" s="502"/>
      <c r="N486" s="502"/>
      <c r="O486" s="481"/>
      <c r="P486" s="481"/>
      <c r="Q486" s="481"/>
    </row>
    <row r="487" spans="1:17" outlineLevel="2" x14ac:dyDescent="0.4"/>
    <row r="488" spans="1:17" outlineLevel="1" x14ac:dyDescent="0.4"/>
    <row r="489" spans="1:17" s="483" customFormat="1" outlineLevel="1" x14ac:dyDescent="0.4">
      <c r="A489" s="482"/>
      <c r="B489" s="482">
        <f>MAX($A$7:B488)+0.1</f>
        <v>13.299999999999999</v>
      </c>
      <c r="C489" s="482" t="s">
        <v>689</v>
      </c>
      <c r="D489" s="482"/>
      <c r="E489" s="482"/>
      <c r="F489" s="482"/>
      <c r="G489" s="482"/>
      <c r="H489" s="482"/>
      <c r="I489" s="482"/>
      <c r="J489" s="482"/>
      <c r="K489" s="482"/>
      <c r="L489" s="482"/>
      <c r="M489" s="482"/>
      <c r="N489" s="482"/>
      <c r="O489" s="482"/>
      <c r="P489" s="482"/>
      <c r="Q489" s="482"/>
    </row>
    <row r="490" spans="1:17" outlineLevel="2" x14ac:dyDescent="0.4"/>
    <row r="491" spans="1:17" outlineLevel="2" x14ac:dyDescent="0.4">
      <c r="D491" s="486" t="s">
        <v>666</v>
      </c>
      <c r="E491" s="497"/>
      <c r="F491" s="489" t="s">
        <v>21</v>
      </c>
      <c r="G491" s="522"/>
      <c r="H491" s="496"/>
      <c r="I491" s="501"/>
      <c r="K491" s="507"/>
      <c r="L491" s="507"/>
      <c r="M491" s="507"/>
      <c r="N491" s="507"/>
      <c r="O491" s="481"/>
      <c r="P491" s="481"/>
      <c r="Q491" s="481"/>
    </row>
    <row r="492" spans="1:17" outlineLevel="2" x14ac:dyDescent="0.4">
      <c r="D492" s="486" t="s">
        <v>667</v>
      </c>
      <c r="E492" s="497"/>
      <c r="F492" s="489" t="s">
        <v>21</v>
      </c>
      <c r="G492" s="522"/>
      <c r="H492" s="496"/>
      <c r="I492" s="501"/>
      <c r="K492" s="507"/>
      <c r="L492" s="507"/>
      <c r="M492" s="507"/>
      <c r="N492" s="507"/>
      <c r="O492" s="481"/>
      <c r="P492" s="481"/>
      <c r="Q492" s="481"/>
    </row>
    <row r="493" spans="1:17" outlineLevel="2" x14ac:dyDescent="0.4">
      <c r="D493" s="486" t="s">
        <v>668</v>
      </c>
      <c r="E493" s="497"/>
      <c r="F493" s="489" t="s">
        <v>21</v>
      </c>
      <c r="G493" s="522"/>
      <c r="H493" s="496"/>
      <c r="I493" s="501"/>
      <c r="K493" s="507"/>
      <c r="L493" s="507"/>
      <c r="M493" s="507"/>
      <c r="N493" s="507"/>
      <c r="O493" s="481"/>
      <c r="P493" s="481"/>
      <c r="Q493" s="481"/>
    </row>
    <row r="494" spans="1:17" outlineLevel="2" x14ac:dyDescent="0.4">
      <c r="D494" s="486" t="s">
        <v>669</v>
      </c>
      <c r="E494" s="497"/>
      <c r="F494" s="489" t="s">
        <v>21</v>
      </c>
      <c r="G494" s="522"/>
      <c r="H494" s="496"/>
      <c r="I494" s="501"/>
      <c r="K494" s="507"/>
      <c r="L494" s="507"/>
      <c r="M494" s="507"/>
      <c r="O494" s="481"/>
      <c r="P494" s="481"/>
      <c r="Q494" s="481"/>
    </row>
    <row r="495" spans="1:17" outlineLevel="2" x14ac:dyDescent="0.4">
      <c r="E495" s="514" t="s">
        <v>734</v>
      </c>
      <c r="F495" s="489" t="s">
        <v>21</v>
      </c>
      <c r="G495" s="522"/>
      <c r="H495" s="496"/>
      <c r="I495" s="500"/>
      <c r="K495" s="524">
        <v>0</v>
      </c>
      <c r="L495" s="524">
        <v>0</v>
      </c>
      <c r="M495" s="524">
        <v>0</v>
      </c>
      <c r="N495" s="524">
        <v>0</v>
      </c>
      <c r="O495" s="481"/>
      <c r="P495" s="481"/>
      <c r="Q495" s="481"/>
    </row>
    <row r="496" spans="1:17" outlineLevel="2" x14ac:dyDescent="0.4"/>
    <row r="497" spans="1:17" outlineLevel="1" x14ac:dyDescent="0.4"/>
    <row r="498" spans="1:17" s="483" customFormat="1" outlineLevel="1" x14ac:dyDescent="0.4">
      <c r="A498" s="482"/>
      <c r="B498" s="482">
        <f>MAX($A$7:B497)+0.1</f>
        <v>13.399999999999999</v>
      </c>
      <c r="C498" s="482" t="s">
        <v>690</v>
      </c>
      <c r="D498" s="482"/>
      <c r="E498" s="482"/>
      <c r="F498" s="482"/>
      <c r="G498" s="482"/>
      <c r="H498" s="482"/>
      <c r="I498" s="482"/>
      <c r="J498" s="482"/>
      <c r="K498" s="482"/>
      <c r="L498" s="482"/>
      <c r="M498" s="482"/>
      <c r="N498" s="482"/>
      <c r="O498" s="482"/>
      <c r="P498" s="482"/>
      <c r="Q498" s="482"/>
    </row>
    <row r="499" spans="1:17" outlineLevel="2" x14ac:dyDescent="0.4">
      <c r="D499" s="492" t="s">
        <v>691</v>
      </c>
    </row>
    <row r="500" spans="1:17" outlineLevel="2" x14ac:dyDescent="0.4">
      <c r="C500" s="501">
        <f>C499+1</f>
        <v>1</v>
      </c>
      <c r="D500" s="488"/>
      <c r="F500" s="489" t="s">
        <v>823</v>
      </c>
      <c r="K500" s="502"/>
      <c r="L500" s="502"/>
      <c r="M500" s="502"/>
      <c r="N500" s="502"/>
      <c r="O500" s="481"/>
      <c r="P500" s="481"/>
      <c r="Q500" s="481"/>
    </row>
    <row r="501" spans="1:17" outlineLevel="2" x14ac:dyDescent="0.4">
      <c r="C501" s="501">
        <f>C500+1</f>
        <v>2</v>
      </c>
      <c r="D501" s="488"/>
      <c r="F501" s="489" t="s">
        <v>823</v>
      </c>
      <c r="K501" s="502"/>
      <c r="L501" s="502"/>
      <c r="M501" s="502"/>
      <c r="N501" s="502"/>
      <c r="O501" s="481"/>
      <c r="P501" s="481"/>
      <c r="Q501" s="481"/>
    </row>
    <row r="502" spans="1:17" outlineLevel="2" x14ac:dyDescent="0.4">
      <c r="C502" s="501">
        <f>C501+1</f>
        <v>3</v>
      </c>
      <c r="D502" s="488"/>
      <c r="F502" s="489" t="s">
        <v>823</v>
      </c>
      <c r="K502" s="502"/>
      <c r="L502" s="502"/>
      <c r="M502" s="502"/>
      <c r="N502" s="502"/>
      <c r="O502" s="481"/>
      <c r="P502" s="481"/>
      <c r="Q502" s="481"/>
    </row>
    <row r="503" spans="1:17" outlineLevel="2" x14ac:dyDescent="0.4">
      <c r="D503" s="516"/>
      <c r="F503" s="497"/>
      <c r="K503" s="516"/>
      <c r="L503" s="516"/>
      <c r="M503" s="516"/>
      <c r="N503" s="516"/>
      <c r="O503" s="516"/>
      <c r="P503" s="516"/>
      <c r="Q503" s="516"/>
    </row>
    <row r="504" spans="1:17" outlineLevel="1" x14ac:dyDescent="0.4"/>
    <row r="505" spans="1:17" s="483" customFormat="1" outlineLevel="1" x14ac:dyDescent="0.4">
      <c r="A505" s="482"/>
      <c r="B505" s="482">
        <f>MAX($A$7:B504)+0.1</f>
        <v>13.499999999999998</v>
      </c>
      <c r="C505" s="482" t="s">
        <v>692</v>
      </c>
      <c r="D505" s="482"/>
      <c r="E505" s="482"/>
      <c r="F505" s="482"/>
      <c r="G505" s="482"/>
      <c r="H505" s="482"/>
      <c r="I505" s="482"/>
      <c r="J505" s="482"/>
      <c r="K505" s="482"/>
      <c r="L505" s="482"/>
      <c r="M505" s="482"/>
      <c r="N505" s="482"/>
      <c r="O505" s="482"/>
      <c r="P505" s="482"/>
      <c r="Q505" s="482"/>
    </row>
    <row r="506" spans="1:17" outlineLevel="2" x14ac:dyDescent="0.4"/>
    <row r="507" spans="1:17" outlineLevel="2" x14ac:dyDescent="0.4">
      <c r="D507" s="486" t="s">
        <v>666</v>
      </c>
      <c r="E507" s="497"/>
      <c r="F507" s="489" t="s">
        <v>21</v>
      </c>
      <c r="G507" s="522"/>
      <c r="H507" s="496"/>
      <c r="I507" s="501"/>
      <c r="K507" s="507"/>
      <c r="L507" s="507"/>
      <c r="M507" s="507"/>
      <c r="N507" s="507"/>
      <c r="O507" s="481"/>
      <c r="P507" s="481"/>
      <c r="Q507" s="481"/>
    </row>
    <row r="508" spans="1:17" outlineLevel="2" x14ac:dyDescent="0.4">
      <c r="D508" s="486" t="s">
        <v>667</v>
      </c>
      <c r="E508" s="497"/>
      <c r="F508" s="489" t="s">
        <v>21</v>
      </c>
      <c r="G508" s="522"/>
      <c r="H508" s="496"/>
      <c r="I508" s="501"/>
      <c r="K508" s="507"/>
      <c r="L508" s="507"/>
      <c r="M508" s="507"/>
      <c r="N508" s="507"/>
      <c r="O508" s="481"/>
      <c r="P508" s="481"/>
      <c r="Q508" s="481"/>
    </row>
    <row r="509" spans="1:17" outlineLevel="2" x14ac:dyDescent="0.4">
      <c r="D509" s="486" t="s">
        <v>668</v>
      </c>
      <c r="E509" s="497"/>
      <c r="F509" s="489" t="s">
        <v>21</v>
      </c>
      <c r="G509" s="522"/>
      <c r="H509" s="496"/>
      <c r="I509" s="501"/>
      <c r="K509" s="507"/>
      <c r="L509" s="507"/>
      <c r="M509" s="507"/>
      <c r="N509" s="507"/>
      <c r="O509" s="481"/>
      <c r="P509" s="481"/>
      <c r="Q509" s="481"/>
    </row>
    <row r="510" spans="1:17" outlineLevel="2" x14ac:dyDescent="0.4">
      <c r="D510" s="486" t="s">
        <v>669</v>
      </c>
      <c r="E510" s="497"/>
      <c r="F510" s="489" t="s">
        <v>21</v>
      </c>
      <c r="G510" s="522"/>
      <c r="H510" s="496"/>
      <c r="I510" s="501"/>
      <c r="K510" s="507"/>
      <c r="L510" s="507"/>
      <c r="M510" s="507"/>
      <c r="O510" s="481"/>
      <c r="P510" s="481"/>
      <c r="Q510" s="481"/>
    </row>
    <row r="511" spans="1:17" outlineLevel="2" x14ac:dyDescent="0.4">
      <c r="E511" s="514" t="s">
        <v>734</v>
      </c>
      <c r="F511" s="489" t="s">
        <v>21</v>
      </c>
      <c r="G511" s="522"/>
      <c r="H511" s="496"/>
      <c r="I511" s="500"/>
      <c r="K511" s="524">
        <v>0</v>
      </c>
      <c r="L511" s="524">
        <v>0</v>
      </c>
      <c r="M511" s="524">
        <v>0</v>
      </c>
      <c r="N511" s="524">
        <v>0</v>
      </c>
      <c r="O511" s="481"/>
      <c r="P511" s="481"/>
      <c r="Q511" s="481"/>
    </row>
    <row r="512" spans="1:17" outlineLevel="2" x14ac:dyDescent="0.4"/>
    <row r="513" spans="1:17" outlineLevel="1" x14ac:dyDescent="0.4"/>
    <row r="514" spans="1:17" s="483" customFormat="1" outlineLevel="1" x14ac:dyDescent="0.4">
      <c r="A514" s="482"/>
      <c r="B514" s="482">
        <f>MAX($A$7:B513)+0.1</f>
        <v>13.599999999999998</v>
      </c>
      <c r="C514" s="482" t="s">
        <v>693</v>
      </c>
      <c r="D514" s="482"/>
      <c r="E514" s="482"/>
      <c r="F514" s="482"/>
      <c r="G514" s="482"/>
      <c r="H514" s="482"/>
      <c r="I514" s="482"/>
      <c r="J514" s="482"/>
      <c r="K514" s="482"/>
      <c r="L514" s="482"/>
      <c r="M514" s="482"/>
      <c r="N514" s="482"/>
      <c r="O514" s="482"/>
      <c r="P514" s="482"/>
      <c r="Q514" s="482"/>
    </row>
    <row r="515" spans="1:17" outlineLevel="2" x14ac:dyDescent="0.4">
      <c r="D515" s="516"/>
      <c r="F515" s="497"/>
      <c r="K515" s="516"/>
      <c r="L515" s="516"/>
      <c r="M515" s="516"/>
      <c r="N515" s="516"/>
      <c r="O515" s="516"/>
      <c r="P515" s="516"/>
      <c r="Q515" s="516"/>
    </row>
    <row r="516" spans="1:17" outlineLevel="2" x14ac:dyDescent="0.4">
      <c r="C516" s="501">
        <f>C515+1</f>
        <v>1</v>
      </c>
      <c r="D516" s="511" t="str">
        <f>IF(D500=0,"N/A",D500)</f>
        <v>N/A</v>
      </c>
      <c r="F516" s="489" t="s">
        <v>135</v>
      </c>
      <c r="G516" s="488"/>
      <c r="H516" s="481"/>
      <c r="J516" s="481"/>
      <c r="K516" s="481"/>
      <c r="L516" s="481"/>
      <c r="M516" s="481"/>
      <c r="N516" s="481"/>
      <c r="O516" s="481"/>
      <c r="P516" s="481"/>
      <c r="Q516" s="481"/>
    </row>
    <row r="517" spans="1:17" outlineLevel="2" x14ac:dyDescent="0.4">
      <c r="C517" s="501">
        <f>C516+1</f>
        <v>2</v>
      </c>
      <c r="D517" s="511" t="str">
        <f>IF(D501=0,"N/A",D501)</f>
        <v>N/A</v>
      </c>
      <c r="F517" s="489" t="s">
        <v>135</v>
      </c>
      <c r="G517" s="488"/>
      <c r="H517" s="481"/>
      <c r="J517" s="481"/>
      <c r="K517" s="481"/>
      <c r="L517" s="481"/>
      <c r="M517" s="481"/>
      <c r="N517" s="481"/>
      <c r="O517" s="481"/>
      <c r="P517" s="481"/>
      <c r="Q517" s="481"/>
    </row>
    <row r="518" spans="1:17" outlineLevel="2" x14ac:dyDescent="0.4">
      <c r="C518" s="501">
        <f>C517+1</f>
        <v>3</v>
      </c>
      <c r="D518" s="511" t="str">
        <f>IF(D502=0,"N/A",D502)</f>
        <v>N/A</v>
      </c>
      <c r="F518" s="489" t="s">
        <v>135</v>
      </c>
      <c r="G518" s="488"/>
      <c r="H518" s="481"/>
      <c r="J518" s="481"/>
      <c r="K518" s="481"/>
      <c r="L518" s="481"/>
      <c r="M518" s="481"/>
      <c r="N518" s="481"/>
      <c r="O518" s="481"/>
      <c r="P518" s="481"/>
      <c r="Q518" s="481"/>
    </row>
    <row r="519" spans="1:17" outlineLevel="2" x14ac:dyDescent="0.4"/>
    <row r="520" spans="1:17" outlineLevel="1" x14ac:dyDescent="0.4"/>
    <row r="522" spans="1:17" s="476" customFormat="1" x14ac:dyDescent="0.4">
      <c r="A522" s="475">
        <f>MAX($A$7:A521)+1</f>
        <v>14</v>
      </c>
      <c r="B522" s="475" t="s">
        <v>30</v>
      </c>
      <c r="C522" s="475"/>
      <c r="D522" s="475"/>
      <c r="E522" s="475"/>
      <c r="F522" s="475"/>
      <c r="G522" s="475"/>
      <c r="H522" s="475"/>
      <c r="I522" s="475"/>
      <c r="J522" s="475"/>
      <c r="K522" s="475"/>
      <c r="L522" s="475"/>
      <c r="M522" s="475"/>
      <c r="N522" s="475"/>
      <c r="O522" s="475"/>
      <c r="P522" s="475"/>
      <c r="Q522" s="475"/>
    </row>
    <row r="523" spans="1:17" outlineLevel="1" x14ac:dyDescent="0.4"/>
    <row r="524" spans="1:17" s="483" customFormat="1" outlineLevel="1" x14ac:dyDescent="0.4">
      <c r="A524" s="482"/>
      <c r="B524" s="482">
        <f>MAX($A$7:B523)+0.1</f>
        <v>14.1</v>
      </c>
      <c r="C524" s="482" t="s">
        <v>694</v>
      </c>
      <c r="D524" s="482"/>
      <c r="E524" s="482"/>
      <c r="F524" s="482"/>
      <c r="G524" s="482"/>
      <c r="H524" s="482"/>
      <c r="I524" s="482"/>
      <c r="J524" s="482"/>
      <c r="K524" s="482"/>
      <c r="L524" s="482"/>
      <c r="M524" s="482"/>
      <c r="N524" s="482"/>
      <c r="O524" s="482"/>
      <c r="P524" s="482"/>
      <c r="Q524" s="482"/>
    </row>
    <row r="525" spans="1:17" outlineLevel="2" x14ac:dyDescent="0.4">
      <c r="C525" s="501"/>
      <c r="E525" s="497"/>
      <c r="F525" s="497"/>
      <c r="G525" s="499"/>
      <c r="H525" s="497"/>
      <c r="I525" s="501"/>
    </row>
    <row r="526" spans="1:17" outlineLevel="2" x14ac:dyDescent="0.4">
      <c r="C526" s="501"/>
      <c r="D526" s="486" t="s">
        <v>695</v>
      </c>
      <c r="E526" s="497"/>
      <c r="F526" s="489" t="s">
        <v>21</v>
      </c>
      <c r="G526" s="507">
        <v>0.3</v>
      </c>
      <c r="H526" s="526"/>
      <c r="I526" s="527"/>
    </row>
    <row r="527" spans="1:17" outlineLevel="2" x14ac:dyDescent="0.4">
      <c r="C527" s="501"/>
      <c r="D527" s="481" t="s">
        <v>696</v>
      </c>
      <c r="E527" s="497"/>
      <c r="F527" s="489" t="s">
        <v>135</v>
      </c>
      <c r="G527" s="528"/>
      <c r="H527" s="526"/>
      <c r="I527" s="527"/>
    </row>
    <row r="528" spans="1:17" outlineLevel="2" x14ac:dyDescent="0.4">
      <c r="C528" s="501"/>
      <c r="D528" s="481" t="s">
        <v>697</v>
      </c>
      <c r="E528" s="497"/>
      <c r="F528" s="489" t="s">
        <v>823</v>
      </c>
      <c r="G528" s="526"/>
      <c r="H528" s="526"/>
      <c r="I528" s="527"/>
      <c r="J528" s="502"/>
    </row>
    <row r="529" spans="1:17" outlineLevel="2" x14ac:dyDescent="0.4">
      <c r="C529" s="501"/>
      <c r="D529" s="481" t="s">
        <v>698</v>
      </c>
      <c r="E529" s="497"/>
      <c r="F529" s="489" t="s">
        <v>135</v>
      </c>
      <c r="G529" s="528"/>
      <c r="H529" s="526"/>
      <c r="I529" s="527"/>
    </row>
    <row r="530" spans="1:17" outlineLevel="2" x14ac:dyDescent="0.4">
      <c r="C530" s="501"/>
      <c r="E530" s="497"/>
      <c r="F530" s="497"/>
      <c r="H530" s="526"/>
      <c r="I530" s="527"/>
    </row>
    <row r="531" spans="1:17" outlineLevel="1" x14ac:dyDescent="0.4">
      <c r="C531" s="501"/>
      <c r="E531" s="497"/>
      <c r="F531" s="497"/>
      <c r="H531" s="526"/>
      <c r="I531" s="527"/>
    </row>
    <row r="533" spans="1:17" s="476" customFormat="1" x14ac:dyDescent="0.4">
      <c r="A533" s="475">
        <f>MAX($A$7:A532)+1</f>
        <v>15</v>
      </c>
      <c r="B533" s="475" t="s">
        <v>699</v>
      </c>
      <c r="C533" s="475"/>
      <c r="D533" s="475"/>
      <c r="E533" s="475"/>
      <c r="F533" s="475"/>
      <c r="G533" s="475"/>
      <c r="H533" s="475"/>
      <c r="I533" s="475"/>
      <c r="J533" s="475"/>
      <c r="K533" s="475"/>
      <c r="L533" s="475"/>
      <c r="M533" s="475"/>
      <c r="N533" s="475"/>
      <c r="O533" s="475"/>
      <c r="P533" s="475"/>
      <c r="Q533" s="475"/>
    </row>
    <row r="534" spans="1:17" outlineLevel="1" x14ac:dyDescent="0.4"/>
    <row r="535" spans="1:17" s="483" customFormat="1" outlineLevel="1" x14ac:dyDescent="0.4">
      <c r="A535" s="482"/>
      <c r="B535" s="482">
        <f>MAX($A$7:B534)+0.1</f>
        <v>15.1</v>
      </c>
      <c r="C535" s="482" t="s">
        <v>700</v>
      </c>
      <c r="D535" s="482"/>
      <c r="E535" s="482"/>
      <c r="F535" s="482"/>
      <c r="G535" s="482"/>
      <c r="H535" s="482"/>
      <c r="I535" s="482"/>
      <c r="J535" s="482"/>
      <c r="K535" s="482"/>
      <c r="L535" s="482"/>
      <c r="M535" s="482"/>
      <c r="N535" s="482"/>
      <c r="O535" s="482"/>
      <c r="P535" s="482"/>
      <c r="Q535" s="482"/>
    </row>
    <row r="536" spans="1:17" outlineLevel="2" x14ac:dyDescent="0.4">
      <c r="C536" s="501"/>
      <c r="E536" s="497"/>
      <c r="F536" s="497"/>
      <c r="G536" s="499"/>
      <c r="H536" s="497"/>
      <c r="I536" s="501"/>
    </row>
    <row r="537" spans="1:17" outlineLevel="2" x14ac:dyDescent="0.4">
      <c r="D537" s="486" t="s">
        <v>701</v>
      </c>
      <c r="F537" s="489" t="s">
        <v>823</v>
      </c>
      <c r="H537" s="481"/>
      <c r="J537" s="502"/>
    </row>
    <row r="538" spans="1:17" outlineLevel="2" x14ac:dyDescent="0.4"/>
    <row r="539" spans="1:17" outlineLevel="1" x14ac:dyDescent="0.4"/>
    <row r="540" spans="1:17" s="483" customFormat="1" outlineLevel="1" x14ac:dyDescent="0.4">
      <c r="A540" s="482"/>
      <c r="B540" s="482">
        <f>MAX($A$7:B539)+0.1</f>
        <v>15.2</v>
      </c>
      <c r="C540" s="482" t="s">
        <v>702</v>
      </c>
      <c r="D540" s="482"/>
      <c r="E540" s="482"/>
      <c r="F540" s="482"/>
      <c r="G540" s="482"/>
      <c r="H540" s="482"/>
      <c r="I540" s="482"/>
      <c r="J540" s="482"/>
      <c r="K540" s="482"/>
      <c r="L540" s="482"/>
      <c r="M540" s="482"/>
      <c r="N540" s="482"/>
      <c r="O540" s="482"/>
      <c r="P540" s="482"/>
      <c r="Q540" s="482"/>
    </row>
    <row r="541" spans="1:17" outlineLevel="2" x14ac:dyDescent="0.4"/>
    <row r="542" spans="1:17" outlineLevel="2" x14ac:dyDescent="0.4">
      <c r="D542" s="486" t="s">
        <v>703</v>
      </c>
      <c r="F542" s="489" t="s">
        <v>21</v>
      </c>
      <c r="G542" s="507"/>
    </row>
    <row r="543" spans="1:17" outlineLevel="2" x14ac:dyDescent="0.4">
      <c r="D543" s="486" t="s">
        <v>704</v>
      </c>
      <c r="E543" s="514" t="s">
        <v>737</v>
      </c>
      <c r="F543" s="489" t="s">
        <v>823</v>
      </c>
      <c r="G543" s="502"/>
    </row>
    <row r="544" spans="1:17" outlineLevel="2" x14ac:dyDescent="0.4">
      <c r="D544" s="486" t="s">
        <v>705</v>
      </c>
      <c r="F544" s="489" t="s">
        <v>823</v>
      </c>
      <c r="G544" s="481"/>
      <c r="J544" s="502">
        <v>0</v>
      </c>
    </row>
    <row r="545" spans="1:17" outlineLevel="2" x14ac:dyDescent="0.4">
      <c r="F545" s="497"/>
    </row>
    <row r="546" spans="1:17" outlineLevel="1" x14ac:dyDescent="0.4"/>
    <row r="548" spans="1:17" s="476" customFormat="1" x14ac:dyDescent="0.4">
      <c r="A548" s="475">
        <f>MAX($A$7:A547)+1</f>
        <v>16</v>
      </c>
      <c r="B548" s="475" t="s">
        <v>706</v>
      </c>
      <c r="C548" s="475"/>
      <c r="D548" s="475"/>
      <c r="E548" s="475"/>
      <c r="F548" s="475"/>
      <c r="G548" s="475"/>
      <c r="H548" s="475"/>
      <c r="I548" s="475"/>
      <c r="J548" s="475"/>
      <c r="K548" s="475"/>
      <c r="L548" s="475"/>
      <c r="M548" s="475"/>
      <c r="N548" s="475"/>
      <c r="O548" s="475"/>
      <c r="P548" s="475"/>
      <c r="Q548" s="475"/>
    </row>
    <row r="549" spans="1:17" outlineLevel="1" x14ac:dyDescent="0.4"/>
    <row r="550" spans="1:17" s="483" customFormat="1" outlineLevel="1" x14ac:dyDescent="0.4">
      <c r="A550" s="482"/>
      <c r="B550" s="482">
        <f>MAX($A$7:B549)+0.1</f>
        <v>16.100000000000001</v>
      </c>
      <c r="C550" s="482" t="s">
        <v>707</v>
      </c>
      <c r="D550" s="482"/>
      <c r="E550" s="482"/>
      <c r="F550" s="482"/>
      <c r="G550" s="482"/>
      <c r="H550" s="482"/>
      <c r="I550" s="482"/>
      <c r="J550" s="482"/>
      <c r="K550" s="482"/>
      <c r="L550" s="482"/>
      <c r="M550" s="482"/>
      <c r="N550" s="482"/>
      <c r="O550" s="482"/>
      <c r="P550" s="482"/>
      <c r="Q550" s="482"/>
    </row>
    <row r="551" spans="1:17" outlineLevel="2" x14ac:dyDescent="0.4"/>
    <row r="552" spans="1:17" outlineLevel="2" x14ac:dyDescent="0.4">
      <c r="D552" s="486" t="s">
        <v>708</v>
      </c>
      <c r="F552" s="489" t="s">
        <v>823</v>
      </c>
      <c r="J552" s="529">
        <v>0</v>
      </c>
      <c r="K552" s="502">
        <v>29000</v>
      </c>
      <c r="L552" s="502"/>
      <c r="M552" s="502"/>
      <c r="N552" s="502"/>
      <c r="O552" s="502"/>
      <c r="P552" s="502"/>
      <c r="Q552" s="502"/>
    </row>
    <row r="553" spans="1:17" outlineLevel="2" x14ac:dyDescent="0.4"/>
    <row r="554" spans="1:17" outlineLevel="2" x14ac:dyDescent="0.4">
      <c r="D554" s="492" t="s">
        <v>709</v>
      </c>
    </row>
    <row r="555" spans="1:17" outlineLevel="2" x14ac:dyDescent="0.4">
      <c r="C555" s="478">
        <f>C554+1</f>
        <v>1</v>
      </c>
      <c r="D555" s="488" t="s">
        <v>826</v>
      </c>
      <c r="F555" s="489" t="s">
        <v>823</v>
      </c>
      <c r="K555" s="502">
        <v>485000</v>
      </c>
      <c r="L555" s="502"/>
      <c r="M555" s="502"/>
      <c r="N555" s="502"/>
      <c r="O555" s="502"/>
      <c r="P555" s="502"/>
      <c r="Q555" s="502"/>
    </row>
    <row r="556" spans="1:17" outlineLevel="2" x14ac:dyDescent="0.4">
      <c r="C556" s="478">
        <f>C555+1</f>
        <v>2</v>
      </c>
      <c r="D556" s="488" t="s">
        <v>827</v>
      </c>
      <c r="F556" s="489" t="s">
        <v>823</v>
      </c>
      <c r="K556" s="502">
        <v>70000</v>
      </c>
      <c r="L556" s="502"/>
      <c r="M556" s="502"/>
      <c r="N556" s="502"/>
      <c r="O556" s="502"/>
      <c r="P556" s="502"/>
      <c r="Q556" s="502"/>
    </row>
    <row r="557" spans="1:17" outlineLevel="2" x14ac:dyDescent="0.4">
      <c r="C557" s="478">
        <f>C556+1</f>
        <v>3</v>
      </c>
      <c r="D557" s="488"/>
      <c r="F557" s="489" t="s">
        <v>823</v>
      </c>
      <c r="K557" s="502"/>
      <c r="L557" s="502"/>
      <c r="M557" s="502"/>
      <c r="N557" s="502"/>
      <c r="O557" s="502"/>
      <c r="P557" s="502"/>
      <c r="Q557" s="502"/>
    </row>
    <row r="558" spans="1:17" outlineLevel="2" x14ac:dyDescent="0.4"/>
    <row r="559" spans="1:17" outlineLevel="1" x14ac:dyDescent="0.4"/>
    <row r="560" spans="1:17" s="483" customFormat="1" outlineLevel="1" x14ac:dyDescent="0.4">
      <c r="A560" s="482"/>
      <c r="B560" s="482">
        <f>MAX($A$7:B559)+0.1</f>
        <v>16.200000000000003</v>
      </c>
      <c r="C560" s="482" t="s">
        <v>710</v>
      </c>
      <c r="D560" s="482"/>
      <c r="E560" s="482"/>
      <c r="F560" s="482"/>
      <c r="G560" s="482"/>
      <c r="H560" s="482"/>
      <c r="I560" s="482"/>
      <c r="J560" s="482"/>
      <c r="K560" s="482"/>
      <c r="L560" s="482"/>
      <c r="M560" s="482"/>
      <c r="N560" s="482"/>
      <c r="O560" s="482"/>
      <c r="P560" s="482"/>
      <c r="Q560" s="482"/>
    </row>
    <row r="561" spans="1:17" outlineLevel="2" x14ac:dyDescent="0.4"/>
    <row r="562" spans="1:17" ht="12.75" outlineLevel="2" x14ac:dyDescent="0.35">
      <c r="A562" s="496"/>
      <c r="B562" s="496"/>
      <c r="D562" s="486" t="s">
        <v>666</v>
      </c>
      <c r="E562" s="497"/>
      <c r="F562" s="489" t="s">
        <v>21</v>
      </c>
      <c r="G562" s="522"/>
      <c r="H562" s="496"/>
      <c r="I562" s="501"/>
      <c r="K562" s="507">
        <v>1</v>
      </c>
      <c r="L562" s="507"/>
      <c r="M562" s="507"/>
      <c r="N562" s="507"/>
      <c r="O562" s="507"/>
      <c r="P562" s="507"/>
      <c r="Q562" s="507"/>
    </row>
    <row r="563" spans="1:17" ht="12.75" outlineLevel="2" x14ac:dyDescent="0.35">
      <c r="A563" s="496"/>
      <c r="B563" s="496"/>
      <c r="D563" s="486" t="s">
        <v>667</v>
      </c>
      <c r="E563" s="497"/>
      <c r="F563" s="489" t="s">
        <v>21</v>
      </c>
      <c r="G563" s="522"/>
      <c r="H563" s="496"/>
      <c r="I563" s="501"/>
      <c r="K563" s="507"/>
      <c r="L563" s="507"/>
      <c r="M563" s="507"/>
      <c r="N563" s="507"/>
      <c r="O563" s="507"/>
      <c r="P563" s="507"/>
      <c r="Q563" s="507"/>
    </row>
    <row r="564" spans="1:17" ht="12.75" outlineLevel="2" x14ac:dyDescent="0.35">
      <c r="A564" s="496"/>
      <c r="B564" s="496"/>
      <c r="D564" s="486" t="s">
        <v>668</v>
      </c>
      <c r="E564" s="497"/>
      <c r="F564" s="489" t="s">
        <v>21</v>
      </c>
      <c r="G564" s="522"/>
      <c r="H564" s="496"/>
      <c r="I564" s="501"/>
      <c r="K564" s="507"/>
      <c r="L564" s="507"/>
      <c r="M564" s="507"/>
      <c r="N564" s="507"/>
      <c r="O564" s="507"/>
      <c r="P564" s="507"/>
      <c r="Q564" s="507"/>
    </row>
    <row r="565" spans="1:17" ht="12.75" outlineLevel="2" x14ac:dyDescent="0.35">
      <c r="A565" s="496"/>
      <c r="B565" s="496"/>
      <c r="D565" s="486" t="s">
        <v>669</v>
      </c>
      <c r="E565" s="497"/>
      <c r="F565" s="489" t="s">
        <v>21</v>
      </c>
      <c r="G565" s="522"/>
      <c r="H565" s="496"/>
      <c r="I565" s="501"/>
      <c r="K565" s="507"/>
      <c r="L565" s="507"/>
      <c r="M565" s="507"/>
      <c r="N565" s="507"/>
      <c r="O565" s="507"/>
      <c r="P565" s="507"/>
      <c r="Q565" s="481"/>
    </row>
    <row r="566" spans="1:17" ht="12.75" outlineLevel="2" x14ac:dyDescent="0.35">
      <c r="A566" s="496"/>
      <c r="B566" s="496"/>
      <c r="E566" s="514" t="s">
        <v>734</v>
      </c>
      <c r="F566" s="489" t="s">
        <v>21</v>
      </c>
      <c r="G566" s="522"/>
      <c r="H566" s="496"/>
      <c r="I566" s="500"/>
      <c r="K566" s="524">
        <v>0</v>
      </c>
      <c r="L566" s="524">
        <v>0</v>
      </c>
      <c r="M566" s="524">
        <v>0</v>
      </c>
      <c r="N566" s="524">
        <v>0</v>
      </c>
      <c r="O566" s="524">
        <v>0</v>
      </c>
      <c r="P566" s="524">
        <v>0</v>
      </c>
      <c r="Q566" s="524">
        <v>0</v>
      </c>
    </row>
    <row r="567" spans="1:17" ht="12.75" outlineLevel="2" x14ac:dyDescent="0.35">
      <c r="A567" s="496"/>
      <c r="B567" s="496"/>
      <c r="E567" s="497"/>
      <c r="F567" s="497"/>
      <c r="G567" s="522"/>
      <c r="H567" s="496"/>
      <c r="I567" s="500"/>
      <c r="K567" s="525"/>
      <c r="L567" s="525"/>
      <c r="M567" s="525"/>
      <c r="N567" s="525"/>
      <c r="O567" s="525"/>
      <c r="P567" s="525"/>
      <c r="Q567" s="525"/>
    </row>
    <row r="568" spans="1:17" ht="12.75" outlineLevel="1" x14ac:dyDescent="0.35">
      <c r="A568" s="496"/>
      <c r="B568" s="496"/>
      <c r="E568" s="497"/>
      <c r="F568" s="497"/>
      <c r="G568" s="522"/>
      <c r="H568" s="496"/>
      <c r="I568" s="500"/>
      <c r="K568" s="525"/>
      <c r="L568" s="525"/>
      <c r="M568" s="525"/>
      <c r="N568" s="525"/>
      <c r="O568" s="525"/>
      <c r="P568" s="525"/>
      <c r="Q568" s="525"/>
    </row>
    <row r="569" spans="1:17" s="483" customFormat="1" outlineLevel="1" x14ac:dyDescent="0.4">
      <c r="A569" s="482"/>
      <c r="B569" s="482">
        <f>MAX($A$7:B568)+0.1</f>
        <v>16.300000000000004</v>
      </c>
      <c r="C569" s="482" t="s">
        <v>711</v>
      </c>
      <c r="D569" s="482"/>
      <c r="E569" s="482"/>
      <c r="F569" s="482"/>
      <c r="G569" s="482"/>
      <c r="H569" s="482"/>
      <c r="I569" s="482"/>
      <c r="J569" s="482"/>
      <c r="K569" s="482"/>
      <c r="L569" s="482"/>
      <c r="M569" s="482"/>
      <c r="N569" s="482"/>
      <c r="O569" s="482"/>
      <c r="P569" s="482"/>
      <c r="Q569" s="482"/>
    </row>
    <row r="570" spans="1:17" ht="12.75" outlineLevel="2" x14ac:dyDescent="0.35">
      <c r="A570" s="496"/>
      <c r="B570" s="496"/>
      <c r="E570" s="497"/>
      <c r="F570" s="497"/>
      <c r="G570" s="522"/>
      <c r="H570" s="496"/>
      <c r="I570" s="500"/>
      <c r="K570" s="525"/>
      <c r="L570" s="525"/>
      <c r="M570" s="525"/>
      <c r="N570" s="525"/>
      <c r="O570" s="525"/>
      <c r="P570" s="525"/>
      <c r="Q570" s="525"/>
    </row>
    <row r="571" spans="1:17" ht="12.75" outlineLevel="2" x14ac:dyDescent="0.35">
      <c r="A571" s="496"/>
      <c r="B571" s="496"/>
      <c r="D571" s="530" t="s">
        <v>712</v>
      </c>
      <c r="E571" s="497"/>
      <c r="F571" s="497"/>
      <c r="G571" s="522"/>
      <c r="H571" s="496"/>
      <c r="I571" s="500"/>
      <c r="K571" s="525"/>
      <c r="L571" s="525"/>
      <c r="M571" s="525"/>
      <c r="N571" s="525"/>
      <c r="O571" s="525"/>
      <c r="P571" s="525"/>
      <c r="Q571" s="525"/>
    </row>
    <row r="572" spans="1:17" ht="12.75" outlineLevel="2" x14ac:dyDescent="0.35">
      <c r="A572" s="496"/>
      <c r="B572" s="496"/>
      <c r="D572" s="488"/>
      <c r="F572" s="489" t="s">
        <v>823</v>
      </c>
      <c r="J572" s="502"/>
      <c r="K572" s="481"/>
      <c r="L572" s="525"/>
      <c r="M572" s="525"/>
      <c r="N572" s="525"/>
      <c r="O572" s="525"/>
      <c r="P572" s="525"/>
      <c r="Q572" s="525"/>
    </row>
    <row r="573" spans="1:17" ht="12.75" outlineLevel="2" x14ac:dyDescent="0.35">
      <c r="A573" s="496"/>
      <c r="B573" s="496"/>
      <c r="D573" s="488"/>
      <c r="F573" s="489" t="s">
        <v>823</v>
      </c>
      <c r="J573" s="502"/>
      <c r="K573" s="481"/>
      <c r="L573" s="525"/>
      <c r="M573" s="525"/>
      <c r="N573" s="525"/>
      <c r="O573" s="525"/>
      <c r="P573" s="525"/>
      <c r="Q573" s="525"/>
    </row>
    <row r="574" spans="1:17" ht="12.75" outlineLevel="2" x14ac:dyDescent="0.35">
      <c r="A574" s="496"/>
      <c r="B574" s="496"/>
      <c r="D574" s="488"/>
      <c r="F574" s="489" t="s">
        <v>823</v>
      </c>
      <c r="J574" s="502"/>
      <c r="K574" s="481"/>
      <c r="L574" s="525"/>
      <c r="M574" s="525"/>
      <c r="N574" s="525"/>
      <c r="O574" s="525"/>
      <c r="P574" s="525"/>
      <c r="Q574" s="525"/>
    </row>
    <row r="575" spans="1:17" ht="12.75" outlineLevel="2" x14ac:dyDescent="0.35">
      <c r="A575" s="496"/>
      <c r="B575" s="496"/>
      <c r="E575" s="497"/>
      <c r="F575" s="497"/>
      <c r="G575" s="522"/>
      <c r="H575" s="496"/>
      <c r="I575" s="500"/>
      <c r="J575" s="529">
        <v>0</v>
      </c>
      <c r="K575" s="525"/>
      <c r="L575" s="525"/>
      <c r="M575" s="525"/>
      <c r="N575" s="525"/>
      <c r="O575" s="525"/>
      <c r="P575" s="525"/>
      <c r="Q575" s="525"/>
    </row>
    <row r="576" spans="1:17" ht="12.75" outlineLevel="2" x14ac:dyDescent="0.35">
      <c r="A576" s="496"/>
      <c r="B576" s="496"/>
      <c r="G576" s="522"/>
      <c r="H576" s="496"/>
      <c r="I576" s="500"/>
      <c r="K576" s="525"/>
      <c r="L576" s="525"/>
      <c r="M576" s="525"/>
      <c r="N576" s="525"/>
      <c r="O576" s="525"/>
      <c r="P576" s="525"/>
      <c r="Q576" s="525"/>
    </row>
    <row r="577" spans="1:17" ht="12.75" outlineLevel="2" x14ac:dyDescent="0.35">
      <c r="A577" s="496"/>
      <c r="B577" s="496"/>
      <c r="D577" s="478" t="s">
        <v>713</v>
      </c>
      <c r="E577" s="497"/>
      <c r="F577" s="489" t="s">
        <v>823</v>
      </c>
      <c r="G577" s="522"/>
      <c r="H577" s="496"/>
      <c r="I577" s="500"/>
      <c r="J577" s="529">
        <f>J552-J575</f>
        <v>0</v>
      </c>
      <c r="K577" s="525"/>
      <c r="L577" s="525"/>
      <c r="M577" s="525"/>
      <c r="N577" s="525"/>
      <c r="O577" s="525"/>
      <c r="P577" s="525"/>
      <c r="Q577" s="525"/>
    </row>
    <row r="578" spans="1:17" ht="12.75" outlineLevel="2" x14ac:dyDescent="0.35">
      <c r="A578" s="496"/>
      <c r="B578" s="496"/>
      <c r="E578" s="497"/>
      <c r="F578" s="497"/>
      <c r="G578" s="522"/>
      <c r="H578" s="496"/>
      <c r="I578" s="500"/>
      <c r="J578" s="531"/>
      <c r="K578" s="525"/>
      <c r="L578" s="525"/>
      <c r="M578" s="525"/>
      <c r="N578" s="525"/>
      <c r="O578" s="525"/>
      <c r="P578" s="525"/>
      <c r="Q578" s="525"/>
    </row>
    <row r="579" spans="1:17" ht="12.75" outlineLevel="2" x14ac:dyDescent="0.35">
      <c r="A579" s="496"/>
      <c r="B579" s="496"/>
      <c r="D579" s="478" t="s">
        <v>714</v>
      </c>
      <c r="E579" s="514"/>
      <c r="F579" s="489" t="s">
        <v>823</v>
      </c>
      <c r="G579" s="522"/>
      <c r="H579" s="496"/>
      <c r="I579" s="500"/>
      <c r="J579" s="529">
        <f>SUM(J575,J577)</f>
        <v>0</v>
      </c>
      <c r="K579" s="525"/>
      <c r="L579" s="525"/>
      <c r="M579" s="525"/>
      <c r="N579" s="525"/>
      <c r="O579" s="525"/>
      <c r="P579" s="525"/>
      <c r="Q579" s="525"/>
    </row>
    <row r="580" spans="1:17" ht="12.75" outlineLevel="2" x14ac:dyDescent="0.35">
      <c r="A580" s="496"/>
      <c r="B580" s="496"/>
      <c r="E580" s="497"/>
      <c r="F580" s="497"/>
      <c r="G580" s="522"/>
      <c r="H580" s="496"/>
      <c r="I580" s="500"/>
      <c r="J580" s="531"/>
      <c r="K580" s="525"/>
      <c r="L580" s="525"/>
      <c r="M580" s="525"/>
      <c r="N580" s="525"/>
      <c r="O580" s="525"/>
      <c r="P580" s="525"/>
      <c r="Q580" s="525"/>
    </row>
    <row r="581" spans="1:17" ht="12.75" outlineLevel="1" x14ac:dyDescent="0.35">
      <c r="A581" s="496"/>
      <c r="B581" s="496"/>
      <c r="E581" s="497"/>
      <c r="F581" s="497"/>
      <c r="G581" s="522"/>
      <c r="H581" s="496"/>
      <c r="I581" s="500"/>
      <c r="K581" s="525"/>
      <c r="L581" s="525"/>
      <c r="M581" s="525"/>
      <c r="N581" s="525"/>
      <c r="O581" s="525"/>
      <c r="P581" s="525"/>
      <c r="Q581" s="525"/>
    </row>
    <row r="582" spans="1:17" s="483" customFormat="1" outlineLevel="1" x14ac:dyDescent="0.4">
      <c r="A582" s="482"/>
      <c r="B582" s="482">
        <f>MAX($A$7:B581)+0.1</f>
        <v>16.400000000000006</v>
      </c>
      <c r="C582" s="482" t="s">
        <v>715</v>
      </c>
      <c r="D582" s="482"/>
      <c r="E582" s="482"/>
      <c r="F582" s="482"/>
      <c r="G582" s="482"/>
      <c r="H582" s="482"/>
      <c r="I582" s="482"/>
      <c r="J582" s="482"/>
      <c r="K582" s="482"/>
      <c r="L582" s="482"/>
      <c r="M582" s="482"/>
      <c r="N582" s="482"/>
      <c r="O582" s="482"/>
      <c r="P582" s="482"/>
      <c r="Q582" s="482"/>
    </row>
    <row r="583" spans="1:17" outlineLevel="2" x14ac:dyDescent="0.4"/>
    <row r="584" spans="1:17" outlineLevel="2" x14ac:dyDescent="0.4">
      <c r="D584" s="486" t="s">
        <v>716</v>
      </c>
      <c r="F584" s="489" t="s">
        <v>823</v>
      </c>
      <c r="J584" s="502"/>
    </row>
    <row r="585" spans="1:17" outlineLevel="2" x14ac:dyDescent="0.4"/>
    <row r="586" spans="1:17" outlineLevel="1" x14ac:dyDescent="0.4"/>
    <row r="588" spans="1:17" s="476" customFormat="1" x14ac:dyDescent="0.4">
      <c r="A588" s="475">
        <f>MAX($A$7:A587)+1</f>
        <v>17</v>
      </c>
      <c r="B588" s="475" t="s">
        <v>187</v>
      </c>
      <c r="C588" s="475"/>
      <c r="D588" s="475"/>
      <c r="E588" s="475"/>
      <c r="F588" s="475"/>
      <c r="G588" s="475"/>
      <c r="H588" s="475"/>
      <c r="I588" s="475"/>
      <c r="J588" s="475"/>
      <c r="K588" s="475"/>
      <c r="L588" s="475"/>
      <c r="M588" s="475"/>
      <c r="N588" s="475"/>
      <c r="O588" s="475"/>
      <c r="P588" s="475"/>
      <c r="Q588" s="475"/>
    </row>
    <row r="589" spans="1:17" outlineLevel="1" x14ac:dyDescent="0.4"/>
    <row r="590" spans="1:17" s="483" customFormat="1" outlineLevel="1" x14ac:dyDescent="0.4">
      <c r="A590" s="482"/>
      <c r="B590" s="482">
        <f>MAX($A$7:B589)+0.1</f>
        <v>17.100000000000001</v>
      </c>
      <c r="C590" s="482" t="s">
        <v>717</v>
      </c>
      <c r="D590" s="482"/>
      <c r="E590" s="482"/>
      <c r="F590" s="482"/>
      <c r="G590" s="482"/>
      <c r="H590" s="482"/>
      <c r="I590" s="482"/>
      <c r="J590" s="482"/>
      <c r="K590" s="482"/>
      <c r="L590" s="482"/>
      <c r="M590" s="482"/>
      <c r="N590" s="482"/>
      <c r="O590" s="482"/>
      <c r="P590" s="482"/>
      <c r="Q590" s="482"/>
    </row>
    <row r="591" spans="1:17" outlineLevel="2" x14ac:dyDescent="0.4"/>
    <row r="592" spans="1:17" outlineLevel="2" x14ac:dyDescent="0.4">
      <c r="D592" s="486" t="s">
        <v>718</v>
      </c>
      <c r="F592" s="489" t="s">
        <v>21</v>
      </c>
      <c r="G592" s="507">
        <v>0</v>
      </c>
    </row>
    <row r="593" spans="1:21" outlineLevel="2" x14ac:dyDescent="0.4">
      <c r="D593" s="486" t="s">
        <v>719</v>
      </c>
      <c r="F593" s="489" t="s">
        <v>823</v>
      </c>
      <c r="G593" s="502">
        <v>0</v>
      </c>
    </row>
    <row r="594" spans="1:21" outlineLevel="2" x14ac:dyDescent="0.4"/>
    <row r="595" spans="1:21" outlineLevel="1" x14ac:dyDescent="0.4"/>
    <row r="597" spans="1:21" s="476" customFormat="1" x14ac:dyDescent="0.4">
      <c r="A597" s="475">
        <f>MAX($A$7:A596)+1</f>
        <v>18</v>
      </c>
      <c r="B597" s="475" t="s">
        <v>720</v>
      </c>
      <c r="C597" s="475"/>
      <c r="D597" s="475"/>
      <c r="E597" s="475"/>
      <c r="F597" s="475"/>
      <c r="G597" s="475"/>
      <c r="H597" s="475"/>
      <c r="I597" s="475"/>
      <c r="J597" s="475"/>
      <c r="K597" s="475"/>
      <c r="L597" s="475"/>
      <c r="M597" s="475"/>
      <c r="N597" s="475"/>
      <c r="O597" s="475"/>
      <c r="P597" s="475"/>
      <c r="Q597" s="475"/>
    </row>
    <row r="598" spans="1:21" outlineLevel="1" x14ac:dyDescent="0.4"/>
    <row r="599" spans="1:21" s="483" customFormat="1" outlineLevel="1" x14ac:dyDescent="0.4">
      <c r="A599" s="482"/>
      <c r="B599" s="482">
        <f>MAX($A$7:B598)+0.1</f>
        <v>18.100000000000001</v>
      </c>
      <c r="C599" s="482" t="s">
        <v>721</v>
      </c>
      <c r="D599" s="482"/>
      <c r="E599" s="482"/>
      <c r="F599" s="482"/>
      <c r="G599" s="482"/>
      <c r="H599" s="482"/>
      <c r="I599" s="482"/>
      <c r="J599" s="482"/>
      <c r="K599" s="482"/>
      <c r="L599" s="482"/>
      <c r="M599" s="482"/>
      <c r="N599" s="482"/>
      <c r="O599" s="482"/>
      <c r="P599" s="482"/>
      <c r="Q599" s="482"/>
    </row>
    <row r="600" spans="1:21" outlineLevel="2" x14ac:dyDescent="0.4"/>
    <row r="601" spans="1:21" outlineLevel="2" x14ac:dyDescent="0.4">
      <c r="D601" s="488"/>
      <c r="F601" s="489"/>
      <c r="R601" s="478"/>
      <c r="S601" s="478"/>
      <c r="T601" s="478"/>
      <c r="U601" s="478"/>
    </row>
    <row r="602" spans="1:21" outlineLevel="2" x14ac:dyDescent="0.4">
      <c r="D602" s="486" t="s">
        <v>666</v>
      </c>
      <c r="F602" s="489" t="s">
        <v>823</v>
      </c>
      <c r="K602" s="502"/>
      <c r="L602" s="502"/>
      <c r="M602" s="502"/>
      <c r="N602" s="502"/>
      <c r="O602" s="502"/>
      <c r="P602" s="502"/>
      <c r="Q602" s="502"/>
    </row>
    <row r="603" spans="1:21" outlineLevel="2" x14ac:dyDescent="0.4">
      <c r="D603" s="486" t="s">
        <v>667</v>
      </c>
      <c r="F603" s="489" t="s">
        <v>823</v>
      </c>
      <c r="K603" s="502"/>
      <c r="L603" s="502"/>
      <c r="M603" s="502"/>
      <c r="N603" s="502"/>
      <c r="O603" s="502"/>
      <c r="P603" s="502"/>
      <c r="Q603" s="502"/>
    </row>
    <row r="604" spans="1:21" outlineLevel="2" x14ac:dyDescent="0.4">
      <c r="D604" s="486" t="s">
        <v>668</v>
      </c>
      <c r="F604" s="489" t="s">
        <v>823</v>
      </c>
      <c r="K604" s="502"/>
      <c r="L604" s="502"/>
      <c r="M604" s="502"/>
      <c r="N604" s="502"/>
      <c r="O604" s="502"/>
      <c r="P604" s="502"/>
      <c r="Q604" s="502"/>
    </row>
    <row r="605" spans="1:21" outlineLevel="2" x14ac:dyDescent="0.4">
      <c r="D605" s="486" t="s">
        <v>669</v>
      </c>
      <c r="F605" s="489" t="s">
        <v>823</v>
      </c>
      <c r="K605" s="502"/>
      <c r="L605" s="502"/>
      <c r="M605" s="502"/>
      <c r="N605" s="502"/>
      <c r="O605" s="502"/>
      <c r="P605" s="502"/>
      <c r="Q605" s="481"/>
    </row>
    <row r="606" spans="1:21" outlineLevel="2" x14ac:dyDescent="0.4">
      <c r="E606" s="514" t="s">
        <v>738</v>
      </c>
      <c r="K606" s="532">
        <v>0</v>
      </c>
      <c r="L606" s="532">
        <v>0</v>
      </c>
      <c r="M606" s="532">
        <v>0</v>
      </c>
      <c r="N606" s="532">
        <v>0</v>
      </c>
      <c r="O606" s="532">
        <v>0</v>
      </c>
      <c r="P606" s="532">
        <v>0</v>
      </c>
      <c r="Q606" s="532">
        <v>0</v>
      </c>
    </row>
    <row r="607" spans="1:21" outlineLevel="2" x14ac:dyDescent="0.4"/>
    <row r="608" spans="1:21" outlineLevel="2" x14ac:dyDescent="0.4">
      <c r="D608" s="488"/>
      <c r="F608" s="489"/>
      <c r="R608" s="478"/>
      <c r="S608" s="478"/>
      <c r="T608" s="478"/>
      <c r="U608" s="478"/>
    </row>
    <row r="609" spans="4:21" outlineLevel="2" x14ac:dyDescent="0.4">
      <c r="D609" s="486" t="s">
        <v>666</v>
      </c>
      <c r="F609" s="489" t="s">
        <v>823</v>
      </c>
      <c r="K609" s="502"/>
      <c r="L609" s="502"/>
      <c r="M609" s="502"/>
      <c r="N609" s="502"/>
      <c r="O609" s="502"/>
      <c r="P609" s="502"/>
      <c r="Q609" s="502"/>
    </row>
    <row r="610" spans="4:21" outlineLevel="2" x14ac:dyDescent="0.4">
      <c r="D610" s="486" t="s">
        <v>667</v>
      </c>
      <c r="F610" s="489" t="s">
        <v>823</v>
      </c>
      <c r="K610" s="502"/>
      <c r="L610" s="502"/>
      <c r="M610" s="502"/>
      <c r="N610" s="502"/>
      <c r="O610" s="502"/>
      <c r="P610" s="502"/>
      <c r="Q610" s="502"/>
    </row>
    <row r="611" spans="4:21" outlineLevel="2" x14ac:dyDescent="0.4">
      <c r="D611" s="486" t="s">
        <v>668</v>
      </c>
      <c r="F611" s="489" t="s">
        <v>823</v>
      </c>
      <c r="K611" s="502"/>
      <c r="L611" s="502"/>
      <c r="M611" s="502"/>
      <c r="N611" s="502"/>
      <c r="O611" s="502"/>
      <c r="P611" s="502"/>
      <c r="Q611" s="502"/>
    </row>
    <row r="612" spans="4:21" outlineLevel="2" x14ac:dyDescent="0.4">
      <c r="D612" s="486" t="s">
        <v>669</v>
      </c>
      <c r="F612" s="489" t="s">
        <v>823</v>
      </c>
      <c r="K612" s="502"/>
      <c r="L612" s="502"/>
      <c r="M612" s="502"/>
      <c r="N612" s="502"/>
      <c r="O612" s="502"/>
      <c r="P612" s="502"/>
      <c r="Q612" s="481"/>
    </row>
    <row r="613" spans="4:21" outlineLevel="2" x14ac:dyDescent="0.4">
      <c r="D613" s="479"/>
      <c r="E613" s="514" t="s">
        <v>738</v>
      </c>
      <c r="K613" s="532">
        <v>0</v>
      </c>
      <c r="L613" s="532">
        <v>0</v>
      </c>
      <c r="M613" s="532">
        <v>0</v>
      </c>
      <c r="N613" s="532">
        <v>0</v>
      </c>
      <c r="O613" s="532">
        <v>0</v>
      </c>
      <c r="P613" s="532">
        <v>0</v>
      </c>
      <c r="Q613" s="532">
        <v>0</v>
      </c>
    </row>
    <row r="614" spans="4:21" outlineLevel="2" x14ac:dyDescent="0.4">
      <c r="D614" s="479"/>
    </row>
    <row r="615" spans="4:21" outlineLevel="2" x14ac:dyDescent="0.4">
      <c r="D615" s="488"/>
      <c r="F615" s="489"/>
      <c r="R615" s="478"/>
      <c r="S615" s="478"/>
      <c r="T615" s="478"/>
      <c r="U615" s="478"/>
    </row>
    <row r="616" spans="4:21" outlineLevel="2" x14ac:dyDescent="0.4">
      <c r="D616" s="486" t="s">
        <v>666</v>
      </c>
      <c r="F616" s="489" t="s">
        <v>823</v>
      </c>
      <c r="K616" s="502"/>
      <c r="L616" s="502"/>
      <c r="M616" s="502"/>
      <c r="N616" s="502"/>
      <c r="O616" s="502"/>
      <c r="P616" s="502"/>
      <c r="Q616" s="502"/>
    </row>
    <row r="617" spans="4:21" outlineLevel="2" x14ac:dyDescent="0.4">
      <c r="D617" s="486" t="s">
        <v>667</v>
      </c>
      <c r="F617" s="489" t="s">
        <v>823</v>
      </c>
      <c r="K617" s="502"/>
      <c r="L617" s="502"/>
      <c r="M617" s="502"/>
      <c r="N617" s="502"/>
      <c r="O617" s="502"/>
      <c r="P617" s="502"/>
      <c r="Q617" s="502"/>
    </row>
    <row r="618" spans="4:21" outlineLevel="2" x14ac:dyDescent="0.4">
      <c r="D618" s="486" t="s">
        <v>668</v>
      </c>
      <c r="F618" s="489" t="s">
        <v>823</v>
      </c>
      <c r="K618" s="502"/>
      <c r="L618" s="502"/>
      <c r="M618" s="502"/>
      <c r="N618" s="502"/>
      <c r="O618" s="502"/>
      <c r="P618" s="502"/>
      <c r="Q618" s="502"/>
    </row>
    <row r="619" spans="4:21" outlineLevel="2" x14ac:dyDescent="0.4">
      <c r="D619" s="486" t="s">
        <v>669</v>
      </c>
      <c r="F619" s="489" t="s">
        <v>823</v>
      </c>
      <c r="K619" s="502"/>
      <c r="L619" s="502"/>
      <c r="M619" s="502"/>
      <c r="N619" s="502"/>
      <c r="O619" s="502"/>
      <c r="P619" s="502"/>
      <c r="Q619" s="481"/>
    </row>
    <row r="620" spans="4:21" outlineLevel="2" x14ac:dyDescent="0.4">
      <c r="D620" s="479"/>
      <c r="E620" s="514" t="s">
        <v>738</v>
      </c>
      <c r="K620" s="532">
        <v>0</v>
      </c>
      <c r="L620" s="532">
        <v>0</v>
      </c>
      <c r="M620" s="532">
        <v>0</v>
      </c>
      <c r="N620" s="532">
        <v>0</v>
      </c>
      <c r="O620" s="532">
        <v>0</v>
      </c>
      <c r="P620" s="532">
        <v>0</v>
      </c>
      <c r="Q620" s="532">
        <v>0</v>
      </c>
    </row>
    <row r="621" spans="4:21" outlineLevel="2" x14ac:dyDescent="0.4">
      <c r="D621" s="479"/>
    </row>
    <row r="622" spans="4:21" outlineLevel="2" x14ac:dyDescent="0.4">
      <c r="D622" s="488"/>
      <c r="F622" s="489"/>
      <c r="R622" s="478"/>
      <c r="S622" s="478"/>
      <c r="T622" s="478"/>
      <c r="U622" s="478"/>
    </row>
    <row r="623" spans="4:21" outlineLevel="2" x14ac:dyDescent="0.4">
      <c r="D623" s="486" t="s">
        <v>666</v>
      </c>
      <c r="F623" s="489" t="s">
        <v>823</v>
      </c>
      <c r="K623" s="502"/>
      <c r="L623" s="502"/>
      <c r="M623" s="502"/>
      <c r="N623" s="502"/>
      <c r="O623" s="502"/>
      <c r="P623" s="502"/>
      <c r="Q623" s="502"/>
    </row>
    <row r="624" spans="4:21" outlineLevel="2" x14ac:dyDescent="0.4">
      <c r="D624" s="486" t="s">
        <v>667</v>
      </c>
      <c r="F624" s="489" t="s">
        <v>823</v>
      </c>
      <c r="K624" s="502"/>
      <c r="L624" s="502"/>
      <c r="M624" s="502"/>
      <c r="N624" s="502"/>
      <c r="O624" s="502"/>
      <c r="P624" s="502"/>
      <c r="Q624" s="502"/>
    </row>
    <row r="625" spans="1:21" outlineLevel="2" x14ac:dyDescent="0.4">
      <c r="D625" s="486" t="s">
        <v>668</v>
      </c>
      <c r="F625" s="489" t="s">
        <v>823</v>
      </c>
      <c r="K625" s="502"/>
      <c r="L625" s="502"/>
      <c r="M625" s="502"/>
      <c r="N625" s="502"/>
      <c r="O625" s="502"/>
      <c r="P625" s="502"/>
      <c r="Q625" s="502"/>
    </row>
    <row r="626" spans="1:21" outlineLevel="2" x14ac:dyDescent="0.4">
      <c r="D626" s="486" t="s">
        <v>669</v>
      </c>
      <c r="F626" s="489" t="s">
        <v>823</v>
      </c>
      <c r="K626" s="502"/>
      <c r="L626" s="502"/>
      <c r="M626" s="502"/>
      <c r="N626" s="502"/>
      <c r="O626" s="502"/>
      <c r="P626" s="502"/>
      <c r="Q626" s="481"/>
    </row>
    <row r="627" spans="1:21" outlineLevel="2" x14ac:dyDescent="0.4">
      <c r="E627" s="514" t="s">
        <v>738</v>
      </c>
      <c r="K627" s="532">
        <v>0</v>
      </c>
      <c r="L627" s="532">
        <v>0</v>
      </c>
      <c r="M627" s="532">
        <v>0</v>
      </c>
      <c r="N627" s="532">
        <v>0</v>
      </c>
      <c r="O627" s="532">
        <v>0</v>
      </c>
      <c r="P627" s="532">
        <v>0</v>
      </c>
      <c r="Q627" s="532">
        <v>0</v>
      </c>
    </row>
    <row r="628" spans="1:21" outlineLevel="2" x14ac:dyDescent="0.4"/>
    <row r="629" spans="1:21" outlineLevel="2" x14ac:dyDescent="0.4">
      <c r="D629" s="488"/>
      <c r="F629" s="489"/>
      <c r="R629" s="478"/>
      <c r="S629" s="478"/>
      <c r="T629" s="478"/>
      <c r="U629" s="478"/>
    </row>
    <row r="630" spans="1:21" outlineLevel="2" x14ac:dyDescent="0.4">
      <c r="D630" s="486" t="s">
        <v>666</v>
      </c>
      <c r="F630" s="489" t="s">
        <v>823</v>
      </c>
      <c r="K630" s="502"/>
      <c r="L630" s="502"/>
      <c r="M630" s="502"/>
      <c r="N630" s="502"/>
      <c r="O630" s="502"/>
      <c r="P630" s="502"/>
      <c r="Q630" s="502"/>
    </row>
    <row r="631" spans="1:21" outlineLevel="2" x14ac:dyDescent="0.4">
      <c r="D631" s="486" t="s">
        <v>667</v>
      </c>
      <c r="F631" s="489" t="s">
        <v>823</v>
      </c>
      <c r="K631" s="502"/>
      <c r="L631" s="502"/>
      <c r="M631" s="502"/>
      <c r="N631" s="502"/>
      <c r="O631" s="502"/>
      <c r="P631" s="502"/>
      <c r="Q631" s="502"/>
    </row>
    <row r="632" spans="1:21" outlineLevel="2" x14ac:dyDescent="0.4">
      <c r="D632" s="486" t="s">
        <v>668</v>
      </c>
      <c r="F632" s="489" t="s">
        <v>823</v>
      </c>
      <c r="K632" s="502"/>
      <c r="L632" s="502"/>
      <c r="M632" s="502"/>
      <c r="N632" s="502"/>
      <c r="O632" s="502"/>
      <c r="P632" s="502"/>
      <c r="Q632" s="502"/>
    </row>
    <row r="633" spans="1:21" outlineLevel="2" x14ac:dyDescent="0.4">
      <c r="D633" s="486" t="s">
        <v>669</v>
      </c>
      <c r="F633" s="489" t="s">
        <v>823</v>
      </c>
      <c r="K633" s="502"/>
      <c r="L633" s="502"/>
      <c r="M633" s="502"/>
      <c r="N633" s="502"/>
      <c r="O633" s="502"/>
      <c r="P633" s="502"/>
      <c r="Q633" s="481"/>
    </row>
    <row r="634" spans="1:21" outlineLevel="2" x14ac:dyDescent="0.4">
      <c r="D634" s="486"/>
      <c r="E634" s="514" t="s">
        <v>738</v>
      </c>
      <c r="F634" s="489"/>
      <c r="K634" s="532">
        <v>0</v>
      </c>
      <c r="L634" s="532">
        <v>0</v>
      </c>
      <c r="M634" s="532">
        <v>0</v>
      </c>
      <c r="N634" s="532">
        <v>0</v>
      </c>
      <c r="O634" s="532">
        <v>0</v>
      </c>
      <c r="P634" s="532">
        <v>0</v>
      </c>
      <c r="Q634" s="532">
        <v>0</v>
      </c>
    </row>
    <row r="635" spans="1:21" outlineLevel="2" x14ac:dyDescent="0.4">
      <c r="D635" s="486"/>
      <c r="F635" s="489"/>
      <c r="J635" s="481"/>
      <c r="K635" s="481"/>
      <c r="L635" s="481"/>
      <c r="M635" s="481"/>
      <c r="N635" s="481"/>
      <c r="O635" s="481"/>
      <c r="P635" s="481"/>
      <c r="Q635" s="481"/>
    </row>
    <row r="636" spans="1:21" outlineLevel="1" x14ac:dyDescent="0.4"/>
    <row r="638" spans="1:21" s="468" customFormat="1" x14ac:dyDescent="0.4">
      <c r="A638" s="466"/>
      <c r="B638" s="466" t="s">
        <v>722</v>
      </c>
      <c r="C638" s="466"/>
      <c r="D638" s="466"/>
      <c r="E638" s="466"/>
      <c r="F638" s="466"/>
      <c r="G638" s="466"/>
      <c r="H638" s="466"/>
      <c r="I638" s="466"/>
      <c r="J638" s="466"/>
      <c r="K638" s="466"/>
      <c r="L638" s="466"/>
      <c r="M638" s="466"/>
      <c r="N638" s="466"/>
      <c r="O638" s="466"/>
      <c r="P638" s="466"/>
      <c r="Q638" s="466"/>
    </row>
  </sheetData>
  <mergeCells count="3">
    <mergeCell ref="G13:I13"/>
    <mergeCell ref="G14:I14"/>
    <mergeCell ref="G15:H15"/>
  </mergeCells>
  <conditionalFormatting sqref="E456 E566 E461 E511 E543 E438 E415 E388 E447 E402:E406 E424 E176 E126">
    <cfRule type="containsText" dxfId="273" priority="17" operator="containsText" text="please">
      <formula>NOT(ISERROR(SEARCH("please",E126)))</formula>
    </cfRule>
    <cfRule type="containsText" dxfId="272" priority="18" operator="containsText" text="ok">
      <formula>NOT(ISERROR(SEARCH("ok",E126)))</formula>
    </cfRule>
  </conditionalFormatting>
  <conditionalFormatting sqref="A6">
    <cfRule type="containsText" dxfId="271" priority="19" operator="containsText" text="errors">
      <formula>NOT(ISERROR(SEARCH("errors",A6)))</formula>
    </cfRule>
    <cfRule type="containsText" dxfId="270" priority="20" operator="containsText" text="ok">
      <formula>NOT(ISERROR(SEARCH("ok",A6)))</formula>
    </cfRule>
  </conditionalFormatting>
  <conditionalFormatting sqref="E495">
    <cfRule type="containsText" dxfId="269" priority="15" operator="containsText" text="please">
      <formula>NOT(ISERROR(SEARCH("please",E495)))</formula>
    </cfRule>
    <cfRule type="containsText" dxfId="268" priority="16" operator="containsText" text="ok">
      <formula>NOT(ISERROR(SEARCH("ok",E495)))</formula>
    </cfRule>
  </conditionalFormatting>
  <conditionalFormatting sqref="E579">
    <cfRule type="containsText" dxfId="267" priority="13" operator="containsText" text="please">
      <formula>NOT(ISERROR(SEARCH("please",E579)))</formula>
    </cfRule>
    <cfRule type="containsText" dxfId="266" priority="14" operator="containsText" text="ok">
      <formula>NOT(ISERROR(SEARCH("ok",E579)))</formula>
    </cfRule>
  </conditionalFormatting>
  <conditionalFormatting sqref="E319:E327">
    <cfRule type="containsText" dxfId="265" priority="11" operator="containsText" text="please">
      <formula>NOT(ISERROR(SEARCH("please",E319)))</formula>
    </cfRule>
    <cfRule type="containsText" dxfId="264" priority="12" operator="containsText" text="ok">
      <formula>NOT(ISERROR(SEARCH("ok",E319)))</formula>
    </cfRule>
  </conditionalFormatting>
  <conditionalFormatting sqref="E606">
    <cfRule type="containsText" dxfId="263" priority="9" operator="containsText" text="please">
      <formula>NOT(ISERROR(SEARCH("please",E606)))</formula>
    </cfRule>
    <cfRule type="containsText" dxfId="262" priority="10" operator="containsText" text="ok">
      <formula>NOT(ISERROR(SEARCH("ok",E606)))</formula>
    </cfRule>
  </conditionalFormatting>
  <conditionalFormatting sqref="E613">
    <cfRule type="containsText" dxfId="261" priority="7" operator="containsText" text="please">
      <formula>NOT(ISERROR(SEARCH("please",E613)))</formula>
    </cfRule>
    <cfRule type="containsText" dxfId="260" priority="8" operator="containsText" text="ok">
      <formula>NOT(ISERROR(SEARCH("ok",E613)))</formula>
    </cfRule>
  </conditionalFormatting>
  <conditionalFormatting sqref="E620">
    <cfRule type="containsText" dxfId="259" priority="5" operator="containsText" text="please">
      <formula>NOT(ISERROR(SEARCH("please",E620)))</formula>
    </cfRule>
    <cfRule type="containsText" dxfId="258" priority="6" operator="containsText" text="ok">
      <formula>NOT(ISERROR(SEARCH("ok",E620)))</formula>
    </cfRule>
  </conditionalFormatting>
  <conditionalFormatting sqref="E627">
    <cfRule type="containsText" dxfId="257" priority="3" operator="containsText" text="please">
      <formula>NOT(ISERROR(SEARCH("please",E627)))</formula>
    </cfRule>
    <cfRule type="containsText" dxfId="256" priority="4" operator="containsText" text="ok">
      <formula>NOT(ISERROR(SEARCH("ok",E627)))</formula>
    </cfRule>
  </conditionalFormatting>
  <conditionalFormatting sqref="E634">
    <cfRule type="containsText" dxfId="255" priority="1" operator="containsText" text="please">
      <formula>NOT(ISERROR(SEARCH("please",E634)))</formula>
    </cfRule>
    <cfRule type="containsText" dxfId="254" priority="2" operator="containsText" text="ok">
      <formula>NOT(ISERROR(SEARCH("ok",E634)))</formula>
    </cfRule>
  </conditionalFormatting>
  <dataValidations count="2">
    <dataValidation allowBlank="1" showInputMessage="1" showErrorMessage="1" errorTitle="Error" error="Please enter a valid date._x000a_" sqref="G19" xr:uid="{457A59E6-D2CC-4D8B-B663-74C4B330CA7F}"/>
    <dataValidation type="date" allowBlank="1" showInputMessage="1" showErrorMessage="1" errorTitle="Error" error="Please enter a valid date._x000a_" sqref="G18" xr:uid="{3CFA4013-1195-4E84-9C43-9CC72425CAF5}">
      <formula1>32874</formula1>
      <formula2>73051</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55C12-DA58-4310-AB4D-AF2072241534}">
  <sheetPr>
    <tabColor theme="4" tint="0.59999389629810485"/>
  </sheetPr>
  <dimension ref="A1:AA480"/>
  <sheetViews>
    <sheetView showGridLines="0" zoomScale="70" zoomScaleNormal="70" workbookViewId="0">
      <pane xSplit="6" ySplit="10" topLeftCell="G11" activePane="bottomRight" state="frozen"/>
      <selection activeCell="H11" sqref="H11"/>
      <selection pane="topRight" activeCell="H11" sqref="H11"/>
      <selection pane="bottomLeft" activeCell="H11" sqref="H11"/>
      <selection pane="bottomRight" activeCell="A340" sqref="A340:K401"/>
    </sheetView>
  </sheetViews>
  <sheetFormatPr defaultColWidth="9.1328125" defaultRowHeight="14.25" x14ac:dyDescent="0.45"/>
  <cols>
    <col min="1" max="1" width="4.3984375" style="549" customWidth="1"/>
    <col min="2" max="2" width="4" style="549" customWidth="1"/>
    <col min="3" max="3" width="19" style="549" customWidth="1"/>
    <col min="4" max="4" width="74.6640625" style="549" customWidth="1"/>
    <col min="5" max="5" width="28.265625" style="556" customWidth="1"/>
    <col min="6" max="6" width="20" style="549" hidden="1" customWidth="1"/>
    <col min="7" max="11" width="27.46484375" style="549" customWidth="1"/>
    <col min="12" max="27" width="18.1328125" style="549" customWidth="1"/>
    <col min="28" max="39" width="10.86328125" style="549" customWidth="1"/>
    <col min="40" max="40" width="12.59765625" style="549" customWidth="1"/>
    <col min="41" max="16384" width="9.1328125" style="549"/>
  </cols>
  <sheetData>
    <row r="1" spans="1:27" hidden="1" x14ac:dyDescent="0.45">
      <c r="A1" s="752" t="str">
        <f ca="1">RIGHT(CELL("filename",$A$1),LEN(CELL("filename",$A$1))-FIND("]",CELL("filename",$A$1)))</f>
        <v>Extracts</v>
      </c>
      <c r="B1" s="753"/>
      <c r="C1" s="753"/>
      <c r="D1" s="753"/>
      <c r="E1" s="754">
        <f ca="1">F422</f>
        <v>16243658.526131678</v>
      </c>
      <c r="F1" s="755">
        <f ca="1">MIN($G$309:$AM$309)</f>
        <v>559751.44489366515</v>
      </c>
      <c r="G1" s="756">
        <v>1</v>
      </c>
      <c r="H1" s="756">
        <v>2</v>
      </c>
      <c r="I1" s="756">
        <v>3</v>
      </c>
      <c r="J1" s="756">
        <v>4</v>
      </c>
      <c r="K1" s="757">
        <v>5</v>
      </c>
      <c r="L1" s="550">
        <v>6</v>
      </c>
      <c r="M1" s="550">
        <v>7</v>
      </c>
      <c r="N1" s="550">
        <v>8</v>
      </c>
      <c r="O1" s="550">
        <v>9</v>
      </c>
      <c r="P1" s="550">
        <v>10</v>
      </c>
      <c r="Q1" s="550">
        <v>11</v>
      </c>
      <c r="R1" s="550">
        <v>12</v>
      </c>
      <c r="S1" s="550">
        <v>13</v>
      </c>
      <c r="T1" s="550">
        <v>14</v>
      </c>
      <c r="U1" s="550">
        <v>15</v>
      </c>
      <c r="V1" s="550"/>
    </row>
    <row r="2" spans="1:27" hidden="1" x14ac:dyDescent="0.45">
      <c r="A2" s="758"/>
      <c r="B2" s="759"/>
      <c r="C2" s="759"/>
      <c r="D2" s="707"/>
      <c r="E2" s="707"/>
      <c r="F2" s="760"/>
      <c r="G2" s="761"/>
      <c r="H2" s="761"/>
      <c r="I2" s="761"/>
      <c r="J2" s="761"/>
      <c r="K2" s="762"/>
      <c r="L2" s="551"/>
    </row>
    <row r="3" spans="1:27" hidden="1" x14ac:dyDescent="0.45">
      <c r="A3" s="763" t="s">
        <v>6</v>
      </c>
      <c r="B3" s="707"/>
      <c r="C3" s="707"/>
      <c r="D3" s="707"/>
      <c r="E3" s="707"/>
      <c r="F3" s="760"/>
      <c r="G3" s="764"/>
      <c r="H3" s="764"/>
      <c r="I3" s="764"/>
      <c r="J3" s="764"/>
      <c r="K3" s="765"/>
      <c r="L3" s="553"/>
    </row>
    <row r="4" spans="1:27" hidden="1" x14ac:dyDescent="0.45">
      <c r="A4" s="766"/>
      <c r="B4" s="767" t="s">
        <v>7</v>
      </c>
      <c r="C4" s="768"/>
      <c r="D4" s="769"/>
      <c r="E4" s="707"/>
      <c r="F4" s="760"/>
      <c r="G4" s="764"/>
      <c r="H4" s="764"/>
      <c r="I4" s="764"/>
      <c r="J4" s="764"/>
      <c r="K4" s="765"/>
      <c r="L4" s="553"/>
    </row>
    <row r="5" spans="1:27" hidden="1" x14ac:dyDescent="0.45">
      <c r="A5" s="766"/>
      <c r="B5" s="767" t="s">
        <v>8</v>
      </c>
      <c r="C5" s="768"/>
      <c r="D5" s="769"/>
      <c r="E5" s="707"/>
      <c r="F5" s="760"/>
      <c r="G5" s="770"/>
      <c r="H5" s="770"/>
      <c r="I5" s="770"/>
      <c r="J5" s="770"/>
      <c r="K5" s="771"/>
      <c r="L5" s="554"/>
    </row>
    <row r="6" spans="1:27" hidden="1" x14ac:dyDescent="0.45">
      <c r="A6" s="766"/>
      <c r="B6" s="767" t="s">
        <v>9</v>
      </c>
      <c r="C6" s="768"/>
      <c r="D6" s="769"/>
      <c r="E6" s="707"/>
      <c r="F6" s="760"/>
      <c r="G6" s="772">
        <f t="shared" ref="G6:S6" ca="1" si="0">G309</f>
        <v>596774.65500491671</v>
      </c>
      <c r="H6" s="772">
        <f t="shared" ca="1" si="0"/>
        <v>559751.44489366515</v>
      </c>
      <c r="I6" s="772">
        <f t="shared" ca="1" si="0"/>
        <v>3329013.1213671113</v>
      </c>
      <c r="J6" s="772">
        <f t="shared" ca="1" si="0"/>
        <v>5545410.5291152643</v>
      </c>
      <c r="K6" s="773">
        <f t="shared" ca="1" si="0"/>
        <v>7888984.1662379857</v>
      </c>
      <c r="L6" s="555">
        <f t="shared" ca="1" si="0"/>
        <v>10371977.065185256</v>
      </c>
      <c r="M6" s="555">
        <f t="shared" ca="1" si="0"/>
        <v>13001151.913905784</v>
      </c>
      <c r="N6" s="555">
        <f t="shared" ca="1" si="0"/>
        <v>15783522.047974804</v>
      </c>
      <c r="O6" s="555">
        <f t="shared" ca="1" si="0"/>
        <v>18726413.875480209</v>
      </c>
      <c r="P6" s="555">
        <f t="shared" ca="1" si="0"/>
        <v>21837480.913023874</v>
      </c>
      <c r="Q6" s="555">
        <f t="shared" ca="1" si="0"/>
        <v>25124717.982237659</v>
      </c>
      <c r="R6" s="555">
        <f t="shared" ca="1" si="0"/>
        <v>28596476.010630459</v>
      </c>
      <c r="S6" s="555">
        <f t="shared" ca="1" si="0"/>
        <v>32261477.466275111</v>
      </c>
    </row>
    <row r="7" spans="1:27" hidden="1" x14ac:dyDescent="0.45">
      <c r="A7" s="766"/>
      <c r="B7" s="774" t="s">
        <v>10</v>
      </c>
      <c r="C7" s="775"/>
      <c r="D7" s="776"/>
      <c r="E7" s="707"/>
      <c r="F7" s="760"/>
      <c r="G7" s="770"/>
      <c r="H7" s="770"/>
      <c r="I7" s="770"/>
      <c r="J7" s="770"/>
      <c r="K7" s="771"/>
      <c r="L7" s="554"/>
    </row>
    <row r="8" spans="1:27" hidden="1" x14ac:dyDescent="0.45">
      <c r="A8" s="777"/>
      <c r="B8" s="707"/>
      <c r="C8" s="707"/>
      <c r="D8" s="707"/>
      <c r="E8" s="707"/>
      <c r="F8" s="707"/>
      <c r="G8" s="770"/>
      <c r="H8" s="770"/>
      <c r="I8" s="770"/>
      <c r="J8" s="770"/>
      <c r="K8" s="771"/>
      <c r="L8" s="554"/>
    </row>
    <row r="9" spans="1:27" s="640" customFormat="1" x14ac:dyDescent="0.45">
      <c r="A9" s="778"/>
      <c r="B9" s="779"/>
      <c r="C9" s="779"/>
      <c r="D9" s="779"/>
      <c r="E9" s="780"/>
      <c r="F9" s="779"/>
      <c r="G9" s="781">
        <v>1</v>
      </c>
      <c r="H9" s="781">
        <v>2</v>
      </c>
      <c r="I9" s="781">
        <v>3</v>
      </c>
      <c r="J9" s="781">
        <v>4</v>
      </c>
      <c r="K9" s="782">
        <v>5</v>
      </c>
      <c r="L9" s="641">
        <v>6</v>
      </c>
      <c r="M9" s="641">
        <v>7</v>
      </c>
      <c r="N9" s="641">
        <v>8</v>
      </c>
      <c r="O9" s="641">
        <v>9</v>
      </c>
      <c r="P9" s="641">
        <v>10</v>
      </c>
      <c r="Q9" s="641">
        <v>11</v>
      </c>
      <c r="R9" s="641">
        <v>12</v>
      </c>
      <c r="S9" s="641">
        <v>13</v>
      </c>
      <c r="T9" s="641">
        <v>14</v>
      </c>
      <c r="U9" s="641">
        <v>15</v>
      </c>
      <c r="V9" s="641">
        <v>16</v>
      </c>
      <c r="W9" s="641">
        <v>17</v>
      </c>
      <c r="X9" s="641">
        <v>18</v>
      </c>
      <c r="Y9" s="641">
        <v>19</v>
      </c>
      <c r="Z9" s="641">
        <v>20</v>
      </c>
      <c r="AA9" s="641">
        <v>21</v>
      </c>
    </row>
    <row r="10" spans="1:27" s="642" customFormat="1" x14ac:dyDescent="0.45">
      <c r="A10" s="693"/>
      <c r="C10" s="643"/>
      <c r="D10" s="643"/>
      <c r="E10" s="644" t="s">
        <v>0</v>
      </c>
      <c r="F10" s="645"/>
      <c r="G10" s="646">
        <v>2021</v>
      </c>
      <c r="H10" s="646">
        <v>2022</v>
      </c>
      <c r="I10" s="646">
        <v>2023</v>
      </c>
      <c r="J10" s="646">
        <v>2024</v>
      </c>
      <c r="K10" s="694">
        <v>2025</v>
      </c>
      <c r="L10" s="646">
        <v>2026</v>
      </c>
      <c r="M10" s="646">
        <v>2027</v>
      </c>
      <c r="N10" s="646">
        <v>2028</v>
      </c>
      <c r="O10" s="646">
        <v>2029</v>
      </c>
      <c r="P10" s="646">
        <v>2030</v>
      </c>
      <c r="Q10" s="646">
        <v>2031</v>
      </c>
      <c r="R10" s="646">
        <v>2032</v>
      </c>
      <c r="S10" s="646">
        <v>2033</v>
      </c>
      <c r="T10" s="646">
        <v>2034</v>
      </c>
      <c r="U10" s="646">
        <v>2035</v>
      </c>
      <c r="V10" s="646">
        <v>2036</v>
      </c>
      <c r="W10" s="646">
        <v>2037</v>
      </c>
      <c r="X10" s="646">
        <v>2038</v>
      </c>
      <c r="Y10" s="646">
        <v>2039</v>
      </c>
      <c r="Z10" s="646">
        <v>2040</v>
      </c>
      <c r="AA10" s="646">
        <v>2041</v>
      </c>
    </row>
    <row r="11" spans="1:27" hidden="1" x14ac:dyDescent="0.45">
      <c r="A11" s="777"/>
      <c r="B11" s="707"/>
      <c r="C11" s="705" t="s">
        <v>57</v>
      </c>
      <c r="D11" s="707"/>
      <c r="E11" s="783"/>
      <c r="F11" s="707"/>
      <c r="G11" s="707"/>
      <c r="H11" s="707"/>
      <c r="I11" s="707"/>
      <c r="J11" s="707"/>
      <c r="K11" s="784"/>
    </row>
    <row r="12" spans="1:27" hidden="1" x14ac:dyDescent="0.45">
      <c r="A12" s="777"/>
      <c r="B12" s="705" t="s">
        <v>167</v>
      </c>
      <c r="C12" s="707"/>
      <c r="D12" s="783"/>
      <c r="E12" s="707"/>
      <c r="F12" s="707"/>
      <c r="G12" s="707"/>
      <c r="H12" s="707"/>
      <c r="I12" s="707"/>
      <c r="J12" s="707"/>
      <c r="K12" s="784"/>
    </row>
    <row r="13" spans="1:27" hidden="1" x14ac:dyDescent="0.45">
      <c r="A13" s="777"/>
      <c r="B13" s="705"/>
      <c r="C13" s="707"/>
      <c r="D13" s="707" t="s">
        <v>529</v>
      </c>
      <c r="E13" s="783" t="s">
        <v>21</v>
      </c>
      <c r="F13" s="707"/>
      <c r="G13" s="785">
        <v>0.08</v>
      </c>
      <c r="H13" s="785">
        <v>0.08</v>
      </c>
      <c r="I13" s="785">
        <v>0.08</v>
      </c>
      <c r="J13" s="785">
        <v>0.08</v>
      </c>
      <c r="K13" s="786">
        <v>0.08</v>
      </c>
      <c r="L13" s="560">
        <v>0.08</v>
      </c>
      <c r="M13" s="560">
        <v>0.08</v>
      </c>
      <c r="N13" s="560">
        <v>0.08</v>
      </c>
      <c r="O13" s="560">
        <v>0.08</v>
      </c>
      <c r="P13" s="560">
        <v>0.08</v>
      </c>
      <c r="Q13" s="560">
        <v>0.08</v>
      </c>
      <c r="R13" s="560">
        <v>0.08</v>
      </c>
      <c r="S13" s="560">
        <v>0.08</v>
      </c>
      <c r="T13" s="560">
        <v>0.08</v>
      </c>
      <c r="U13" s="560">
        <v>0.08</v>
      </c>
      <c r="V13" s="560">
        <v>0.08</v>
      </c>
      <c r="W13" s="560">
        <v>0.08</v>
      </c>
      <c r="X13" s="560">
        <v>0.08</v>
      </c>
      <c r="Y13" s="560">
        <v>0.08</v>
      </c>
      <c r="Z13" s="560">
        <v>0.08</v>
      </c>
      <c r="AA13" s="560">
        <v>0.08</v>
      </c>
    </row>
    <row r="14" spans="1:27" hidden="1" x14ac:dyDescent="0.45">
      <c r="A14" s="777"/>
      <c r="B14" s="705"/>
      <c r="C14" s="707"/>
      <c r="D14" s="707" t="s">
        <v>530</v>
      </c>
      <c r="E14" s="783" t="s">
        <v>21</v>
      </c>
      <c r="F14" s="707"/>
      <c r="G14" s="785">
        <v>0.08</v>
      </c>
      <c r="H14" s="785">
        <v>0.08</v>
      </c>
      <c r="I14" s="785">
        <v>0.08</v>
      </c>
      <c r="J14" s="785">
        <v>0.08</v>
      </c>
      <c r="K14" s="786">
        <v>0.08</v>
      </c>
      <c r="L14" s="560">
        <v>0.08</v>
      </c>
      <c r="M14" s="560">
        <v>0.08</v>
      </c>
      <c r="N14" s="560">
        <v>0.08</v>
      </c>
      <c r="O14" s="560">
        <v>0.08</v>
      </c>
      <c r="P14" s="560">
        <v>0.08</v>
      </c>
      <c r="Q14" s="560">
        <v>0.08</v>
      </c>
      <c r="R14" s="560">
        <v>0.08</v>
      </c>
      <c r="S14" s="560">
        <v>0.08</v>
      </c>
      <c r="T14" s="560">
        <v>0.08</v>
      </c>
      <c r="U14" s="560">
        <v>0.08</v>
      </c>
      <c r="V14" s="560">
        <v>0.08</v>
      </c>
      <c r="W14" s="560">
        <v>0.08</v>
      </c>
      <c r="X14" s="560">
        <v>0.08</v>
      </c>
      <c r="Y14" s="560">
        <v>0.08</v>
      </c>
      <c r="Z14" s="560">
        <v>0.08</v>
      </c>
      <c r="AA14" s="560">
        <v>0.08</v>
      </c>
    </row>
    <row r="15" spans="1:27" hidden="1" x14ac:dyDescent="0.45">
      <c r="A15" s="777"/>
      <c r="B15" s="705"/>
      <c r="C15" s="707"/>
      <c r="D15" s="707" t="s">
        <v>531</v>
      </c>
      <c r="E15" s="783" t="s">
        <v>21</v>
      </c>
      <c r="F15" s="707"/>
      <c r="G15" s="785">
        <v>0.05</v>
      </c>
      <c r="H15" s="785">
        <v>0.05</v>
      </c>
      <c r="I15" s="785">
        <v>0.05</v>
      </c>
      <c r="J15" s="785">
        <v>0.05</v>
      </c>
      <c r="K15" s="786">
        <v>0.05</v>
      </c>
      <c r="L15" s="560">
        <v>0.05</v>
      </c>
      <c r="M15" s="560">
        <v>0.05</v>
      </c>
      <c r="N15" s="560">
        <v>0.05</v>
      </c>
      <c r="O15" s="560">
        <v>0.05</v>
      </c>
      <c r="P15" s="560">
        <v>0.05</v>
      </c>
      <c r="Q15" s="560">
        <v>0.05</v>
      </c>
      <c r="R15" s="560">
        <v>0.05</v>
      </c>
      <c r="S15" s="560">
        <v>0.05</v>
      </c>
      <c r="T15" s="560">
        <v>0.05</v>
      </c>
      <c r="U15" s="560">
        <v>0.05</v>
      </c>
      <c r="V15" s="560">
        <v>0.05</v>
      </c>
      <c r="W15" s="560">
        <v>0.05</v>
      </c>
      <c r="X15" s="560">
        <v>0.05</v>
      </c>
      <c r="Y15" s="560">
        <v>0.05</v>
      </c>
      <c r="Z15" s="560">
        <v>0.05</v>
      </c>
      <c r="AA15" s="560">
        <v>0.05</v>
      </c>
    </row>
    <row r="16" spans="1:27" hidden="1" x14ac:dyDescent="0.45">
      <c r="A16" s="777"/>
      <c r="B16" s="705"/>
      <c r="C16" s="707"/>
      <c r="D16" s="707" t="s">
        <v>166</v>
      </c>
      <c r="E16" s="783" t="s">
        <v>21</v>
      </c>
      <c r="F16" s="707"/>
      <c r="G16" s="785">
        <v>0.12</v>
      </c>
      <c r="H16" s="785">
        <v>0.12</v>
      </c>
      <c r="I16" s="785">
        <v>0.12</v>
      </c>
      <c r="J16" s="785">
        <v>0.12</v>
      </c>
      <c r="K16" s="786">
        <v>0.12</v>
      </c>
      <c r="L16" s="560">
        <v>0.12</v>
      </c>
      <c r="M16" s="560">
        <v>0.12</v>
      </c>
      <c r="N16" s="560">
        <v>0.12</v>
      </c>
      <c r="O16" s="560">
        <v>0.12</v>
      </c>
      <c r="P16" s="560">
        <v>0.12</v>
      </c>
      <c r="Q16" s="560">
        <v>0.12</v>
      </c>
      <c r="R16" s="560">
        <v>0.12</v>
      </c>
      <c r="S16" s="560">
        <v>0.12</v>
      </c>
      <c r="T16" s="560">
        <v>0.12</v>
      </c>
      <c r="U16" s="560">
        <v>0.12</v>
      </c>
      <c r="V16" s="560">
        <v>0.12</v>
      </c>
      <c r="W16" s="560">
        <v>0.12</v>
      </c>
      <c r="X16" s="560">
        <v>0.12</v>
      </c>
      <c r="Y16" s="560">
        <v>0.12</v>
      </c>
      <c r="Z16" s="560">
        <v>0.12</v>
      </c>
      <c r="AA16" s="560">
        <v>0.12</v>
      </c>
    </row>
    <row r="17" spans="1:27" hidden="1" x14ac:dyDescent="0.45">
      <c r="A17" s="787"/>
      <c r="B17" s="707"/>
      <c r="C17" s="707"/>
      <c r="D17" s="707"/>
      <c r="E17" s="783"/>
      <c r="F17" s="707"/>
      <c r="G17" s="788"/>
      <c r="H17" s="707"/>
      <c r="I17" s="707"/>
      <c r="J17" s="707"/>
      <c r="K17" s="784"/>
    </row>
    <row r="18" spans="1:27" hidden="1" x14ac:dyDescent="0.45">
      <c r="A18" s="777"/>
      <c r="B18" s="705" t="s">
        <v>507</v>
      </c>
      <c r="C18" s="705"/>
      <c r="D18" s="707"/>
      <c r="E18" s="783"/>
      <c r="F18" s="789"/>
      <c r="G18" s="707"/>
      <c r="H18" s="707"/>
      <c r="I18" s="707"/>
      <c r="J18" s="707"/>
      <c r="K18" s="784"/>
    </row>
    <row r="19" spans="1:27" hidden="1" x14ac:dyDescent="0.45">
      <c r="A19" s="777"/>
      <c r="B19" s="705"/>
      <c r="C19" s="707" t="s">
        <v>114</v>
      </c>
      <c r="D19" s="707" t="str">
        <f>Assumptions!D60</f>
        <v>Landscaping</v>
      </c>
      <c r="E19" s="783" t="s">
        <v>812</v>
      </c>
      <c r="F19" s="789"/>
      <c r="G19" s="790">
        <f>Assumptions!I84</f>
        <v>120200.33388981636</v>
      </c>
      <c r="H19" s="790">
        <f>G19*(1+Assumptions!$H$184)</f>
        <v>122604.3405676127</v>
      </c>
      <c r="I19" s="790">
        <f>H19*(1+Assumptions!$H$184)</f>
        <v>125056.42737896496</v>
      </c>
      <c r="J19" s="790">
        <f>I19*(1+Assumptions!$H$184)</f>
        <v>127557.55592654426</v>
      </c>
      <c r="K19" s="791">
        <f>J19*(1+Assumptions!$H$184)</f>
        <v>130108.70704507515</v>
      </c>
      <c r="L19" s="562">
        <f>K19*(1+Assumptions!$H$184)</f>
        <v>132710.88118597664</v>
      </c>
      <c r="M19" s="562">
        <f>L19*(1+Assumptions!$H$184)</f>
        <v>135365.09880969618</v>
      </c>
      <c r="N19" s="562">
        <f>M19*(1+Assumptions!$H$184)</f>
        <v>138072.40078589012</v>
      </c>
      <c r="O19" s="562">
        <f>N19*(1+Assumptions!$H$184)</f>
        <v>140833.84880160794</v>
      </c>
      <c r="P19" s="562">
        <f>O19*(1+Assumptions!$H$184)</f>
        <v>143650.52577764008</v>
      </c>
      <c r="Q19" s="562">
        <f>P19*(1+Assumptions!$H$184)</f>
        <v>146523.53629319288</v>
      </c>
      <c r="R19" s="562">
        <f>Q19*(1+Assumptions!$H$184)</f>
        <v>149454.00701905673</v>
      </c>
      <c r="S19" s="562">
        <f>R19*(1+Assumptions!$H$184)</f>
        <v>152443.08715943788</v>
      </c>
      <c r="T19" s="562">
        <f>S19*(1+Assumptions!$H$184)</f>
        <v>155491.94890262664</v>
      </c>
      <c r="U19" s="562">
        <f>T19*(1+Assumptions!$H$184)</f>
        <v>158601.78788067919</v>
      </c>
      <c r="V19" s="562">
        <f>U19*(1+Assumptions!$H$184)</f>
        <v>161773.82363829276</v>
      </c>
      <c r="W19" s="562">
        <f>V19*(1+Assumptions!$H$184)</f>
        <v>165009.3001110586</v>
      </c>
      <c r="X19" s="562">
        <f>W19*(1+Assumptions!$H$184)</f>
        <v>168309.48611327977</v>
      </c>
      <c r="Y19" s="562">
        <f>X19*(1+Assumptions!$H$184)</f>
        <v>171675.67583554538</v>
      </c>
      <c r="Z19" s="562">
        <f>Y19*(1+Assumptions!$H$184)</f>
        <v>175109.18935225628</v>
      </c>
      <c r="AA19" s="562">
        <f>Z19*(1+Assumptions!$H$184)</f>
        <v>178611.3731393014</v>
      </c>
    </row>
    <row r="20" spans="1:27" hidden="1" x14ac:dyDescent="0.45">
      <c r="A20" s="777"/>
      <c r="B20" s="705"/>
      <c r="C20" s="707" t="s">
        <v>114</v>
      </c>
      <c r="D20" s="707" t="str">
        <f>Assumptions!D61</f>
        <v>Building</v>
      </c>
      <c r="E20" s="783" t="s">
        <v>812</v>
      </c>
      <c r="F20" s="707"/>
      <c r="G20" s="790">
        <f>Assumptions!I85</f>
        <v>34056.761268781302</v>
      </c>
      <c r="H20" s="790">
        <f>G20*(1+Assumptions!$H$184)</f>
        <v>34737.896494156928</v>
      </c>
      <c r="I20" s="790">
        <f>H20*(1+Assumptions!$H$184)</f>
        <v>35432.654424040069</v>
      </c>
      <c r="J20" s="790">
        <f>I20*(1+Assumptions!$H$184)</f>
        <v>36141.307512520871</v>
      </c>
      <c r="K20" s="791">
        <f>J20*(1+Assumptions!$H$184)</f>
        <v>36864.133662771288</v>
      </c>
      <c r="L20" s="562">
        <f>K20*(1+Assumptions!$H$184)</f>
        <v>37601.416336026712</v>
      </c>
      <c r="M20" s="562">
        <f>L20*(1+Assumptions!$H$184)</f>
        <v>38353.44466274725</v>
      </c>
      <c r="N20" s="562">
        <f>M20*(1+Assumptions!$H$184)</f>
        <v>39120.513556002195</v>
      </c>
      <c r="O20" s="562">
        <f>N20*(1+Assumptions!$H$184)</f>
        <v>39902.923827122242</v>
      </c>
      <c r="P20" s="562">
        <f>O20*(1+Assumptions!$H$184)</f>
        <v>40700.982303664685</v>
      </c>
      <c r="Q20" s="562">
        <f>P20*(1+Assumptions!$H$184)</f>
        <v>41515.001949737976</v>
      </c>
      <c r="R20" s="562">
        <f>Q20*(1+Assumptions!$H$184)</f>
        <v>42345.301988732739</v>
      </c>
      <c r="S20" s="562">
        <f>R20*(1+Assumptions!$H$184)</f>
        <v>43192.208028507397</v>
      </c>
      <c r="T20" s="562">
        <f>S20*(1+Assumptions!$H$184)</f>
        <v>44056.052189077549</v>
      </c>
      <c r="U20" s="562">
        <f>T20*(1+Assumptions!$H$184)</f>
        <v>44937.173232859102</v>
      </c>
      <c r="V20" s="562">
        <f>U20*(1+Assumptions!$H$184)</f>
        <v>45835.916697516288</v>
      </c>
      <c r="W20" s="562">
        <f>V20*(1+Assumptions!$H$184)</f>
        <v>46752.635031466612</v>
      </c>
      <c r="X20" s="562">
        <f>W20*(1+Assumptions!$H$184)</f>
        <v>47687.687732095947</v>
      </c>
      <c r="Y20" s="562">
        <f>X20*(1+Assumptions!$H$184)</f>
        <v>48641.441486737865</v>
      </c>
      <c r="Z20" s="562">
        <f>Y20*(1+Assumptions!$H$184)</f>
        <v>49614.270316472626</v>
      </c>
      <c r="AA20" s="562">
        <f>Z20*(1+Assumptions!$H$184)</f>
        <v>50606.555722802077</v>
      </c>
    </row>
    <row r="21" spans="1:27" hidden="1" x14ac:dyDescent="0.45">
      <c r="A21" s="777"/>
      <c r="B21" s="705"/>
      <c r="C21" s="707" t="s">
        <v>114</v>
      </c>
      <c r="D21" s="707" t="str">
        <f>Assumptions!D62</f>
        <v>Storage</v>
      </c>
      <c r="E21" s="783" t="s">
        <v>812</v>
      </c>
      <c r="F21" s="789"/>
      <c r="G21" s="790">
        <f>Assumptions!I86</f>
        <v>14023.372287145243</v>
      </c>
      <c r="H21" s="790">
        <f>G21*(1+Assumptions!$H$184)</f>
        <v>14303.839732888147</v>
      </c>
      <c r="I21" s="790">
        <f>H21*(1+Assumptions!$H$184)</f>
        <v>14589.916527545911</v>
      </c>
      <c r="J21" s="790">
        <f>I21*(1+Assumptions!$H$184)</f>
        <v>14881.71485809683</v>
      </c>
      <c r="K21" s="791">
        <f>J21*(1+Assumptions!$H$184)</f>
        <v>15179.349155258766</v>
      </c>
      <c r="L21" s="562">
        <f>K21*(1+Assumptions!$H$184)</f>
        <v>15482.936138363941</v>
      </c>
      <c r="M21" s="562">
        <f>L21*(1+Assumptions!$H$184)</f>
        <v>15792.59486113122</v>
      </c>
      <c r="N21" s="562">
        <f>M21*(1+Assumptions!$H$184)</f>
        <v>16108.446758353844</v>
      </c>
      <c r="O21" s="562">
        <f>N21*(1+Assumptions!$H$184)</f>
        <v>16430.615693520922</v>
      </c>
      <c r="P21" s="562">
        <f>O21*(1+Assumptions!$H$184)</f>
        <v>16759.228007391339</v>
      </c>
      <c r="Q21" s="562">
        <f>P21*(1+Assumptions!$H$184)</f>
        <v>17094.412567539166</v>
      </c>
      <c r="R21" s="562">
        <f>Q21*(1+Assumptions!$H$184)</f>
        <v>17436.300818889951</v>
      </c>
      <c r="S21" s="562">
        <f>R21*(1+Assumptions!$H$184)</f>
        <v>17785.026835267752</v>
      </c>
      <c r="T21" s="562">
        <f>S21*(1+Assumptions!$H$184)</f>
        <v>18140.727371973109</v>
      </c>
      <c r="U21" s="562">
        <f>T21*(1+Assumptions!$H$184)</f>
        <v>18503.541919412572</v>
      </c>
      <c r="V21" s="562">
        <f>U21*(1+Assumptions!$H$184)</f>
        <v>18873.612757800824</v>
      </c>
      <c r="W21" s="562">
        <f>V21*(1+Assumptions!$H$184)</f>
        <v>19251.085012956839</v>
      </c>
      <c r="X21" s="562">
        <f>W21*(1+Assumptions!$H$184)</f>
        <v>19636.106713215977</v>
      </c>
      <c r="Y21" s="562">
        <f>X21*(1+Assumptions!$H$184)</f>
        <v>20028.828847480298</v>
      </c>
      <c r="Z21" s="562">
        <f>Y21*(1+Assumptions!$H$184)</f>
        <v>20429.405424429904</v>
      </c>
      <c r="AA21" s="562">
        <f>Z21*(1+Assumptions!$H$184)</f>
        <v>20837.993532918503</v>
      </c>
    </row>
    <row r="22" spans="1:27" hidden="1" x14ac:dyDescent="0.45">
      <c r="A22" s="777"/>
      <c r="B22" s="705"/>
      <c r="C22" s="707" t="s">
        <v>114</v>
      </c>
      <c r="D22" s="707" t="str">
        <f>Assumptions!D63</f>
        <v>Water system</v>
      </c>
      <c r="E22" s="783" t="s">
        <v>812</v>
      </c>
      <c r="F22" s="789"/>
      <c r="G22" s="790">
        <f>Assumptions!I87</f>
        <v>14023.372287145243</v>
      </c>
      <c r="H22" s="790">
        <f>G22*(1+Assumptions!$H$184)</f>
        <v>14303.839732888147</v>
      </c>
      <c r="I22" s="790">
        <f>H22*(1+Assumptions!$H$184)</f>
        <v>14589.916527545911</v>
      </c>
      <c r="J22" s="790">
        <f>I22*(1+Assumptions!$H$184)</f>
        <v>14881.71485809683</v>
      </c>
      <c r="K22" s="791">
        <f>J22*(1+Assumptions!$H$184)</f>
        <v>15179.349155258766</v>
      </c>
      <c r="L22" s="562">
        <f>K22*(1+Assumptions!$H$184)</f>
        <v>15482.936138363941</v>
      </c>
      <c r="M22" s="562">
        <f>L22*(1+Assumptions!$H$184)</f>
        <v>15792.59486113122</v>
      </c>
      <c r="N22" s="562">
        <f>M22*(1+Assumptions!$H$184)</f>
        <v>16108.446758353844</v>
      </c>
      <c r="O22" s="562">
        <f>N22*(1+Assumptions!$H$184)</f>
        <v>16430.615693520922</v>
      </c>
      <c r="P22" s="562">
        <f>O22*(1+Assumptions!$H$184)</f>
        <v>16759.228007391339</v>
      </c>
      <c r="Q22" s="562">
        <f>P22*(1+Assumptions!$H$184)</f>
        <v>17094.412567539166</v>
      </c>
      <c r="R22" s="562">
        <f>Q22*(1+Assumptions!$H$184)</f>
        <v>17436.300818889951</v>
      </c>
      <c r="S22" s="562">
        <f>R22*(1+Assumptions!$H$184)</f>
        <v>17785.026835267752</v>
      </c>
      <c r="T22" s="562">
        <f>S22*(1+Assumptions!$H$184)</f>
        <v>18140.727371973109</v>
      </c>
      <c r="U22" s="562">
        <f>T22*(1+Assumptions!$H$184)</f>
        <v>18503.541919412572</v>
      </c>
      <c r="V22" s="562">
        <f>U22*(1+Assumptions!$H$184)</f>
        <v>18873.612757800824</v>
      </c>
      <c r="W22" s="562">
        <f>V22*(1+Assumptions!$H$184)</f>
        <v>19251.085012956839</v>
      </c>
      <c r="X22" s="562">
        <f>W22*(1+Assumptions!$H$184)</f>
        <v>19636.106713215977</v>
      </c>
      <c r="Y22" s="562">
        <f>X22*(1+Assumptions!$H$184)</f>
        <v>20028.828847480298</v>
      </c>
      <c r="Z22" s="562">
        <f>Y22*(1+Assumptions!$H$184)</f>
        <v>20429.405424429904</v>
      </c>
      <c r="AA22" s="562">
        <f>Z22*(1+Assumptions!$H$184)</f>
        <v>20837.993532918503</v>
      </c>
    </row>
    <row r="23" spans="1:27" hidden="1" x14ac:dyDescent="0.45">
      <c r="A23" s="777"/>
      <c r="B23" s="705"/>
      <c r="C23" s="707" t="s">
        <v>114</v>
      </c>
      <c r="D23" s="707" t="str">
        <f>Assumptions!D64</f>
        <v>Electricity</v>
      </c>
      <c r="E23" s="783" t="s">
        <v>812</v>
      </c>
      <c r="F23" s="789"/>
      <c r="G23" s="790">
        <f>Assumptions!I88</f>
        <v>6010.0166944908178</v>
      </c>
      <c r="H23" s="790">
        <f>G23*(1+Assumptions!$H$184)</f>
        <v>6130.2170283806345</v>
      </c>
      <c r="I23" s="790">
        <f>H23*(1+Assumptions!$H$184)</f>
        <v>6252.8213689482473</v>
      </c>
      <c r="J23" s="790">
        <f>I23*(1+Assumptions!$H$184)</f>
        <v>6377.8777963272123</v>
      </c>
      <c r="K23" s="791">
        <f>J23*(1+Assumptions!$H$184)</f>
        <v>6505.4353522537567</v>
      </c>
      <c r="L23" s="562">
        <f>K23*(1+Assumptions!$H$184)</f>
        <v>6635.5440592988316</v>
      </c>
      <c r="M23" s="562">
        <f>L23*(1+Assumptions!$H$184)</f>
        <v>6768.2549404848087</v>
      </c>
      <c r="N23" s="562">
        <f>M23*(1+Assumptions!$H$184)</f>
        <v>6903.6200392945047</v>
      </c>
      <c r="O23" s="562">
        <f>N23*(1+Assumptions!$H$184)</f>
        <v>7041.6924400803946</v>
      </c>
      <c r="P23" s="562">
        <f>O23*(1+Assumptions!$H$184)</f>
        <v>7182.5262888820025</v>
      </c>
      <c r="Q23" s="562">
        <f>P23*(1+Assumptions!$H$184)</f>
        <v>7326.1768146596423</v>
      </c>
      <c r="R23" s="562">
        <f>Q23*(1+Assumptions!$H$184)</f>
        <v>7472.7003509528349</v>
      </c>
      <c r="S23" s="562">
        <f>R23*(1+Assumptions!$H$184)</f>
        <v>7622.1543579718918</v>
      </c>
      <c r="T23" s="562">
        <f>S23*(1+Assumptions!$H$184)</f>
        <v>7774.5974451313296</v>
      </c>
      <c r="U23" s="562">
        <f>T23*(1+Assumptions!$H$184)</f>
        <v>7930.0893940339565</v>
      </c>
      <c r="V23" s="562">
        <f>U23*(1+Assumptions!$H$184)</f>
        <v>8088.6911819146362</v>
      </c>
      <c r="W23" s="562">
        <f>V23*(1+Assumptions!$H$184)</f>
        <v>8250.4650055529291</v>
      </c>
      <c r="X23" s="562">
        <f>W23*(1+Assumptions!$H$184)</f>
        <v>8415.4743056639873</v>
      </c>
      <c r="Y23" s="562">
        <f>X23*(1+Assumptions!$H$184)</f>
        <v>8583.7837917772667</v>
      </c>
      <c r="Z23" s="562">
        <f>Y23*(1+Assumptions!$H$184)</f>
        <v>8755.4594676128127</v>
      </c>
      <c r="AA23" s="562">
        <f>Z23*(1+Assumptions!$H$184)</f>
        <v>8930.5686569650697</v>
      </c>
    </row>
    <row r="24" spans="1:27" hidden="1" x14ac:dyDescent="0.45">
      <c r="A24" s="777"/>
      <c r="B24" s="705"/>
      <c r="C24" s="707" t="s">
        <v>114</v>
      </c>
      <c r="D24" s="707" t="str">
        <f>Assumptions!D65</f>
        <v>Waste management including biogas</v>
      </c>
      <c r="E24" s="783" t="s">
        <v>812</v>
      </c>
      <c r="F24" s="789"/>
      <c r="G24" s="790">
        <f>Assumptions!I89</f>
        <v>12020.033388981636</v>
      </c>
      <c r="H24" s="790">
        <f>G24*(1+Assumptions!$H$184)</f>
        <v>12260.434056761269</v>
      </c>
      <c r="I24" s="790">
        <f>H24*(1+Assumptions!$H$184)</f>
        <v>12505.642737896495</v>
      </c>
      <c r="J24" s="790">
        <f>I24*(1+Assumptions!$H$184)</f>
        <v>12755.755592654425</v>
      </c>
      <c r="K24" s="791">
        <f>J24*(1+Assumptions!$H$184)</f>
        <v>13010.870704507513</v>
      </c>
      <c r="L24" s="562">
        <f>K24*(1+Assumptions!$H$184)</f>
        <v>13271.088118597663</v>
      </c>
      <c r="M24" s="562">
        <f>L24*(1+Assumptions!$H$184)</f>
        <v>13536.509880969617</v>
      </c>
      <c r="N24" s="562">
        <f>M24*(1+Assumptions!$H$184)</f>
        <v>13807.240078589009</v>
      </c>
      <c r="O24" s="562">
        <f>N24*(1+Assumptions!$H$184)</f>
        <v>14083.384880160789</v>
      </c>
      <c r="P24" s="562">
        <f>O24*(1+Assumptions!$H$184)</f>
        <v>14365.052577764005</v>
      </c>
      <c r="Q24" s="562">
        <f>P24*(1+Assumptions!$H$184)</f>
        <v>14652.353629319285</v>
      </c>
      <c r="R24" s="562">
        <f>Q24*(1+Assumptions!$H$184)</f>
        <v>14945.40070190567</v>
      </c>
      <c r="S24" s="562">
        <f>R24*(1+Assumptions!$H$184)</f>
        <v>15244.308715943784</v>
      </c>
      <c r="T24" s="562">
        <f>S24*(1+Assumptions!$H$184)</f>
        <v>15549.194890262659</v>
      </c>
      <c r="U24" s="562">
        <f>T24*(1+Assumptions!$H$184)</f>
        <v>15860.178788067913</v>
      </c>
      <c r="V24" s="562">
        <f>U24*(1+Assumptions!$H$184)</f>
        <v>16177.382363829272</v>
      </c>
      <c r="W24" s="562">
        <f>V24*(1+Assumptions!$H$184)</f>
        <v>16500.930011105858</v>
      </c>
      <c r="X24" s="562">
        <f>W24*(1+Assumptions!$H$184)</f>
        <v>16830.948611327975</v>
      </c>
      <c r="Y24" s="562">
        <f>X24*(1+Assumptions!$H$184)</f>
        <v>17167.567583554533</v>
      </c>
      <c r="Z24" s="562">
        <f>Y24*(1+Assumptions!$H$184)</f>
        <v>17510.918935225625</v>
      </c>
      <c r="AA24" s="562">
        <f>Z24*(1+Assumptions!$H$184)</f>
        <v>17861.137313930139</v>
      </c>
    </row>
    <row r="25" spans="1:27" hidden="1" x14ac:dyDescent="0.45">
      <c r="A25" s="777"/>
      <c r="B25" s="705"/>
      <c r="C25" s="707" t="s">
        <v>114</v>
      </c>
      <c r="D25" s="707" t="str">
        <f>Assumptions!D66</f>
        <v>Fruit bubble washing machine Contact www.pasenmachinery.com</v>
      </c>
      <c r="E25" s="783" t="s">
        <v>812</v>
      </c>
      <c r="F25" s="789"/>
      <c r="G25" s="790">
        <f>Assumptions!I90</f>
        <v>7712.8547579298829</v>
      </c>
      <c r="H25" s="790">
        <f>G25*(1+Assumptions!$H$184)</f>
        <v>7867.1118530884805</v>
      </c>
      <c r="I25" s="790">
        <f>H25*(1+Assumptions!$H$184)</f>
        <v>8024.4540901502505</v>
      </c>
      <c r="J25" s="790">
        <f>I25*(1+Assumptions!$H$184)</f>
        <v>8184.9431719532558</v>
      </c>
      <c r="K25" s="791">
        <f>J25*(1+Assumptions!$H$184)</f>
        <v>8348.6420353923204</v>
      </c>
      <c r="L25" s="562">
        <f>K25*(1+Assumptions!$H$184)</f>
        <v>8515.6148761001677</v>
      </c>
      <c r="M25" s="562">
        <f>L25*(1+Assumptions!$H$184)</f>
        <v>8685.9271736221708</v>
      </c>
      <c r="N25" s="562">
        <f>M25*(1+Assumptions!$H$184)</f>
        <v>8859.6457170946142</v>
      </c>
      <c r="O25" s="562">
        <f>N25*(1+Assumptions!$H$184)</f>
        <v>9036.8386314365071</v>
      </c>
      <c r="P25" s="562">
        <f>O25*(1+Assumptions!$H$184)</f>
        <v>9217.5754040652373</v>
      </c>
      <c r="Q25" s="562">
        <f>P25*(1+Assumptions!$H$184)</f>
        <v>9401.9269121465422</v>
      </c>
      <c r="R25" s="562">
        <f>Q25*(1+Assumptions!$H$184)</f>
        <v>9589.9654503894726</v>
      </c>
      <c r="S25" s="562">
        <f>R25*(1+Assumptions!$H$184)</f>
        <v>9781.7647593972615</v>
      </c>
      <c r="T25" s="562">
        <f>S25*(1+Assumptions!$H$184)</f>
        <v>9977.4000545852068</v>
      </c>
      <c r="U25" s="562">
        <f>T25*(1+Assumptions!$H$184)</f>
        <v>10176.94805567691</v>
      </c>
      <c r="V25" s="562">
        <f>U25*(1+Assumptions!$H$184)</f>
        <v>10380.487016790448</v>
      </c>
      <c r="W25" s="562">
        <f>V25*(1+Assumptions!$H$184)</f>
        <v>10588.096757126257</v>
      </c>
      <c r="X25" s="562">
        <f>W25*(1+Assumptions!$H$184)</f>
        <v>10799.858692268783</v>
      </c>
      <c r="Y25" s="562">
        <f>X25*(1+Assumptions!$H$184)</f>
        <v>11015.855866114158</v>
      </c>
      <c r="Z25" s="562">
        <f>Y25*(1+Assumptions!$H$184)</f>
        <v>11236.172983436441</v>
      </c>
      <c r="AA25" s="562">
        <f>Z25*(1+Assumptions!$H$184)</f>
        <v>11460.89644310517</v>
      </c>
    </row>
    <row r="26" spans="1:27" hidden="1" x14ac:dyDescent="0.45">
      <c r="A26" s="777"/>
      <c r="B26" s="705"/>
      <c r="C26" s="707" t="s">
        <v>114</v>
      </c>
      <c r="D26" s="707" t="str">
        <f>Assumptions!D67</f>
        <v>Depulping tables</v>
      </c>
      <c r="E26" s="783" t="s">
        <v>812</v>
      </c>
      <c r="F26" s="789"/>
      <c r="G26" s="790">
        <f>Assumptions!I91</f>
        <v>1742.3939899833056</v>
      </c>
      <c r="H26" s="790">
        <f>G26*(1+Assumptions!$H$184)</f>
        <v>1777.2418697829717</v>
      </c>
      <c r="I26" s="790">
        <f>H26*(1+Assumptions!$H$184)</f>
        <v>1812.7867071786311</v>
      </c>
      <c r="J26" s="790">
        <f>I26*(1+Assumptions!$H$184)</f>
        <v>1849.0424413222038</v>
      </c>
      <c r="K26" s="791">
        <f>J26*(1+Assumptions!$H$184)</f>
        <v>1886.0232901486479</v>
      </c>
      <c r="L26" s="562">
        <f>K26*(1+Assumptions!$H$184)</f>
        <v>1923.7437559516209</v>
      </c>
      <c r="M26" s="562">
        <f>L26*(1+Assumptions!$H$184)</f>
        <v>1962.2186310706534</v>
      </c>
      <c r="N26" s="562">
        <f>M26*(1+Assumptions!$H$184)</f>
        <v>2001.4630036920664</v>
      </c>
      <c r="O26" s="562">
        <f>N26*(1+Assumptions!$H$184)</f>
        <v>2041.4922637659079</v>
      </c>
      <c r="P26" s="562">
        <f>O26*(1+Assumptions!$H$184)</f>
        <v>2082.3221090412262</v>
      </c>
      <c r="Q26" s="562">
        <f>P26*(1+Assumptions!$H$184)</f>
        <v>2123.9685512220508</v>
      </c>
      <c r="R26" s="562">
        <f>Q26*(1+Assumptions!$H$184)</f>
        <v>2166.447922246492</v>
      </c>
      <c r="S26" s="562">
        <f>R26*(1+Assumptions!$H$184)</f>
        <v>2209.7768806914219</v>
      </c>
      <c r="T26" s="562">
        <f>S26*(1+Assumptions!$H$184)</f>
        <v>2253.9724183052504</v>
      </c>
      <c r="U26" s="562">
        <f>T26*(1+Assumptions!$H$184)</f>
        <v>2299.0518666713556</v>
      </c>
      <c r="V26" s="562">
        <f>U26*(1+Assumptions!$H$184)</f>
        <v>2345.0329040047827</v>
      </c>
      <c r="W26" s="562">
        <f>V26*(1+Assumptions!$H$184)</f>
        <v>2391.9335620848783</v>
      </c>
      <c r="X26" s="562">
        <f>W26*(1+Assumptions!$H$184)</f>
        <v>2439.772233326576</v>
      </c>
      <c r="Y26" s="562">
        <f>X26*(1+Assumptions!$H$184)</f>
        <v>2488.5676779931077</v>
      </c>
      <c r="Z26" s="562">
        <f>Y26*(1+Assumptions!$H$184)</f>
        <v>2538.33903155297</v>
      </c>
      <c r="AA26" s="562">
        <f>Z26*(1+Assumptions!$H$184)</f>
        <v>2589.1058121840297</v>
      </c>
    </row>
    <row r="27" spans="1:27" hidden="1" x14ac:dyDescent="0.45">
      <c r="A27" s="777"/>
      <c r="B27" s="705"/>
      <c r="C27" s="707" t="s">
        <v>114</v>
      </c>
      <c r="D27" s="707" t="str">
        <f>Assumptions!D68</f>
        <v>Steamer</v>
      </c>
      <c r="E27" s="783" t="s">
        <v>812</v>
      </c>
      <c r="F27" s="789"/>
      <c r="G27" s="790">
        <f>Assumptions!I92</f>
        <v>9015.0250417362276</v>
      </c>
      <c r="H27" s="790">
        <f>G27*(1+Assumptions!$H$184)</f>
        <v>9195.3255425709522</v>
      </c>
      <c r="I27" s="790">
        <f>H27*(1+Assumptions!$H$184)</f>
        <v>9379.2320534223709</v>
      </c>
      <c r="J27" s="790">
        <f>I27*(1+Assumptions!$H$184)</f>
        <v>9566.8166944908189</v>
      </c>
      <c r="K27" s="791">
        <f>J27*(1+Assumptions!$H$184)</f>
        <v>9758.1530283806351</v>
      </c>
      <c r="L27" s="562">
        <f>K27*(1+Assumptions!$H$184)</f>
        <v>9953.3160889482479</v>
      </c>
      <c r="M27" s="562">
        <f>L27*(1+Assumptions!$H$184)</f>
        <v>10152.382410727212</v>
      </c>
      <c r="N27" s="562">
        <f>M27*(1+Assumptions!$H$184)</f>
        <v>10355.430058941756</v>
      </c>
      <c r="O27" s="562">
        <f>N27*(1+Assumptions!$H$184)</f>
        <v>10562.538660120592</v>
      </c>
      <c r="P27" s="562">
        <f>O27*(1+Assumptions!$H$184)</f>
        <v>10773.789433323003</v>
      </c>
      <c r="Q27" s="562">
        <f>P27*(1+Assumptions!$H$184)</f>
        <v>10989.265221989464</v>
      </c>
      <c r="R27" s="562">
        <f>Q27*(1+Assumptions!$H$184)</f>
        <v>11209.050526429253</v>
      </c>
      <c r="S27" s="562">
        <f>R27*(1+Assumptions!$H$184)</f>
        <v>11433.231536957839</v>
      </c>
      <c r="T27" s="562">
        <f>S27*(1+Assumptions!$H$184)</f>
        <v>11661.896167696996</v>
      </c>
      <c r="U27" s="562">
        <f>T27*(1+Assumptions!$H$184)</f>
        <v>11895.134091050935</v>
      </c>
      <c r="V27" s="562">
        <f>U27*(1+Assumptions!$H$184)</f>
        <v>12133.036772871954</v>
      </c>
      <c r="W27" s="562">
        <f>V27*(1+Assumptions!$H$184)</f>
        <v>12375.697508329393</v>
      </c>
      <c r="X27" s="562">
        <f>W27*(1+Assumptions!$H$184)</f>
        <v>12623.211458495982</v>
      </c>
      <c r="Y27" s="562">
        <f>X27*(1+Assumptions!$H$184)</f>
        <v>12875.675687665902</v>
      </c>
      <c r="Z27" s="562">
        <f>Y27*(1+Assumptions!$H$184)</f>
        <v>13133.18920141922</v>
      </c>
      <c r="AA27" s="562">
        <f>Z27*(1+Assumptions!$H$184)</f>
        <v>13395.852985447604</v>
      </c>
    </row>
    <row r="28" spans="1:27" hidden="1" x14ac:dyDescent="0.45">
      <c r="A28" s="777"/>
      <c r="B28" s="705"/>
      <c r="C28" s="707" t="s">
        <v>114</v>
      </c>
      <c r="D28" s="707" t="str">
        <f>Assumptions!D69</f>
        <v>Hangar dryer</v>
      </c>
      <c r="E28" s="783" t="s">
        <v>812</v>
      </c>
      <c r="F28" s="789"/>
      <c r="G28" s="790">
        <f>Assumptions!I93</f>
        <v>11018.363939899833</v>
      </c>
      <c r="H28" s="790">
        <f>G28*(1+Assumptions!$H$184)</f>
        <v>11238.731218697831</v>
      </c>
      <c r="I28" s="790">
        <f>H28*(1+Assumptions!$H$184)</f>
        <v>11463.505843071787</v>
      </c>
      <c r="J28" s="790">
        <f>I28*(1+Assumptions!$H$184)</f>
        <v>11692.775959933224</v>
      </c>
      <c r="K28" s="791">
        <f>J28*(1+Assumptions!$H$184)</f>
        <v>11926.631479131889</v>
      </c>
      <c r="L28" s="562">
        <f>K28*(1+Assumptions!$H$184)</f>
        <v>12165.164108714527</v>
      </c>
      <c r="M28" s="562">
        <f>L28*(1+Assumptions!$H$184)</f>
        <v>12408.467390888818</v>
      </c>
      <c r="N28" s="562">
        <f>M28*(1+Assumptions!$H$184)</f>
        <v>12656.636738706595</v>
      </c>
      <c r="O28" s="562">
        <f>N28*(1+Assumptions!$H$184)</f>
        <v>12909.769473480726</v>
      </c>
      <c r="P28" s="562">
        <f>O28*(1+Assumptions!$H$184)</f>
        <v>13167.964862950341</v>
      </c>
      <c r="Q28" s="562">
        <f>P28*(1+Assumptions!$H$184)</f>
        <v>13431.324160209348</v>
      </c>
      <c r="R28" s="562">
        <f>Q28*(1+Assumptions!$H$184)</f>
        <v>13699.950643413535</v>
      </c>
      <c r="S28" s="562">
        <f>R28*(1+Assumptions!$H$184)</f>
        <v>13973.949656281806</v>
      </c>
      <c r="T28" s="562">
        <f>S28*(1+Assumptions!$H$184)</f>
        <v>14253.428649407442</v>
      </c>
      <c r="U28" s="562">
        <f>T28*(1+Assumptions!$H$184)</f>
        <v>14538.497222395592</v>
      </c>
      <c r="V28" s="562">
        <f>U28*(1+Assumptions!$H$184)</f>
        <v>14829.267166843503</v>
      </c>
      <c r="W28" s="562">
        <f>V28*(1+Assumptions!$H$184)</f>
        <v>15125.852510180373</v>
      </c>
      <c r="X28" s="562">
        <f>W28*(1+Assumptions!$H$184)</f>
        <v>15428.369560383981</v>
      </c>
      <c r="Y28" s="562">
        <f>X28*(1+Assumptions!$H$184)</f>
        <v>15736.936951591661</v>
      </c>
      <c r="Z28" s="562">
        <f>Y28*(1+Assumptions!$H$184)</f>
        <v>16051.675690623493</v>
      </c>
      <c r="AA28" s="562">
        <f>Z28*(1+Assumptions!$H$184)</f>
        <v>16372.709204435963</v>
      </c>
    </row>
    <row r="29" spans="1:27" hidden="1" x14ac:dyDescent="0.45">
      <c r="A29" s="777"/>
      <c r="B29" s="705"/>
      <c r="C29" s="707" t="s">
        <v>114</v>
      </c>
      <c r="D29" s="707" t="str">
        <f>Assumptions!D70</f>
        <v>Shelling machine,  Henan My Only Food Machine Co., Ltd.</v>
      </c>
      <c r="E29" s="783" t="s">
        <v>812</v>
      </c>
      <c r="F29" s="789"/>
      <c r="G29" s="790">
        <f>Assumptions!I94</f>
        <v>8414.0233722871453</v>
      </c>
      <c r="H29" s="790">
        <f>G29*(1+Assumptions!$H$184)</f>
        <v>8582.3038397328892</v>
      </c>
      <c r="I29" s="790">
        <f>H29*(1+Assumptions!$H$184)</f>
        <v>8753.9499165275465</v>
      </c>
      <c r="J29" s="790">
        <f>I29*(1+Assumptions!$H$184)</f>
        <v>8929.0289148580978</v>
      </c>
      <c r="K29" s="791">
        <f>J29*(1+Assumptions!$H$184)</f>
        <v>9107.6094931552598</v>
      </c>
      <c r="L29" s="562">
        <f>K29*(1+Assumptions!$H$184)</f>
        <v>9289.7616830183651</v>
      </c>
      <c r="M29" s="562">
        <f>L29*(1+Assumptions!$H$184)</f>
        <v>9475.5569166787318</v>
      </c>
      <c r="N29" s="562">
        <f>M29*(1+Assumptions!$H$184)</f>
        <v>9665.068055012307</v>
      </c>
      <c r="O29" s="562">
        <f>N29*(1+Assumptions!$H$184)</f>
        <v>9858.3694161125532</v>
      </c>
      <c r="P29" s="562">
        <f>O29*(1+Assumptions!$H$184)</f>
        <v>10055.536804434805</v>
      </c>
      <c r="Q29" s="562">
        <f>P29*(1+Assumptions!$H$184)</f>
        <v>10256.647540523501</v>
      </c>
      <c r="R29" s="562">
        <f>Q29*(1+Assumptions!$H$184)</f>
        <v>10461.780491333971</v>
      </c>
      <c r="S29" s="562">
        <f>R29*(1+Assumptions!$H$184)</f>
        <v>10671.016101160651</v>
      </c>
      <c r="T29" s="562">
        <f>S29*(1+Assumptions!$H$184)</f>
        <v>10884.436423183864</v>
      </c>
      <c r="U29" s="562">
        <f>T29*(1+Assumptions!$H$184)</f>
        <v>11102.125151647542</v>
      </c>
      <c r="V29" s="562">
        <f>U29*(1+Assumptions!$H$184)</f>
        <v>11324.167654680494</v>
      </c>
      <c r="W29" s="562">
        <f>V29*(1+Assumptions!$H$184)</f>
        <v>11550.651007774104</v>
      </c>
      <c r="X29" s="562">
        <f>W29*(1+Assumptions!$H$184)</f>
        <v>11781.664027929586</v>
      </c>
      <c r="Y29" s="562">
        <f>X29*(1+Assumptions!$H$184)</f>
        <v>12017.297308488178</v>
      </c>
      <c r="Z29" s="562">
        <f>Y29*(1+Assumptions!$H$184)</f>
        <v>12257.643254657942</v>
      </c>
      <c r="AA29" s="562">
        <f>Z29*(1+Assumptions!$H$184)</f>
        <v>12502.796119751101</v>
      </c>
    </row>
    <row r="30" spans="1:27" hidden="1" x14ac:dyDescent="0.45">
      <c r="A30" s="777"/>
      <c r="B30" s="705"/>
      <c r="C30" s="707" t="s">
        <v>114</v>
      </c>
      <c r="D30" s="707" t="str">
        <f>Assumptions!D71</f>
        <v xml:space="preserve">Almond Packaging </v>
      </c>
      <c r="E30" s="783" t="s">
        <v>812</v>
      </c>
      <c r="F30" s="789"/>
      <c r="G30" s="790">
        <f>Assumptions!I95</f>
        <v>1001.669449081803</v>
      </c>
      <c r="H30" s="790">
        <f>G30*(1+Assumptions!$H$184)</f>
        <v>1021.7028380634391</v>
      </c>
      <c r="I30" s="790">
        <f>H30*(1+Assumptions!$H$184)</f>
        <v>1042.136894824708</v>
      </c>
      <c r="J30" s="790">
        <f>I30*(1+Assumptions!$H$184)</f>
        <v>1062.9796327212021</v>
      </c>
      <c r="K30" s="791">
        <f>J30*(1+Assumptions!$H$184)</f>
        <v>1084.2392253756261</v>
      </c>
      <c r="L30" s="562">
        <f>K30*(1+Assumptions!$H$184)</f>
        <v>1105.9240098831388</v>
      </c>
      <c r="M30" s="562">
        <f>L30*(1+Assumptions!$H$184)</f>
        <v>1128.0424900808016</v>
      </c>
      <c r="N30" s="562">
        <f>M30*(1+Assumptions!$H$184)</f>
        <v>1150.6033398824177</v>
      </c>
      <c r="O30" s="562">
        <f>N30*(1+Assumptions!$H$184)</f>
        <v>1173.6154066800661</v>
      </c>
      <c r="P30" s="562">
        <f>O30*(1+Assumptions!$H$184)</f>
        <v>1197.0877148136674</v>
      </c>
      <c r="Q30" s="562">
        <f>P30*(1+Assumptions!$H$184)</f>
        <v>1221.0294691099407</v>
      </c>
      <c r="R30" s="562">
        <f>Q30*(1+Assumptions!$H$184)</f>
        <v>1245.4500584921395</v>
      </c>
      <c r="S30" s="562">
        <f>R30*(1+Assumptions!$H$184)</f>
        <v>1270.3590596619824</v>
      </c>
      <c r="T30" s="562">
        <f>S30*(1+Assumptions!$H$184)</f>
        <v>1295.7662408552221</v>
      </c>
      <c r="U30" s="562">
        <f>T30*(1+Assumptions!$H$184)</f>
        <v>1321.6815656723265</v>
      </c>
      <c r="V30" s="562">
        <f>U30*(1+Assumptions!$H$184)</f>
        <v>1348.1151969857731</v>
      </c>
      <c r="W30" s="562">
        <f>V30*(1+Assumptions!$H$184)</f>
        <v>1375.0775009254885</v>
      </c>
      <c r="X30" s="562">
        <f>W30*(1+Assumptions!$H$184)</f>
        <v>1402.5790509439983</v>
      </c>
      <c r="Y30" s="562">
        <f>X30*(1+Assumptions!$H$184)</f>
        <v>1430.6306319628782</v>
      </c>
      <c r="Z30" s="562">
        <f>Y30*(1+Assumptions!$H$184)</f>
        <v>1459.2432446021357</v>
      </c>
      <c r="AA30" s="562">
        <f>Z30*(1+Assumptions!$H$184)</f>
        <v>1488.4281094941784</v>
      </c>
    </row>
    <row r="31" spans="1:27" hidden="1" x14ac:dyDescent="0.45">
      <c r="A31" s="777"/>
      <c r="B31" s="705"/>
      <c r="C31" s="707" t="s">
        <v>114</v>
      </c>
      <c r="D31" s="707" t="str">
        <f>Assumptions!D72</f>
        <v>Pulp dryer</v>
      </c>
      <c r="E31" s="783" t="s">
        <v>812</v>
      </c>
      <c r="F31" s="789"/>
      <c r="G31" s="790">
        <f>Assumptions!I96</f>
        <v>60100.166944908182</v>
      </c>
      <c r="H31" s="790">
        <f>G31*(1+Assumptions!$H$184)</f>
        <v>61302.17028380635</v>
      </c>
      <c r="I31" s="790">
        <f>H31*(1+Assumptions!$H$184)</f>
        <v>62528.21368948248</v>
      </c>
      <c r="J31" s="790">
        <f>I31*(1+Assumptions!$H$184)</f>
        <v>63778.777963272129</v>
      </c>
      <c r="K31" s="791">
        <f>J31*(1+Assumptions!$H$184)</f>
        <v>65054.353522537574</v>
      </c>
      <c r="L31" s="562">
        <f>K31*(1+Assumptions!$H$184)</f>
        <v>66355.440592988321</v>
      </c>
      <c r="M31" s="562">
        <f>L31*(1+Assumptions!$H$184)</f>
        <v>67682.54940484809</v>
      </c>
      <c r="N31" s="562">
        <f>M31*(1+Assumptions!$H$184)</f>
        <v>69036.200392945058</v>
      </c>
      <c r="O31" s="562">
        <f>N31*(1+Assumptions!$H$184)</f>
        <v>70416.924400803968</v>
      </c>
      <c r="P31" s="562">
        <f>O31*(1+Assumptions!$H$184)</f>
        <v>71825.262888820042</v>
      </c>
      <c r="Q31" s="562">
        <f>P31*(1+Assumptions!$H$184)</f>
        <v>73261.768146596442</v>
      </c>
      <c r="R31" s="562">
        <f>Q31*(1+Assumptions!$H$184)</f>
        <v>74727.003509528367</v>
      </c>
      <c r="S31" s="562">
        <f>R31*(1+Assumptions!$H$184)</f>
        <v>76221.543579718942</v>
      </c>
      <c r="T31" s="562">
        <f>S31*(1+Assumptions!$H$184)</f>
        <v>77745.974451313319</v>
      </c>
      <c r="U31" s="562">
        <f>T31*(1+Assumptions!$H$184)</f>
        <v>79300.893940339593</v>
      </c>
      <c r="V31" s="562">
        <f>U31*(1+Assumptions!$H$184)</f>
        <v>80886.911819146379</v>
      </c>
      <c r="W31" s="562">
        <f>V31*(1+Assumptions!$H$184)</f>
        <v>82504.650055529302</v>
      </c>
      <c r="X31" s="562">
        <f>W31*(1+Assumptions!$H$184)</f>
        <v>84154.743056639883</v>
      </c>
      <c r="Y31" s="562">
        <f>X31*(1+Assumptions!$H$184)</f>
        <v>85837.837917772689</v>
      </c>
      <c r="Z31" s="562">
        <f>Y31*(1+Assumptions!$H$184)</f>
        <v>87554.594676128138</v>
      </c>
      <c r="AA31" s="562">
        <f>Z31*(1+Assumptions!$H$184)</f>
        <v>89305.686569650701</v>
      </c>
    </row>
    <row r="32" spans="1:27" hidden="1" x14ac:dyDescent="0.45">
      <c r="A32" s="777"/>
      <c r="B32" s="705"/>
      <c r="C32" s="707" t="s">
        <v>114</v>
      </c>
      <c r="D32" s="707" t="str">
        <f>Assumptions!D73</f>
        <v>Thermal installation</v>
      </c>
      <c r="E32" s="783" t="s">
        <v>812</v>
      </c>
      <c r="F32" s="789"/>
      <c r="G32" s="790">
        <f>Assumptions!I97</f>
        <v>18631.051752921536</v>
      </c>
      <c r="H32" s="790">
        <f>G32*(1+Assumptions!$H$184)</f>
        <v>19003.672787979966</v>
      </c>
      <c r="I32" s="790">
        <f>H32*(1+Assumptions!$H$184)</f>
        <v>19383.746243739566</v>
      </c>
      <c r="J32" s="790">
        <f>I32*(1+Assumptions!$H$184)</f>
        <v>19771.421168614357</v>
      </c>
      <c r="K32" s="791">
        <f>J32*(1+Assumptions!$H$184)</f>
        <v>20166.849591986644</v>
      </c>
      <c r="L32" s="562">
        <f>K32*(1+Assumptions!$H$184)</f>
        <v>20570.186583826377</v>
      </c>
      <c r="M32" s="562">
        <f>L32*(1+Assumptions!$H$184)</f>
        <v>20981.590315502905</v>
      </c>
      <c r="N32" s="562">
        <f>M32*(1+Assumptions!$H$184)</f>
        <v>21401.222121812963</v>
      </c>
      <c r="O32" s="562">
        <f>N32*(1+Assumptions!$H$184)</f>
        <v>21829.246564249224</v>
      </c>
      <c r="P32" s="562">
        <f>O32*(1+Assumptions!$H$184)</f>
        <v>22265.83149553421</v>
      </c>
      <c r="Q32" s="562">
        <f>P32*(1+Assumptions!$H$184)</f>
        <v>22711.148125444895</v>
      </c>
      <c r="R32" s="562">
        <f>Q32*(1+Assumptions!$H$184)</f>
        <v>23165.371087953794</v>
      </c>
      <c r="S32" s="562">
        <f>R32*(1+Assumptions!$H$184)</f>
        <v>23628.67850971287</v>
      </c>
      <c r="T32" s="562">
        <f>S32*(1+Assumptions!$H$184)</f>
        <v>24101.252079907128</v>
      </c>
      <c r="U32" s="562">
        <f>T32*(1+Assumptions!$H$184)</f>
        <v>24583.277121505271</v>
      </c>
      <c r="V32" s="562">
        <f>U32*(1+Assumptions!$H$184)</f>
        <v>25074.942663935377</v>
      </c>
      <c r="W32" s="562">
        <f>V32*(1+Assumptions!$H$184)</f>
        <v>25576.441517214083</v>
      </c>
      <c r="X32" s="562">
        <f>W32*(1+Assumptions!$H$184)</f>
        <v>26087.970347558366</v>
      </c>
      <c r="Y32" s="562">
        <f>X32*(1+Assumptions!$H$184)</f>
        <v>26609.729754509535</v>
      </c>
      <c r="Z32" s="562">
        <f>Y32*(1+Assumptions!$H$184)</f>
        <v>27141.924349599725</v>
      </c>
      <c r="AA32" s="562">
        <f>Z32*(1+Assumptions!$H$184)</f>
        <v>27684.762836591719</v>
      </c>
    </row>
    <row r="33" spans="1:27" hidden="1" x14ac:dyDescent="0.45">
      <c r="A33" s="777"/>
      <c r="B33" s="705"/>
      <c r="C33" s="707" t="s">
        <v>114</v>
      </c>
      <c r="D33" s="707" t="str">
        <f>Assumptions!D74</f>
        <v>Dried pulp packaging machine  Zhejiang Ruibao Packaging Machine Co., Ltd.</v>
      </c>
      <c r="E33" s="783" t="s">
        <v>812</v>
      </c>
      <c r="F33" s="789"/>
      <c r="G33" s="790">
        <f>Assumptions!I98</f>
        <v>3806.3439065108514</v>
      </c>
      <c r="H33" s="790">
        <f>G33*(1+Assumptions!$H$184)</f>
        <v>3882.4707846410683</v>
      </c>
      <c r="I33" s="790">
        <f>H33*(1+Assumptions!$H$184)</f>
        <v>3960.1202003338899</v>
      </c>
      <c r="J33" s="790">
        <f>I33*(1+Assumptions!$H$184)</f>
        <v>4039.322604340568</v>
      </c>
      <c r="K33" s="791">
        <f>J33*(1+Assumptions!$H$184)</f>
        <v>4120.1090564273791</v>
      </c>
      <c r="L33" s="562">
        <f>K33*(1+Assumptions!$H$184)</f>
        <v>4202.5112375559265</v>
      </c>
      <c r="M33" s="562">
        <f>L33*(1+Assumptions!$H$184)</f>
        <v>4286.5614623070451</v>
      </c>
      <c r="N33" s="562">
        <f>M33*(1+Assumptions!$H$184)</f>
        <v>4372.2926915531862</v>
      </c>
      <c r="O33" s="562">
        <f>N33*(1+Assumptions!$H$184)</f>
        <v>4459.7385453842498</v>
      </c>
      <c r="P33" s="562">
        <f>O33*(1+Assumptions!$H$184)</f>
        <v>4548.9333162919347</v>
      </c>
      <c r="Q33" s="562">
        <f>P33*(1+Assumptions!$H$184)</f>
        <v>4639.9119826177739</v>
      </c>
      <c r="R33" s="562">
        <f>Q33*(1+Assumptions!$H$184)</f>
        <v>4732.7102222701296</v>
      </c>
      <c r="S33" s="562">
        <f>R33*(1+Assumptions!$H$184)</f>
        <v>4827.3644267155323</v>
      </c>
      <c r="T33" s="562">
        <f>S33*(1+Assumptions!$H$184)</f>
        <v>4923.9117152498429</v>
      </c>
      <c r="U33" s="562">
        <f>T33*(1+Assumptions!$H$184)</f>
        <v>5022.3899495548403</v>
      </c>
      <c r="V33" s="562">
        <f>U33*(1+Assumptions!$H$184)</f>
        <v>5122.8377485459368</v>
      </c>
      <c r="W33" s="562">
        <f>V33*(1+Assumptions!$H$184)</f>
        <v>5225.2945035168559</v>
      </c>
      <c r="X33" s="562">
        <f>W33*(1+Assumptions!$H$184)</f>
        <v>5329.800393587193</v>
      </c>
      <c r="Y33" s="562">
        <f>X33*(1+Assumptions!$H$184)</f>
        <v>5436.3964014589374</v>
      </c>
      <c r="Z33" s="562">
        <f>Y33*(1+Assumptions!$H$184)</f>
        <v>5545.124329488116</v>
      </c>
      <c r="AA33" s="562">
        <f>Z33*(1+Assumptions!$H$184)</f>
        <v>5656.0268160778787</v>
      </c>
    </row>
    <row r="34" spans="1:27" hidden="1" x14ac:dyDescent="0.45">
      <c r="A34" s="777"/>
      <c r="B34" s="705"/>
      <c r="C34" s="707" t="s">
        <v>114</v>
      </c>
      <c r="D34" s="707" t="str">
        <f>Assumptions!D75</f>
        <v>Dried pulp packaging table</v>
      </c>
      <c r="E34" s="783" t="s">
        <v>812</v>
      </c>
      <c r="F34" s="789"/>
      <c r="G34" s="790">
        <f>Assumptions!I99</f>
        <v>3485.8096828046746</v>
      </c>
      <c r="H34" s="790">
        <f>G34*(1+Assumptions!$H$184)</f>
        <v>3555.5258764607684</v>
      </c>
      <c r="I34" s="790">
        <f>H34*(1+Assumptions!$H$184)</f>
        <v>3626.6363939899838</v>
      </c>
      <c r="J34" s="790">
        <f>I34*(1+Assumptions!$H$184)</f>
        <v>3699.1691218697838</v>
      </c>
      <c r="K34" s="791">
        <f>J34*(1+Assumptions!$H$184)</f>
        <v>3773.1525043071797</v>
      </c>
      <c r="L34" s="562">
        <f>K34*(1+Assumptions!$H$184)</f>
        <v>3848.6155543933232</v>
      </c>
      <c r="M34" s="562">
        <f>L34*(1+Assumptions!$H$184)</f>
        <v>3925.58786548119</v>
      </c>
      <c r="N34" s="562">
        <f>M34*(1+Assumptions!$H$184)</f>
        <v>4004.099622790814</v>
      </c>
      <c r="O34" s="562">
        <f>N34*(1+Assumptions!$H$184)</f>
        <v>4084.1816152466304</v>
      </c>
      <c r="P34" s="562">
        <f>O34*(1+Assumptions!$H$184)</f>
        <v>4165.8652475515628</v>
      </c>
      <c r="Q34" s="562">
        <f>P34*(1+Assumptions!$H$184)</f>
        <v>4249.1825525025943</v>
      </c>
      <c r="R34" s="562">
        <f>Q34*(1+Assumptions!$H$184)</f>
        <v>4334.166203552646</v>
      </c>
      <c r="S34" s="562">
        <f>R34*(1+Assumptions!$H$184)</f>
        <v>4420.849527623699</v>
      </c>
      <c r="T34" s="562">
        <f>S34*(1+Assumptions!$H$184)</f>
        <v>4509.2665181761731</v>
      </c>
      <c r="U34" s="562">
        <f>T34*(1+Assumptions!$H$184)</f>
        <v>4599.4518485396966</v>
      </c>
      <c r="V34" s="562">
        <f>U34*(1+Assumptions!$H$184)</f>
        <v>4691.4408855104903</v>
      </c>
      <c r="W34" s="562">
        <f>V34*(1+Assumptions!$H$184)</f>
        <v>4785.2697032206997</v>
      </c>
      <c r="X34" s="562">
        <f>W34*(1+Assumptions!$H$184)</f>
        <v>4880.9750972851134</v>
      </c>
      <c r="Y34" s="562">
        <f>X34*(1+Assumptions!$H$184)</f>
        <v>4978.5945992308161</v>
      </c>
      <c r="Z34" s="562">
        <f>Y34*(1+Assumptions!$H$184)</f>
        <v>5078.1664912154329</v>
      </c>
      <c r="AA34" s="562">
        <f>Z34*(1+Assumptions!$H$184)</f>
        <v>5179.7298210397412</v>
      </c>
    </row>
    <row r="35" spans="1:27" hidden="1" x14ac:dyDescent="0.45">
      <c r="A35" s="777"/>
      <c r="B35" s="705"/>
      <c r="C35" s="707" t="s">
        <v>114</v>
      </c>
      <c r="D35" s="707" t="str">
        <f>Assumptions!D76</f>
        <v>Production tools</v>
      </c>
      <c r="E35" s="783" t="s">
        <v>812</v>
      </c>
      <c r="F35" s="789"/>
      <c r="G35" s="790">
        <f>Assumptions!I100</f>
        <v>16026.711185308848</v>
      </c>
      <c r="H35" s="790">
        <f>G35*(1+Assumptions!$H$184)</f>
        <v>16347.245409015026</v>
      </c>
      <c r="I35" s="790">
        <f>H35*(1+Assumptions!$H$184)</f>
        <v>16674.190317195327</v>
      </c>
      <c r="J35" s="790">
        <f>I35*(1+Assumptions!$H$184)</f>
        <v>17007.674123539233</v>
      </c>
      <c r="K35" s="791">
        <f>J35*(1+Assumptions!$H$184)</f>
        <v>17347.827606010018</v>
      </c>
      <c r="L35" s="562">
        <f>K35*(1+Assumptions!$H$184)</f>
        <v>17694.78415813022</v>
      </c>
      <c r="M35" s="562">
        <f>L35*(1+Assumptions!$H$184)</f>
        <v>18048.679841292826</v>
      </c>
      <c r="N35" s="562">
        <f>M35*(1+Assumptions!$H$184)</f>
        <v>18409.653438118683</v>
      </c>
      <c r="O35" s="562">
        <f>N35*(1+Assumptions!$H$184)</f>
        <v>18777.846506881058</v>
      </c>
      <c r="P35" s="562">
        <f>O35*(1+Assumptions!$H$184)</f>
        <v>19153.403437018678</v>
      </c>
      <c r="Q35" s="562">
        <f>P35*(1+Assumptions!$H$184)</f>
        <v>19536.471505759051</v>
      </c>
      <c r="R35" s="562">
        <f>Q35*(1+Assumptions!$H$184)</f>
        <v>19927.200935874233</v>
      </c>
      <c r="S35" s="562">
        <f>R35*(1+Assumptions!$H$184)</f>
        <v>20325.744954591719</v>
      </c>
      <c r="T35" s="562">
        <f>S35*(1+Assumptions!$H$184)</f>
        <v>20732.259853683554</v>
      </c>
      <c r="U35" s="562">
        <f>T35*(1+Assumptions!$H$184)</f>
        <v>21146.905050757225</v>
      </c>
      <c r="V35" s="562">
        <f>U35*(1+Assumptions!$H$184)</f>
        <v>21569.843151772369</v>
      </c>
      <c r="W35" s="562">
        <f>V35*(1+Assumptions!$H$184)</f>
        <v>22001.240014807816</v>
      </c>
      <c r="X35" s="562">
        <f>W35*(1+Assumptions!$H$184)</f>
        <v>22441.264815103972</v>
      </c>
      <c r="Y35" s="562">
        <f>X35*(1+Assumptions!$H$184)</f>
        <v>22890.090111406051</v>
      </c>
      <c r="Z35" s="562">
        <f>Y35*(1+Assumptions!$H$184)</f>
        <v>23347.891913634172</v>
      </c>
      <c r="AA35" s="562">
        <f>Z35*(1+Assumptions!$H$184)</f>
        <v>23814.849751906855</v>
      </c>
    </row>
    <row r="36" spans="1:27" hidden="1" x14ac:dyDescent="0.45">
      <c r="A36" s="777"/>
      <c r="B36" s="705"/>
      <c r="C36" s="707" t="s">
        <v>114</v>
      </c>
      <c r="D36" s="707" t="str">
        <f>Assumptions!D77</f>
        <v>Transport Installation and Commissioning</v>
      </c>
      <c r="E36" s="783" t="s">
        <v>812</v>
      </c>
      <c r="F36" s="789"/>
      <c r="G36" s="790">
        <f>Assumptions!I101</f>
        <v>72215.231218697823</v>
      </c>
      <c r="H36" s="790">
        <f>G36*(1+Assumptions!$H$184)</f>
        <v>73659.535843071775</v>
      </c>
      <c r="I36" s="790">
        <f>H36*(1+Assumptions!$H$184)</f>
        <v>75132.726559933217</v>
      </c>
      <c r="J36" s="790">
        <f>I36*(1+Assumptions!$H$184)</f>
        <v>76635.381091131887</v>
      </c>
      <c r="K36" s="791">
        <f>J36*(1+Assumptions!$H$184)</f>
        <v>78168.08871295453</v>
      </c>
      <c r="L36" s="562">
        <f>K36*(1+Assumptions!$H$184)</f>
        <v>79731.450487213617</v>
      </c>
      <c r="M36" s="562">
        <f>L36*(1+Assumptions!$H$184)</f>
        <v>81326.079496957886</v>
      </c>
      <c r="N36" s="562">
        <f>M36*(1+Assumptions!$H$184)</f>
        <v>82952.601086897048</v>
      </c>
      <c r="O36" s="562">
        <f>N36*(1+Assumptions!$H$184)</f>
        <v>84611.653108634986</v>
      </c>
      <c r="P36" s="562">
        <f>O36*(1+Assumptions!$H$184)</f>
        <v>86303.886170807687</v>
      </c>
      <c r="Q36" s="562">
        <f>P36*(1+Assumptions!$H$184)</f>
        <v>88029.963894223838</v>
      </c>
      <c r="R36" s="562">
        <f>Q36*(1+Assumptions!$H$184)</f>
        <v>89790.563172108319</v>
      </c>
      <c r="S36" s="562">
        <f>R36*(1+Assumptions!$H$184)</f>
        <v>91586.37443555049</v>
      </c>
      <c r="T36" s="562">
        <f>S36*(1+Assumptions!$H$184)</f>
        <v>93418.1019242615</v>
      </c>
      <c r="U36" s="562">
        <f>T36*(1+Assumptions!$H$184)</f>
        <v>95286.463962746726</v>
      </c>
      <c r="V36" s="562">
        <f>U36*(1+Assumptions!$H$184)</f>
        <v>97192.193242001667</v>
      </c>
      <c r="W36" s="562">
        <f>V36*(1+Assumptions!$H$184)</f>
        <v>99136.037106841701</v>
      </c>
      <c r="X36" s="562">
        <f>W36*(1+Assumptions!$H$184)</f>
        <v>101118.75784897854</v>
      </c>
      <c r="Y36" s="562">
        <f>X36*(1+Assumptions!$H$184)</f>
        <v>103141.13300595811</v>
      </c>
      <c r="Z36" s="562">
        <f>Y36*(1+Assumptions!$H$184)</f>
        <v>105203.95566607728</v>
      </c>
      <c r="AA36" s="562">
        <f>Z36*(1+Assumptions!$H$184)</f>
        <v>107308.03477939883</v>
      </c>
    </row>
    <row r="37" spans="1:27" hidden="1" x14ac:dyDescent="0.45">
      <c r="A37" s="777"/>
      <c r="B37" s="705"/>
      <c r="C37" s="707" t="s">
        <v>114</v>
      </c>
      <c r="D37" s="707" t="str">
        <f>Assumptions!D78</f>
        <v>Vehicules</v>
      </c>
      <c r="E37" s="783" t="s">
        <v>812</v>
      </c>
      <c r="F37" s="789"/>
      <c r="G37" s="790">
        <f>Assumptions!I102</f>
        <v>11619.365609348915</v>
      </c>
      <c r="H37" s="790">
        <f>G37*(1+Assumptions!$H$184)</f>
        <v>11851.752921535894</v>
      </c>
      <c r="I37" s="790">
        <f>H37*(1+Assumptions!$H$184)</f>
        <v>12088.787979966612</v>
      </c>
      <c r="J37" s="790">
        <f>I37*(1+Assumptions!$H$184)</f>
        <v>12330.563739565943</v>
      </c>
      <c r="K37" s="791">
        <f>J37*(1+Assumptions!$H$184)</f>
        <v>12577.175014357263</v>
      </c>
      <c r="L37" s="562">
        <f>K37*(1+Assumptions!$H$184)</f>
        <v>12828.718514644408</v>
      </c>
      <c r="M37" s="562">
        <f>L37*(1+Assumptions!$H$184)</f>
        <v>13085.292884937297</v>
      </c>
      <c r="N37" s="562">
        <f>M37*(1+Assumptions!$H$184)</f>
        <v>13346.998742636042</v>
      </c>
      <c r="O37" s="562">
        <f>N37*(1+Assumptions!$H$184)</f>
        <v>13613.938717488763</v>
      </c>
      <c r="P37" s="562">
        <f>O37*(1+Assumptions!$H$184)</f>
        <v>13886.217491838539</v>
      </c>
      <c r="Q37" s="562">
        <f>P37*(1+Assumptions!$H$184)</f>
        <v>14163.941841675311</v>
      </c>
      <c r="R37" s="562">
        <f>Q37*(1+Assumptions!$H$184)</f>
        <v>14447.220678508816</v>
      </c>
      <c r="S37" s="562">
        <f>R37*(1+Assumptions!$H$184)</f>
        <v>14736.165092078993</v>
      </c>
      <c r="T37" s="562">
        <f>S37*(1+Assumptions!$H$184)</f>
        <v>15030.888393920573</v>
      </c>
      <c r="U37" s="562">
        <f>T37*(1+Assumptions!$H$184)</f>
        <v>15331.506161798985</v>
      </c>
      <c r="V37" s="562">
        <f>U37*(1+Assumptions!$H$184)</f>
        <v>15638.136285034965</v>
      </c>
      <c r="W37" s="562">
        <f>V37*(1+Assumptions!$H$184)</f>
        <v>15950.899010735664</v>
      </c>
      <c r="X37" s="562">
        <f>W37*(1+Assumptions!$H$184)</f>
        <v>16269.916990950378</v>
      </c>
      <c r="Y37" s="562">
        <f>X37*(1+Assumptions!$H$184)</f>
        <v>16595.315330769386</v>
      </c>
      <c r="Z37" s="562">
        <f>Y37*(1+Assumptions!$H$184)</f>
        <v>16927.221637384773</v>
      </c>
      <c r="AA37" s="562">
        <f>Z37*(1+Assumptions!$H$184)</f>
        <v>17265.766070132468</v>
      </c>
    </row>
    <row r="38" spans="1:27" hidden="1" x14ac:dyDescent="0.45">
      <c r="A38" s="777"/>
      <c r="B38" s="705"/>
      <c r="C38" s="707" t="s">
        <v>114</v>
      </c>
      <c r="D38" s="707">
        <f>Assumptions!D79</f>
        <v>0</v>
      </c>
      <c r="E38" s="783" t="s">
        <v>812</v>
      </c>
      <c r="F38" s="789"/>
      <c r="G38" s="790">
        <f>Assumptions!I103</f>
        <v>0</v>
      </c>
      <c r="H38" s="790">
        <f>G38*(1+Assumptions!$H$184)</f>
        <v>0</v>
      </c>
      <c r="I38" s="790">
        <f>H38*(1+Assumptions!$H$184)</f>
        <v>0</v>
      </c>
      <c r="J38" s="790">
        <f>I38*(1+Assumptions!$H$184)</f>
        <v>0</v>
      </c>
      <c r="K38" s="791">
        <f>J38*(1+Assumptions!$H$184)</f>
        <v>0</v>
      </c>
      <c r="L38" s="562">
        <f>K38*(1+Assumptions!$H$184)</f>
        <v>0</v>
      </c>
      <c r="M38" s="562">
        <f>L38*(1+Assumptions!$H$184)</f>
        <v>0</v>
      </c>
      <c r="N38" s="562">
        <f>M38*(1+Assumptions!$H$184)</f>
        <v>0</v>
      </c>
      <c r="O38" s="562">
        <f>N38*(1+Assumptions!$H$184)</f>
        <v>0</v>
      </c>
      <c r="P38" s="562">
        <f>O38*(1+Assumptions!$H$184)</f>
        <v>0</v>
      </c>
      <c r="Q38" s="562">
        <f>P38*(1+Assumptions!$H$184)</f>
        <v>0</v>
      </c>
      <c r="R38" s="562">
        <f>Q38*(1+Assumptions!$H$184)</f>
        <v>0</v>
      </c>
      <c r="S38" s="562">
        <f>R38*(1+Assumptions!$H$184)</f>
        <v>0</v>
      </c>
      <c r="T38" s="562">
        <f>S38*(1+Assumptions!$H$184)</f>
        <v>0</v>
      </c>
      <c r="U38" s="562">
        <f>T38*(1+Assumptions!$H$184)</f>
        <v>0</v>
      </c>
      <c r="V38" s="562">
        <f>U38*(1+Assumptions!$H$184)</f>
        <v>0</v>
      </c>
      <c r="W38" s="562">
        <f>V38*(1+Assumptions!$H$184)</f>
        <v>0</v>
      </c>
      <c r="X38" s="562">
        <f>W38*(1+Assumptions!$H$184)</f>
        <v>0</v>
      </c>
      <c r="Y38" s="562">
        <f>X38*(1+Assumptions!$H$184)</f>
        <v>0</v>
      </c>
      <c r="Z38" s="562">
        <f>Y38*(1+Assumptions!$H$184)</f>
        <v>0</v>
      </c>
      <c r="AA38" s="562">
        <f>Z38*(1+Assumptions!$H$184)</f>
        <v>0</v>
      </c>
    </row>
    <row r="39" spans="1:27" hidden="1" x14ac:dyDescent="0.45">
      <c r="A39" s="777"/>
      <c r="B39" s="705"/>
      <c r="C39" s="707" t="s">
        <v>114</v>
      </c>
      <c r="D39" s="707">
        <f>Assumptions!D80</f>
        <v>0</v>
      </c>
      <c r="E39" s="783" t="s">
        <v>812</v>
      </c>
      <c r="F39" s="789"/>
      <c r="G39" s="790">
        <f>Assumptions!I104</f>
        <v>0</v>
      </c>
      <c r="H39" s="790">
        <f>G39*(1+Assumptions!$H$184)</f>
        <v>0</v>
      </c>
      <c r="I39" s="790">
        <f>H39*(1+Assumptions!$H$184)</f>
        <v>0</v>
      </c>
      <c r="J39" s="790">
        <f>I39*(1+Assumptions!$H$184)</f>
        <v>0</v>
      </c>
      <c r="K39" s="791">
        <f>J39*(1+Assumptions!$H$184)</f>
        <v>0</v>
      </c>
      <c r="L39" s="562">
        <f>K39*(1+Assumptions!$H$184)</f>
        <v>0</v>
      </c>
      <c r="M39" s="562">
        <f>L39*(1+Assumptions!$H$184)</f>
        <v>0</v>
      </c>
      <c r="N39" s="562">
        <f>M39*(1+Assumptions!$H$184)</f>
        <v>0</v>
      </c>
      <c r="O39" s="562">
        <f>N39*(1+Assumptions!$H$184)</f>
        <v>0</v>
      </c>
      <c r="P39" s="562">
        <f>O39*(1+Assumptions!$H$184)</f>
        <v>0</v>
      </c>
      <c r="Q39" s="562">
        <f>P39*(1+Assumptions!$H$184)</f>
        <v>0</v>
      </c>
      <c r="R39" s="562">
        <f>Q39*(1+Assumptions!$H$184)</f>
        <v>0</v>
      </c>
      <c r="S39" s="562">
        <f>R39*(1+Assumptions!$H$184)</f>
        <v>0</v>
      </c>
      <c r="T39" s="562">
        <f>S39*(1+Assumptions!$H$184)</f>
        <v>0</v>
      </c>
      <c r="U39" s="562">
        <f>T39*(1+Assumptions!$H$184)</f>
        <v>0</v>
      </c>
      <c r="V39" s="562">
        <f>U39*(1+Assumptions!$H$184)</f>
        <v>0</v>
      </c>
      <c r="W39" s="562">
        <f>V39*(1+Assumptions!$H$184)</f>
        <v>0</v>
      </c>
      <c r="X39" s="562">
        <f>W39*(1+Assumptions!$H$184)</f>
        <v>0</v>
      </c>
      <c r="Y39" s="562">
        <f>X39*(1+Assumptions!$H$184)</f>
        <v>0</v>
      </c>
      <c r="Z39" s="562">
        <f>Y39*(1+Assumptions!$H$184)</f>
        <v>0</v>
      </c>
      <c r="AA39" s="562">
        <f>Z39*(1+Assumptions!$H$184)</f>
        <v>0</v>
      </c>
    </row>
    <row r="40" spans="1:27" hidden="1" x14ac:dyDescent="0.45">
      <c r="A40" s="777"/>
      <c r="B40" s="705"/>
      <c r="C40" s="707" t="s">
        <v>114</v>
      </c>
      <c r="D40" s="707">
        <f>Assumptions!D81</f>
        <v>0</v>
      </c>
      <c r="E40" s="783" t="s">
        <v>812</v>
      </c>
      <c r="F40" s="789"/>
      <c r="G40" s="790">
        <f>Assumptions!I105</f>
        <v>0</v>
      </c>
      <c r="H40" s="790">
        <f>G40*(1+Assumptions!$H$184)</f>
        <v>0</v>
      </c>
      <c r="I40" s="790">
        <f>H40*(1+Assumptions!$H$184)</f>
        <v>0</v>
      </c>
      <c r="J40" s="790">
        <f>I40*(1+Assumptions!$H$184)</f>
        <v>0</v>
      </c>
      <c r="K40" s="791">
        <f>J40*(1+Assumptions!$H$184)</f>
        <v>0</v>
      </c>
      <c r="L40" s="562">
        <f>K40*(1+Assumptions!$H$184)</f>
        <v>0</v>
      </c>
      <c r="M40" s="562">
        <f>L40*(1+Assumptions!$H$184)</f>
        <v>0</v>
      </c>
      <c r="N40" s="562">
        <f>M40*(1+Assumptions!$H$184)</f>
        <v>0</v>
      </c>
      <c r="O40" s="562">
        <f>N40*(1+Assumptions!$H$184)</f>
        <v>0</v>
      </c>
      <c r="P40" s="562">
        <f>O40*(1+Assumptions!$H$184)</f>
        <v>0</v>
      </c>
      <c r="Q40" s="562">
        <f>P40*(1+Assumptions!$H$184)</f>
        <v>0</v>
      </c>
      <c r="R40" s="562">
        <f>Q40*(1+Assumptions!$H$184)</f>
        <v>0</v>
      </c>
      <c r="S40" s="562">
        <f>R40*(1+Assumptions!$H$184)</f>
        <v>0</v>
      </c>
      <c r="T40" s="562">
        <f>S40*(1+Assumptions!$H$184)</f>
        <v>0</v>
      </c>
      <c r="U40" s="562">
        <f>T40*(1+Assumptions!$H$184)</f>
        <v>0</v>
      </c>
      <c r="V40" s="562">
        <f>U40*(1+Assumptions!$H$184)</f>
        <v>0</v>
      </c>
      <c r="W40" s="562">
        <f>V40*(1+Assumptions!$H$184)</f>
        <v>0</v>
      </c>
      <c r="X40" s="562">
        <f>W40*(1+Assumptions!$H$184)</f>
        <v>0</v>
      </c>
      <c r="Y40" s="562">
        <f>X40*(1+Assumptions!$H$184)</f>
        <v>0</v>
      </c>
      <c r="Z40" s="562">
        <f>Y40*(1+Assumptions!$H$184)</f>
        <v>0</v>
      </c>
      <c r="AA40" s="562">
        <f>Z40*(1+Assumptions!$H$184)</f>
        <v>0</v>
      </c>
    </row>
    <row r="41" spans="1:27" hidden="1" x14ac:dyDescent="0.45">
      <c r="A41" s="777"/>
      <c r="B41" s="705"/>
      <c r="C41" s="705"/>
      <c r="D41" s="707"/>
      <c r="E41" s="783"/>
      <c r="F41" s="789"/>
      <c r="G41" s="707"/>
      <c r="H41" s="707"/>
      <c r="I41" s="707"/>
      <c r="J41" s="707"/>
      <c r="K41" s="784"/>
    </row>
    <row r="42" spans="1:27" hidden="1" x14ac:dyDescent="0.45">
      <c r="A42" s="777"/>
      <c r="B42" s="705"/>
      <c r="C42" s="707" t="s">
        <v>114</v>
      </c>
      <c r="D42" s="707" t="str">
        <f>D19</f>
        <v>Landscaping</v>
      </c>
      <c r="E42" s="783" t="s">
        <v>806</v>
      </c>
      <c r="F42" s="783" t="s">
        <v>483</v>
      </c>
      <c r="G42" s="790">
        <f ca="1">G19*Assumptions!H$17+IF(COLUMN(G42)&lt;=6+Assumptions!$H60,0,OFFSET(G42,,-Assumptions!$H60))</f>
        <v>961602.67111853091</v>
      </c>
      <c r="H42" s="790">
        <f ca="1">H19*Assumptions!I$17+IF(COLUMN(H42)&lt;=6+Assumptions!$H60,0,OFFSET(H42,,-Assumptions!$H60))</f>
        <v>0</v>
      </c>
      <c r="I42" s="790">
        <f ca="1">I19*Assumptions!J$17+IF(COLUMN(I42)&lt;=6+Assumptions!$H60,0,OFFSET(I42,,-Assumptions!$H60))</f>
        <v>0</v>
      </c>
      <c r="J42" s="790">
        <f ca="1">J19*Assumptions!K$17+IF(COLUMN(J42)&lt;=6+Assumptions!$H60,0,OFFSET(J42,,-Assumptions!$H60))</f>
        <v>0</v>
      </c>
      <c r="K42" s="791">
        <f ca="1">K19*Assumptions!L$17+IF(COLUMN(K42)&lt;=6+Assumptions!$H60,0,OFFSET(K42,,-Assumptions!$H60))</f>
        <v>0</v>
      </c>
      <c r="L42" s="562">
        <f ca="1">L19*Assumptions!M$17+IF(COLUMN(L42)&lt;=6+Assumptions!$H60,0,OFFSET(L42,,-Assumptions!$H60))</f>
        <v>0</v>
      </c>
      <c r="M42" s="562">
        <f ca="1">M19*Assumptions!N$17+IF(COLUMN(M42)&lt;=6+Assumptions!$H60,0,OFFSET(M42,,-Assumptions!$H60))</f>
        <v>0</v>
      </c>
      <c r="N42" s="562">
        <f ca="1">N19*Assumptions!O$17+IF(COLUMN(N42)&lt;=6+Assumptions!$H60,0,OFFSET(N42,,-Assumptions!$H60))</f>
        <v>0</v>
      </c>
      <c r="O42" s="562">
        <f ca="1">O19*Assumptions!P$17+IF(COLUMN(O42)&lt;=6+Assumptions!$H60,0,OFFSET(O42,,-Assumptions!$H60))</f>
        <v>0</v>
      </c>
      <c r="P42" s="562">
        <f ca="1">P19*Assumptions!Q$17+IF(COLUMN(P42)&lt;=6+Assumptions!$H60,0,OFFSET(P42,,-Assumptions!$H60))</f>
        <v>0</v>
      </c>
      <c r="Q42" s="562">
        <f ca="1">Q19*Assumptions!R$17+IF(COLUMN(Q42)&lt;=6+Assumptions!$H60,0,OFFSET(Q42,,-Assumptions!$H60))</f>
        <v>0</v>
      </c>
      <c r="R42" s="562">
        <f ca="1">R19*Assumptions!S$17+IF(COLUMN(R42)&lt;=6+Assumptions!$H60,0,OFFSET(R42,,-Assumptions!$H60))</f>
        <v>0</v>
      </c>
      <c r="S42" s="562">
        <f ca="1">S19*Assumptions!T$17+IF(COLUMN(S42)&lt;=6+Assumptions!$H60,0,OFFSET(S42,,-Assumptions!$H60))</f>
        <v>0</v>
      </c>
      <c r="T42" s="562">
        <f ca="1">T19*Assumptions!U$17+IF(COLUMN(T42)&lt;=6+Assumptions!$H60,0,OFFSET(T42,,-Assumptions!$H60))</f>
        <v>0</v>
      </c>
      <c r="U42" s="562">
        <f ca="1">U19*Assumptions!V$17+IF(COLUMN(U42)&lt;=6+Assumptions!$H60,0,OFFSET(U42,,-Assumptions!$H60))</f>
        <v>0</v>
      </c>
      <c r="V42" s="562">
        <f ca="1">V19*Assumptions!W$17+IF(COLUMN(V42)&lt;=6+Assumptions!$H60,0,OFFSET(V42,,-Assumptions!$H60))</f>
        <v>0</v>
      </c>
      <c r="W42" s="562">
        <f ca="1">W19*Assumptions!X$17+IF(COLUMN(W42)&lt;=6+Assumptions!$H60,0,OFFSET(W42,,-Assumptions!$H60))</f>
        <v>0</v>
      </c>
      <c r="X42" s="562">
        <f ca="1">X19*Assumptions!Y$17+IF(COLUMN(X42)&lt;=6+Assumptions!$H60,0,OFFSET(X42,,-Assumptions!$H60))</f>
        <v>0</v>
      </c>
      <c r="Y42" s="562">
        <f ca="1">Y19*Assumptions!Z$17+IF(COLUMN(Y42)&lt;=6+Assumptions!$H60,0,OFFSET(Y42,,-Assumptions!$H60))</f>
        <v>0</v>
      </c>
      <c r="Z42" s="562">
        <f ca="1">Z19*Assumptions!AA$17+IF(COLUMN(Z42)&lt;=6+Assumptions!$H60,0,OFFSET(Z42,,-Assumptions!$H60))</f>
        <v>0</v>
      </c>
      <c r="AA42" s="562">
        <f ca="1">AA19*Assumptions!AB$17+IF(COLUMN(AA42)&lt;=6+Assumptions!$H60,0,OFFSET(AA42,,-Assumptions!$H60))</f>
        <v>0</v>
      </c>
    </row>
    <row r="43" spans="1:27" hidden="1" x14ac:dyDescent="0.45">
      <c r="A43" s="777"/>
      <c r="B43" s="705"/>
      <c r="C43" s="707" t="s">
        <v>114</v>
      </c>
      <c r="D43" s="707" t="str">
        <f t="shared" ref="D43:D63" si="1">D20</f>
        <v>Building</v>
      </c>
      <c r="E43" s="783" t="s">
        <v>806</v>
      </c>
      <c r="F43" s="783" t="s">
        <v>645</v>
      </c>
      <c r="G43" s="790">
        <f ca="1">G20*Assumptions!H$17+IF(COLUMN(G43)&lt;=6+Assumptions!$H61,0,OFFSET(G43,,-Assumptions!$H61))</f>
        <v>272454.09015025041</v>
      </c>
      <c r="H43" s="790">
        <f ca="1">H20*Assumptions!I$17+IF(COLUMN(H43)&lt;=6+Assumptions!$H61,0,OFFSET(H43,,-Assumptions!$H61))</f>
        <v>0</v>
      </c>
      <c r="I43" s="790">
        <f ca="1">I20*Assumptions!J$17+IF(COLUMN(I43)&lt;=6+Assumptions!$H61,0,OFFSET(I43,,-Assumptions!$H61))</f>
        <v>0</v>
      </c>
      <c r="J43" s="790">
        <f ca="1">J20*Assumptions!K$17+IF(COLUMN(J43)&lt;=6+Assumptions!$H61,0,OFFSET(J43,,-Assumptions!$H61))</f>
        <v>0</v>
      </c>
      <c r="K43" s="791">
        <f ca="1">K20*Assumptions!L$17+IF(COLUMN(K43)&lt;=6+Assumptions!$H61,0,OFFSET(K43,,-Assumptions!$H61))</f>
        <v>0</v>
      </c>
      <c r="L43" s="562">
        <f ca="1">L20*Assumptions!M$17+IF(COLUMN(L43)&lt;=6+Assumptions!$H61,0,OFFSET(L43,,-Assumptions!$H61))</f>
        <v>0</v>
      </c>
      <c r="M43" s="562">
        <f ca="1">M20*Assumptions!N$17+IF(COLUMN(M43)&lt;=6+Assumptions!$H61,0,OFFSET(M43,,-Assumptions!$H61))</f>
        <v>0</v>
      </c>
      <c r="N43" s="562">
        <f ca="1">N20*Assumptions!O$17+IF(COLUMN(N43)&lt;=6+Assumptions!$H61,0,OFFSET(N43,,-Assumptions!$H61))</f>
        <v>0</v>
      </c>
      <c r="O43" s="562">
        <f ca="1">O20*Assumptions!P$17+IF(COLUMN(O43)&lt;=6+Assumptions!$H61,0,OFFSET(O43,,-Assumptions!$H61))</f>
        <v>0</v>
      </c>
      <c r="P43" s="562">
        <f ca="1">P20*Assumptions!Q$17+IF(COLUMN(P43)&lt;=6+Assumptions!$H61,0,OFFSET(P43,,-Assumptions!$H61))</f>
        <v>0</v>
      </c>
      <c r="Q43" s="562">
        <f ca="1">Q20*Assumptions!R$17+IF(COLUMN(Q43)&lt;=6+Assumptions!$H61,0,OFFSET(Q43,,-Assumptions!$H61))</f>
        <v>0</v>
      </c>
      <c r="R43" s="562">
        <f ca="1">R20*Assumptions!S$17+IF(COLUMN(R43)&lt;=6+Assumptions!$H61,0,OFFSET(R43,,-Assumptions!$H61))</f>
        <v>0</v>
      </c>
      <c r="S43" s="562">
        <f ca="1">S20*Assumptions!T$17+IF(COLUMN(S43)&lt;=6+Assumptions!$H61,0,OFFSET(S43,,-Assumptions!$H61))</f>
        <v>0</v>
      </c>
      <c r="T43" s="562">
        <f ca="1">T20*Assumptions!U$17+IF(COLUMN(T43)&lt;=6+Assumptions!$H61,0,OFFSET(T43,,-Assumptions!$H61))</f>
        <v>0</v>
      </c>
      <c r="U43" s="562">
        <f ca="1">U20*Assumptions!V$17+IF(COLUMN(U43)&lt;=6+Assumptions!$H61,0,OFFSET(U43,,-Assumptions!$H61))</f>
        <v>0</v>
      </c>
      <c r="V43" s="562">
        <f ca="1">V20*Assumptions!W$17+IF(COLUMN(V43)&lt;=6+Assumptions!$H61,0,OFFSET(V43,,-Assumptions!$H61))</f>
        <v>0</v>
      </c>
      <c r="W43" s="562">
        <f ca="1">W20*Assumptions!X$17+IF(COLUMN(W43)&lt;=6+Assumptions!$H61,0,OFFSET(W43,,-Assumptions!$H61))</f>
        <v>0</v>
      </c>
      <c r="X43" s="562">
        <f ca="1">X20*Assumptions!Y$17+IF(COLUMN(X43)&lt;=6+Assumptions!$H61,0,OFFSET(X43,,-Assumptions!$H61))</f>
        <v>0</v>
      </c>
      <c r="Y43" s="562">
        <f ca="1">Y20*Assumptions!Z$17+IF(COLUMN(Y43)&lt;=6+Assumptions!$H61,0,OFFSET(Y43,,-Assumptions!$H61))</f>
        <v>0</v>
      </c>
      <c r="Z43" s="562">
        <f ca="1">Z20*Assumptions!AA$17+IF(COLUMN(Z43)&lt;=6+Assumptions!$H61,0,OFFSET(Z43,,-Assumptions!$H61))</f>
        <v>0</v>
      </c>
      <c r="AA43" s="562">
        <f ca="1">AA20*Assumptions!AB$17+IF(COLUMN(AA43)&lt;=6+Assumptions!$H61,0,OFFSET(AA43,,-Assumptions!$H61))</f>
        <v>0</v>
      </c>
    </row>
    <row r="44" spans="1:27" hidden="1" x14ac:dyDescent="0.45">
      <c r="A44" s="777"/>
      <c r="B44" s="705"/>
      <c r="C44" s="707" t="s">
        <v>114</v>
      </c>
      <c r="D44" s="707" t="str">
        <f t="shared" si="1"/>
        <v>Storage</v>
      </c>
      <c r="E44" s="783" t="s">
        <v>806</v>
      </c>
      <c r="F44" s="783" t="s">
        <v>645</v>
      </c>
      <c r="G44" s="790">
        <f ca="1">G21*Assumptions!H$17+IF(COLUMN(G44)&lt;=6+Assumptions!$H62,0,OFFSET(G44,,-Assumptions!$H62))</f>
        <v>112186.97829716194</v>
      </c>
      <c r="H44" s="790">
        <f ca="1">H21*Assumptions!I$17+IF(COLUMN(H44)&lt;=6+Assumptions!$H62,0,OFFSET(H44,,-Assumptions!$H62))</f>
        <v>0</v>
      </c>
      <c r="I44" s="790">
        <f ca="1">I21*Assumptions!J$17+IF(COLUMN(I44)&lt;=6+Assumptions!$H62,0,OFFSET(I44,,-Assumptions!$H62))</f>
        <v>0</v>
      </c>
      <c r="J44" s="790">
        <f ca="1">J21*Assumptions!K$17+IF(COLUMN(J44)&lt;=6+Assumptions!$H62,0,OFFSET(J44,,-Assumptions!$H62))</f>
        <v>0</v>
      </c>
      <c r="K44" s="791">
        <f ca="1">K21*Assumptions!L$17+IF(COLUMN(K44)&lt;=6+Assumptions!$H62,0,OFFSET(K44,,-Assumptions!$H62))</f>
        <v>0</v>
      </c>
      <c r="L44" s="562">
        <f ca="1">L21*Assumptions!M$17+IF(COLUMN(L44)&lt;=6+Assumptions!$H62,0,OFFSET(L44,,-Assumptions!$H62))</f>
        <v>0</v>
      </c>
      <c r="M44" s="562">
        <f ca="1">M21*Assumptions!N$17+IF(COLUMN(M44)&lt;=6+Assumptions!$H62,0,OFFSET(M44,,-Assumptions!$H62))</f>
        <v>0</v>
      </c>
      <c r="N44" s="562">
        <f ca="1">N21*Assumptions!O$17+IF(COLUMN(N44)&lt;=6+Assumptions!$H62,0,OFFSET(N44,,-Assumptions!$H62))</f>
        <v>0</v>
      </c>
      <c r="O44" s="562">
        <f ca="1">O21*Assumptions!P$17+IF(COLUMN(O44)&lt;=6+Assumptions!$H62,0,OFFSET(O44,,-Assumptions!$H62))</f>
        <v>0</v>
      </c>
      <c r="P44" s="562">
        <f ca="1">P21*Assumptions!Q$17+IF(COLUMN(P44)&lt;=6+Assumptions!$H62,0,OFFSET(P44,,-Assumptions!$H62))</f>
        <v>0</v>
      </c>
      <c r="Q44" s="562">
        <f ca="1">Q21*Assumptions!R$17+IF(COLUMN(Q44)&lt;=6+Assumptions!$H62,0,OFFSET(Q44,,-Assumptions!$H62))</f>
        <v>0</v>
      </c>
      <c r="R44" s="562">
        <f ca="1">R21*Assumptions!S$17+IF(COLUMN(R44)&lt;=6+Assumptions!$H62,0,OFFSET(R44,,-Assumptions!$H62))</f>
        <v>0</v>
      </c>
      <c r="S44" s="562">
        <f ca="1">S21*Assumptions!T$17+IF(COLUMN(S44)&lt;=6+Assumptions!$H62,0,OFFSET(S44,,-Assumptions!$H62))</f>
        <v>0</v>
      </c>
      <c r="T44" s="562">
        <f ca="1">T21*Assumptions!U$17+IF(COLUMN(T44)&lt;=6+Assumptions!$H62,0,OFFSET(T44,,-Assumptions!$H62))</f>
        <v>0</v>
      </c>
      <c r="U44" s="562">
        <f ca="1">U21*Assumptions!V$17+IF(COLUMN(U44)&lt;=6+Assumptions!$H62,0,OFFSET(U44,,-Assumptions!$H62))</f>
        <v>0</v>
      </c>
      <c r="V44" s="562">
        <f ca="1">V21*Assumptions!W$17+IF(COLUMN(V44)&lt;=6+Assumptions!$H62,0,OFFSET(V44,,-Assumptions!$H62))</f>
        <v>0</v>
      </c>
      <c r="W44" s="562">
        <f ca="1">W21*Assumptions!X$17+IF(COLUMN(W44)&lt;=6+Assumptions!$H62,0,OFFSET(W44,,-Assumptions!$H62))</f>
        <v>0</v>
      </c>
      <c r="X44" s="562">
        <f ca="1">X21*Assumptions!Y$17+IF(COLUMN(X44)&lt;=6+Assumptions!$H62,0,OFFSET(X44,,-Assumptions!$H62))</f>
        <v>0</v>
      </c>
      <c r="Y44" s="562">
        <f ca="1">Y21*Assumptions!Z$17+IF(COLUMN(Y44)&lt;=6+Assumptions!$H62,0,OFFSET(Y44,,-Assumptions!$H62))</f>
        <v>0</v>
      </c>
      <c r="Z44" s="562">
        <f ca="1">Z21*Assumptions!AA$17+IF(COLUMN(Z44)&lt;=6+Assumptions!$H62,0,OFFSET(Z44,,-Assumptions!$H62))</f>
        <v>0</v>
      </c>
      <c r="AA44" s="562">
        <f ca="1">AA21*Assumptions!AB$17+IF(COLUMN(AA44)&lt;=6+Assumptions!$H62,0,OFFSET(AA44,,-Assumptions!$H62))</f>
        <v>0</v>
      </c>
    </row>
    <row r="45" spans="1:27" hidden="1" x14ac:dyDescent="0.45">
      <c r="A45" s="777"/>
      <c r="B45" s="705"/>
      <c r="C45" s="707" t="s">
        <v>114</v>
      </c>
      <c r="D45" s="707" t="str">
        <f t="shared" si="1"/>
        <v>Water system</v>
      </c>
      <c r="E45" s="783" t="s">
        <v>806</v>
      </c>
      <c r="F45" s="783" t="s">
        <v>645</v>
      </c>
      <c r="G45" s="790">
        <f ca="1">G22*Assumptions!H$17+IF(COLUMN(G45)&lt;=6+Assumptions!$H63,0,OFFSET(G45,,-Assumptions!$H63))</f>
        <v>112186.97829716194</v>
      </c>
      <c r="H45" s="790">
        <f ca="1">H22*Assumptions!I$17+IF(COLUMN(H45)&lt;=6+Assumptions!$H63,0,OFFSET(H45,,-Assumptions!$H63))</f>
        <v>0</v>
      </c>
      <c r="I45" s="790">
        <f ca="1">I22*Assumptions!J$17+IF(COLUMN(I45)&lt;=6+Assumptions!$H63,0,OFFSET(I45,,-Assumptions!$H63))</f>
        <v>0</v>
      </c>
      <c r="J45" s="790">
        <f ca="1">J22*Assumptions!K$17+IF(COLUMN(J45)&lt;=6+Assumptions!$H63,0,OFFSET(J45,,-Assumptions!$H63))</f>
        <v>0</v>
      </c>
      <c r="K45" s="791">
        <f ca="1">K22*Assumptions!L$17+IF(COLUMN(K45)&lt;=6+Assumptions!$H63,0,OFFSET(K45,,-Assumptions!$H63))</f>
        <v>0</v>
      </c>
      <c r="L45" s="562">
        <f ca="1">L22*Assumptions!M$17+IF(COLUMN(L45)&lt;=6+Assumptions!$H63,0,OFFSET(L45,,-Assumptions!$H63))</f>
        <v>0</v>
      </c>
      <c r="M45" s="562">
        <f ca="1">M22*Assumptions!N$17+IF(COLUMN(M45)&lt;=6+Assumptions!$H63,0,OFFSET(M45,,-Assumptions!$H63))</f>
        <v>0</v>
      </c>
      <c r="N45" s="562">
        <f ca="1">N22*Assumptions!O$17+IF(COLUMN(N45)&lt;=6+Assumptions!$H63,0,OFFSET(N45,,-Assumptions!$H63))</f>
        <v>0</v>
      </c>
      <c r="O45" s="562">
        <f ca="1">O22*Assumptions!P$17+IF(COLUMN(O45)&lt;=6+Assumptions!$H63,0,OFFSET(O45,,-Assumptions!$H63))</f>
        <v>0</v>
      </c>
      <c r="P45" s="562">
        <f ca="1">P22*Assumptions!Q$17+IF(COLUMN(P45)&lt;=6+Assumptions!$H63,0,OFFSET(P45,,-Assumptions!$H63))</f>
        <v>0</v>
      </c>
      <c r="Q45" s="562">
        <f ca="1">Q22*Assumptions!R$17+IF(COLUMN(Q45)&lt;=6+Assumptions!$H63,0,OFFSET(Q45,,-Assumptions!$H63))</f>
        <v>0</v>
      </c>
      <c r="R45" s="562">
        <f ca="1">R22*Assumptions!S$17+IF(COLUMN(R45)&lt;=6+Assumptions!$H63,0,OFFSET(R45,,-Assumptions!$H63))</f>
        <v>0</v>
      </c>
      <c r="S45" s="562">
        <f ca="1">S22*Assumptions!T$17+IF(COLUMN(S45)&lt;=6+Assumptions!$H63,0,OFFSET(S45,,-Assumptions!$H63))</f>
        <v>0</v>
      </c>
      <c r="T45" s="562">
        <f ca="1">T22*Assumptions!U$17+IF(COLUMN(T45)&lt;=6+Assumptions!$H63,0,OFFSET(T45,,-Assumptions!$H63))</f>
        <v>0</v>
      </c>
      <c r="U45" s="562">
        <f ca="1">U22*Assumptions!V$17+IF(COLUMN(U45)&lt;=6+Assumptions!$H63,0,OFFSET(U45,,-Assumptions!$H63))</f>
        <v>0</v>
      </c>
      <c r="V45" s="562">
        <f ca="1">V22*Assumptions!W$17+IF(COLUMN(V45)&lt;=6+Assumptions!$H63,0,OFFSET(V45,,-Assumptions!$H63))</f>
        <v>0</v>
      </c>
      <c r="W45" s="562">
        <f ca="1">W22*Assumptions!X$17+IF(COLUMN(W45)&lt;=6+Assumptions!$H63,0,OFFSET(W45,,-Assumptions!$H63))</f>
        <v>0</v>
      </c>
      <c r="X45" s="562">
        <f ca="1">X22*Assumptions!Y$17+IF(COLUMN(X45)&lt;=6+Assumptions!$H63,0,OFFSET(X45,,-Assumptions!$H63))</f>
        <v>0</v>
      </c>
      <c r="Y45" s="562">
        <f ca="1">Y22*Assumptions!Z$17+IF(COLUMN(Y45)&lt;=6+Assumptions!$H63,0,OFFSET(Y45,,-Assumptions!$H63))</f>
        <v>0</v>
      </c>
      <c r="Z45" s="562">
        <f ca="1">Z22*Assumptions!AA$17+IF(COLUMN(Z45)&lt;=6+Assumptions!$H63,0,OFFSET(Z45,,-Assumptions!$H63))</f>
        <v>0</v>
      </c>
      <c r="AA45" s="562">
        <f ca="1">AA22*Assumptions!AB$17+IF(COLUMN(AA45)&lt;=6+Assumptions!$H63,0,OFFSET(AA45,,-Assumptions!$H63))</f>
        <v>0</v>
      </c>
    </row>
    <row r="46" spans="1:27" hidden="1" x14ac:dyDescent="0.45">
      <c r="A46" s="777"/>
      <c r="B46" s="705"/>
      <c r="C46" s="707" t="s">
        <v>114</v>
      </c>
      <c r="D46" s="707" t="str">
        <f t="shared" si="1"/>
        <v>Electricity</v>
      </c>
      <c r="E46" s="783" t="s">
        <v>806</v>
      </c>
      <c r="F46" s="783" t="s">
        <v>645</v>
      </c>
      <c r="G46" s="790">
        <f ca="1">G23*Assumptions!H$17+IF(COLUMN(G46)&lt;=6+Assumptions!$H64,0,OFFSET(G46,,-Assumptions!$H64))</f>
        <v>48080.133555926543</v>
      </c>
      <c r="H46" s="790">
        <f ca="1">H23*Assumptions!I$17+IF(COLUMN(H46)&lt;=6+Assumptions!$H64,0,OFFSET(H46,,-Assumptions!$H64))</f>
        <v>0</v>
      </c>
      <c r="I46" s="790">
        <f ca="1">I23*Assumptions!J$17+IF(COLUMN(I46)&lt;=6+Assumptions!$H64,0,OFFSET(I46,,-Assumptions!$H64))</f>
        <v>0</v>
      </c>
      <c r="J46" s="790">
        <f ca="1">J23*Assumptions!K$17+IF(COLUMN(J46)&lt;=6+Assumptions!$H64,0,OFFSET(J46,,-Assumptions!$H64))</f>
        <v>0</v>
      </c>
      <c r="K46" s="791">
        <f ca="1">K23*Assumptions!L$17+IF(COLUMN(K46)&lt;=6+Assumptions!$H64,0,OFFSET(K46,,-Assumptions!$H64))</f>
        <v>0</v>
      </c>
      <c r="L46" s="562">
        <f ca="1">L23*Assumptions!M$17+IF(COLUMN(L46)&lt;=6+Assumptions!$H64,0,OFFSET(L46,,-Assumptions!$H64))</f>
        <v>0</v>
      </c>
      <c r="M46" s="562">
        <f ca="1">M23*Assumptions!N$17+IF(COLUMN(M46)&lt;=6+Assumptions!$H64,0,OFFSET(M46,,-Assumptions!$H64))</f>
        <v>0</v>
      </c>
      <c r="N46" s="562">
        <f ca="1">N23*Assumptions!O$17+IF(COLUMN(N46)&lt;=6+Assumptions!$H64,0,OFFSET(N46,,-Assumptions!$H64))</f>
        <v>0</v>
      </c>
      <c r="O46" s="562">
        <f ca="1">O23*Assumptions!P$17+IF(COLUMN(O46)&lt;=6+Assumptions!$H64,0,OFFSET(O46,,-Assumptions!$H64))</f>
        <v>0</v>
      </c>
      <c r="P46" s="562">
        <f ca="1">P23*Assumptions!Q$17+IF(COLUMN(P46)&lt;=6+Assumptions!$H64,0,OFFSET(P46,,-Assumptions!$H64))</f>
        <v>0</v>
      </c>
      <c r="Q46" s="562">
        <f ca="1">Q23*Assumptions!R$17+IF(COLUMN(Q46)&lt;=6+Assumptions!$H64,0,OFFSET(Q46,,-Assumptions!$H64))</f>
        <v>0</v>
      </c>
      <c r="R46" s="562">
        <f ca="1">R23*Assumptions!S$17+IF(COLUMN(R46)&lt;=6+Assumptions!$H64,0,OFFSET(R46,,-Assumptions!$H64))</f>
        <v>0</v>
      </c>
      <c r="S46" s="562">
        <f ca="1">S23*Assumptions!T$17+IF(COLUMN(S46)&lt;=6+Assumptions!$H64,0,OFFSET(S46,,-Assumptions!$H64))</f>
        <v>0</v>
      </c>
      <c r="T46" s="562">
        <f ca="1">T23*Assumptions!U$17+IF(COLUMN(T46)&lt;=6+Assumptions!$H64,0,OFFSET(T46,,-Assumptions!$H64))</f>
        <v>0</v>
      </c>
      <c r="U46" s="562">
        <f ca="1">U23*Assumptions!V$17+IF(COLUMN(U46)&lt;=6+Assumptions!$H64,0,OFFSET(U46,,-Assumptions!$H64))</f>
        <v>0</v>
      </c>
      <c r="V46" s="562">
        <f ca="1">V23*Assumptions!W$17+IF(COLUMN(V46)&lt;=6+Assumptions!$H64,0,OFFSET(V46,,-Assumptions!$H64))</f>
        <v>0</v>
      </c>
      <c r="W46" s="562">
        <f ca="1">W23*Assumptions!X$17+IF(COLUMN(W46)&lt;=6+Assumptions!$H64,0,OFFSET(W46,,-Assumptions!$H64))</f>
        <v>0</v>
      </c>
      <c r="X46" s="562">
        <f ca="1">X23*Assumptions!Y$17+IF(COLUMN(X46)&lt;=6+Assumptions!$H64,0,OFFSET(X46,,-Assumptions!$H64))</f>
        <v>0</v>
      </c>
      <c r="Y46" s="562">
        <f ca="1">Y23*Assumptions!Z$17+IF(COLUMN(Y46)&lt;=6+Assumptions!$H64,0,OFFSET(Y46,,-Assumptions!$H64))</f>
        <v>0</v>
      </c>
      <c r="Z46" s="562">
        <f ca="1">Z23*Assumptions!AA$17+IF(COLUMN(Z46)&lt;=6+Assumptions!$H64,0,OFFSET(Z46,,-Assumptions!$H64))</f>
        <v>0</v>
      </c>
      <c r="AA46" s="562">
        <f ca="1">AA23*Assumptions!AB$17+IF(COLUMN(AA46)&lt;=6+Assumptions!$H64,0,OFFSET(AA46,,-Assumptions!$H64))</f>
        <v>0</v>
      </c>
    </row>
    <row r="47" spans="1:27" hidden="1" x14ac:dyDescent="0.45">
      <c r="A47" s="777"/>
      <c r="B47" s="705"/>
      <c r="C47" s="707" t="s">
        <v>114</v>
      </c>
      <c r="D47" s="707" t="str">
        <f t="shared" si="1"/>
        <v>Waste management including biogas</v>
      </c>
      <c r="E47" s="783" t="s">
        <v>806</v>
      </c>
      <c r="F47" s="783" t="s">
        <v>645</v>
      </c>
      <c r="G47" s="790">
        <f ca="1">G24*Assumptions!H$17+IF(COLUMN(G47)&lt;=6+Assumptions!$H65,0,OFFSET(G47,,-Assumptions!$H65))</f>
        <v>96160.267111853085</v>
      </c>
      <c r="H47" s="790">
        <f ca="1">H24*Assumptions!I$17+IF(COLUMN(H47)&lt;=6+Assumptions!$H65,0,OFFSET(H47,,-Assumptions!$H65))</f>
        <v>0</v>
      </c>
      <c r="I47" s="790">
        <f ca="1">I24*Assumptions!J$17+IF(COLUMN(I47)&lt;=6+Assumptions!$H65,0,OFFSET(I47,,-Assumptions!$H65))</f>
        <v>0</v>
      </c>
      <c r="J47" s="790">
        <f ca="1">J24*Assumptions!K$17+IF(COLUMN(J47)&lt;=6+Assumptions!$H65,0,OFFSET(J47,,-Assumptions!$H65))</f>
        <v>0</v>
      </c>
      <c r="K47" s="791">
        <f ca="1">K24*Assumptions!L$17+IF(COLUMN(K47)&lt;=6+Assumptions!$H65,0,OFFSET(K47,,-Assumptions!$H65))</f>
        <v>0</v>
      </c>
      <c r="L47" s="562">
        <f ca="1">L24*Assumptions!M$17+IF(COLUMN(L47)&lt;=6+Assumptions!$H65,0,OFFSET(L47,,-Assumptions!$H65))</f>
        <v>0</v>
      </c>
      <c r="M47" s="562">
        <f ca="1">M24*Assumptions!N$17+IF(COLUMN(M47)&lt;=6+Assumptions!$H65,0,OFFSET(M47,,-Assumptions!$H65))</f>
        <v>0</v>
      </c>
      <c r="N47" s="562">
        <f ca="1">N24*Assumptions!O$17+IF(COLUMN(N47)&lt;=6+Assumptions!$H65,0,OFFSET(N47,,-Assumptions!$H65))</f>
        <v>0</v>
      </c>
      <c r="O47" s="562">
        <f ca="1">O24*Assumptions!P$17+IF(COLUMN(O47)&lt;=6+Assumptions!$H65,0,OFFSET(O47,,-Assumptions!$H65))</f>
        <v>0</v>
      </c>
      <c r="P47" s="562">
        <f ca="1">P24*Assumptions!Q$17+IF(COLUMN(P47)&lt;=6+Assumptions!$H65,0,OFFSET(P47,,-Assumptions!$H65))</f>
        <v>0</v>
      </c>
      <c r="Q47" s="562">
        <f ca="1">Q24*Assumptions!R$17+IF(COLUMN(Q47)&lt;=6+Assumptions!$H65,0,OFFSET(Q47,,-Assumptions!$H65))</f>
        <v>0</v>
      </c>
      <c r="R47" s="562">
        <f ca="1">R24*Assumptions!S$17+IF(COLUMN(R47)&lt;=6+Assumptions!$H65,0,OFFSET(R47,,-Assumptions!$H65))</f>
        <v>0</v>
      </c>
      <c r="S47" s="562">
        <f ca="1">S24*Assumptions!T$17+IF(COLUMN(S47)&lt;=6+Assumptions!$H65,0,OFFSET(S47,,-Assumptions!$H65))</f>
        <v>0</v>
      </c>
      <c r="T47" s="562">
        <f ca="1">T24*Assumptions!U$17+IF(COLUMN(T47)&lt;=6+Assumptions!$H65,0,OFFSET(T47,,-Assumptions!$H65))</f>
        <v>0</v>
      </c>
      <c r="U47" s="562">
        <f ca="1">U24*Assumptions!V$17+IF(COLUMN(U47)&lt;=6+Assumptions!$H65,0,OFFSET(U47,,-Assumptions!$H65))</f>
        <v>0</v>
      </c>
      <c r="V47" s="562">
        <f ca="1">V24*Assumptions!W$17+IF(COLUMN(V47)&lt;=6+Assumptions!$H65,0,OFFSET(V47,,-Assumptions!$H65))</f>
        <v>0</v>
      </c>
      <c r="W47" s="562">
        <f ca="1">W24*Assumptions!X$17+IF(COLUMN(W47)&lt;=6+Assumptions!$H65,0,OFFSET(W47,,-Assumptions!$H65))</f>
        <v>0</v>
      </c>
      <c r="X47" s="562">
        <f ca="1">X24*Assumptions!Y$17+IF(COLUMN(X47)&lt;=6+Assumptions!$H65,0,OFFSET(X47,,-Assumptions!$H65))</f>
        <v>0</v>
      </c>
      <c r="Y47" s="562">
        <f ca="1">Y24*Assumptions!Z$17+IF(COLUMN(Y47)&lt;=6+Assumptions!$H65,0,OFFSET(Y47,,-Assumptions!$H65))</f>
        <v>0</v>
      </c>
      <c r="Z47" s="562">
        <f ca="1">Z24*Assumptions!AA$17+IF(COLUMN(Z47)&lt;=6+Assumptions!$H65,0,OFFSET(Z47,,-Assumptions!$H65))</f>
        <v>0</v>
      </c>
      <c r="AA47" s="562">
        <f ca="1">AA24*Assumptions!AB$17+IF(COLUMN(AA47)&lt;=6+Assumptions!$H65,0,OFFSET(AA47,,-Assumptions!$H65))</f>
        <v>0</v>
      </c>
    </row>
    <row r="48" spans="1:27" hidden="1" x14ac:dyDescent="0.45">
      <c r="A48" s="777"/>
      <c r="B48" s="705"/>
      <c r="C48" s="707" t="s">
        <v>114</v>
      </c>
      <c r="D48" s="707" t="str">
        <f t="shared" si="1"/>
        <v>Fruit bubble washing machine Contact www.pasenmachinery.com</v>
      </c>
      <c r="E48" s="783" t="s">
        <v>806</v>
      </c>
      <c r="F48" s="783" t="s">
        <v>645</v>
      </c>
      <c r="G48" s="790">
        <f ca="1">G25*Assumptions!H$17+IF(COLUMN(G48)&lt;=6+Assumptions!$H66,0,OFFSET(G48,,-Assumptions!$H66))</f>
        <v>61702.838063439063</v>
      </c>
      <c r="H48" s="790">
        <f ca="1">H25*Assumptions!I$17+IF(COLUMN(H48)&lt;=6+Assumptions!$H66,0,OFFSET(H48,,-Assumptions!$H66))</f>
        <v>0</v>
      </c>
      <c r="I48" s="790">
        <f ca="1">I25*Assumptions!J$17+IF(COLUMN(I48)&lt;=6+Assumptions!$H66,0,OFFSET(I48,,-Assumptions!$H66))</f>
        <v>0</v>
      </c>
      <c r="J48" s="790">
        <f ca="1">J25*Assumptions!K$17+IF(COLUMN(J48)&lt;=6+Assumptions!$H66,0,OFFSET(J48,,-Assumptions!$H66))</f>
        <v>0</v>
      </c>
      <c r="K48" s="791">
        <f ca="1">K25*Assumptions!L$17+IF(COLUMN(K48)&lt;=6+Assumptions!$H66,0,OFFSET(K48,,-Assumptions!$H66))</f>
        <v>0</v>
      </c>
      <c r="L48" s="562">
        <f ca="1">L25*Assumptions!M$17+IF(COLUMN(L48)&lt;=6+Assumptions!$H66,0,OFFSET(L48,,-Assumptions!$H66))</f>
        <v>0</v>
      </c>
      <c r="M48" s="562">
        <f ca="1">M25*Assumptions!N$17+IF(COLUMN(M48)&lt;=6+Assumptions!$H66,0,OFFSET(M48,,-Assumptions!$H66))</f>
        <v>0</v>
      </c>
      <c r="N48" s="562">
        <f ca="1">N25*Assumptions!O$17+IF(COLUMN(N48)&lt;=6+Assumptions!$H66,0,OFFSET(N48,,-Assumptions!$H66))</f>
        <v>0</v>
      </c>
      <c r="O48" s="562">
        <f ca="1">O25*Assumptions!P$17+IF(COLUMN(O48)&lt;=6+Assumptions!$H66,0,OFFSET(O48,,-Assumptions!$H66))</f>
        <v>0</v>
      </c>
      <c r="P48" s="562">
        <f ca="1">P25*Assumptions!Q$17+IF(COLUMN(P48)&lt;=6+Assumptions!$H66,0,OFFSET(P48,,-Assumptions!$H66))</f>
        <v>0</v>
      </c>
      <c r="Q48" s="562">
        <f ca="1">Q25*Assumptions!R$17+IF(COLUMN(Q48)&lt;=6+Assumptions!$H66,0,OFFSET(Q48,,-Assumptions!$H66))</f>
        <v>0</v>
      </c>
      <c r="R48" s="562">
        <f ca="1">R25*Assumptions!S$17+IF(COLUMN(R48)&lt;=6+Assumptions!$H66,0,OFFSET(R48,,-Assumptions!$H66))</f>
        <v>0</v>
      </c>
      <c r="S48" s="562">
        <f ca="1">S25*Assumptions!T$17+IF(COLUMN(S48)&lt;=6+Assumptions!$H66,0,OFFSET(S48,,-Assumptions!$H66))</f>
        <v>0</v>
      </c>
      <c r="T48" s="562">
        <f ca="1">T25*Assumptions!U$17+IF(COLUMN(T48)&lt;=6+Assumptions!$H66,0,OFFSET(T48,,-Assumptions!$H66))</f>
        <v>0</v>
      </c>
      <c r="U48" s="562">
        <f ca="1">U25*Assumptions!V$17+IF(COLUMN(U48)&lt;=6+Assumptions!$H66,0,OFFSET(U48,,-Assumptions!$H66))</f>
        <v>0</v>
      </c>
      <c r="V48" s="562">
        <f ca="1">V25*Assumptions!W$17+IF(COLUMN(V48)&lt;=6+Assumptions!$H66,0,OFFSET(V48,,-Assumptions!$H66))</f>
        <v>0</v>
      </c>
      <c r="W48" s="562">
        <f ca="1">W25*Assumptions!X$17+IF(COLUMN(W48)&lt;=6+Assumptions!$H66,0,OFFSET(W48,,-Assumptions!$H66))</f>
        <v>0</v>
      </c>
      <c r="X48" s="562">
        <f ca="1">X25*Assumptions!Y$17+IF(COLUMN(X48)&lt;=6+Assumptions!$H66,0,OFFSET(X48,,-Assumptions!$H66))</f>
        <v>0</v>
      </c>
      <c r="Y48" s="562">
        <f ca="1">Y25*Assumptions!Z$17+IF(COLUMN(Y48)&lt;=6+Assumptions!$H66,0,OFFSET(Y48,,-Assumptions!$H66))</f>
        <v>0</v>
      </c>
      <c r="Z48" s="562">
        <f ca="1">Z25*Assumptions!AA$17+IF(COLUMN(Z48)&lt;=6+Assumptions!$H66,0,OFFSET(Z48,,-Assumptions!$H66))</f>
        <v>0</v>
      </c>
      <c r="AA48" s="562">
        <f ca="1">AA25*Assumptions!AB$17+IF(COLUMN(AA48)&lt;=6+Assumptions!$H66,0,OFFSET(AA48,,-Assumptions!$H66))</f>
        <v>0</v>
      </c>
    </row>
    <row r="49" spans="1:27" hidden="1" x14ac:dyDescent="0.45">
      <c r="A49" s="777"/>
      <c r="B49" s="705"/>
      <c r="C49" s="707" t="s">
        <v>114</v>
      </c>
      <c r="D49" s="707" t="str">
        <f t="shared" si="1"/>
        <v>Depulping tables</v>
      </c>
      <c r="E49" s="783" t="s">
        <v>806</v>
      </c>
      <c r="F49" s="783" t="s">
        <v>645</v>
      </c>
      <c r="G49" s="790">
        <f ca="1">G26*Assumptions!H$17+IF(COLUMN(G49)&lt;=6+Assumptions!$H67,0,OFFSET(G49,,-Assumptions!$H67))</f>
        <v>13939.151919866445</v>
      </c>
      <c r="H49" s="790">
        <f ca="1">H26*Assumptions!I$17+IF(COLUMN(H49)&lt;=6+Assumptions!$H67,0,OFFSET(H49,,-Assumptions!$H67))</f>
        <v>0</v>
      </c>
      <c r="I49" s="790">
        <f ca="1">I26*Assumptions!J$17+IF(COLUMN(I49)&lt;=6+Assumptions!$H67,0,OFFSET(I49,,-Assumptions!$H67))</f>
        <v>0</v>
      </c>
      <c r="J49" s="790">
        <f ca="1">J26*Assumptions!K$17+IF(COLUMN(J49)&lt;=6+Assumptions!$H67,0,OFFSET(J49,,-Assumptions!$H67))</f>
        <v>0</v>
      </c>
      <c r="K49" s="791">
        <f ca="1">K26*Assumptions!L$17+IF(COLUMN(K49)&lt;=6+Assumptions!$H67,0,OFFSET(K49,,-Assumptions!$H67))</f>
        <v>0</v>
      </c>
      <c r="L49" s="562">
        <f ca="1">L26*Assumptions!M$17+IF(COLUMN(L49)&lt;=6+Assumptions!$H67,0,OFFSET(L49,,-Assumptions!$H67))</f>
        <v>0</v>
      </c>
      <c r="M49" s="562">
        <f ca="1">M26*Assumptions!N$17+IF(COLUMN(M49)&lt;=6+Assumptions!$H67,0,OFFSET(M49,,-Assumptions!$H67))</f>
        <v>0</v>
      </c>
      <c r="N49" s="562">
        <f ca="1">N26*Assumptions!O$17+IF(COLUMN(N49)&lt;=6+Assumptions!$H67,0,OFFSET(N49,,-Assumptions!$H67))</f>
        <v>0</v>
      </c>
      <c r="O49" s="562">
        <f ca="1">O26*Assumptions!P$17+IF(COLUMN(O49)&lt;=6+Assumptions!$H67,0,OFFSET(O49,,-Assumptions!$H67))</f>
        <v>0</v>
      </c>
      <c r="P49" s="562">
        <f ca="1">P26*Assumptions!Q$17+IF(COLUMN(P49)&lt;=6+Assumptions!$H67,0,OFFSET(P49,,-Assumptions!$H67))</f>
        <v>0</v>
      </c>
      <c r="Q49" s="562">
        <f ca="1">Q26*Assumptions!R$17+IF(COLUMN(Q49)&lt;=6+Assumptions!$H67,0,OFFSET(Q49,,-Assumptions!$H67))</f>
        <v>0</v>
      </c>
      <c r="R49" s="562">
        <f ca="1">R26*Assumptions!S$17+IF(COLUMN(R49)&lt;=6+Assumptions!$H67,0,OFFSET(R49,,-Assumptions!$H67))</f>
        <v>0</v>
      </c>
      <c r="S49" s="562">
        <f ca="1">S26*Assumptions!T$17+IF(COLUMN(S49)&lt;=6+Assumptions!$H67,0,OFFSET(S49,,-Assumptions!$H67))</f>
        <v>0</v>
      </c>
      <c r="T49" s="562">
        <f ca="1">T26*Assumptions!U$17+IF(COLUMN(T49)&lt;=6+Assumptions!$H67,0,OFFSET(T49,,-Assumptions!$H67))</f>
        <v>0</v>
      </c>
      <c r="U49" s="562">
        <f ca="1">U26*Assumptions!V$17+IF(COLUMN(U49)&lt;=6+Assumptions!$H67,0,OFFSET(U49,,-Assumptions!$H67))</f>
        <v>0</v>
      </c>
      <c r="V49" s="562">
        <f ca="1">V26*Assumptions!W$17+IF(COLUMN(V49)&lt;=6+Assumptions!$H67,0,OFFSET(V49,,-Assumptions!$H67))</f>
        <v>0</v>
      </c>
      <c r="W49" s="562">
        <f ca="1">W26*Assumptions!X$17+IF(COLUMN(W49)&lt;=6+Assumptions!$H67,0,OFFSET(W49,,-Assumptions!$H67))</f>
        <v>0</v>
      </c>
      <c r="X49" s="562">
        <f ca="1">X26*Assumptions!Y$17+IF(COLUMN(X49)&lt;=6+Assumptions!$H67,0,OFFSET(X49,,-Assumptions!$H67))</f>
        <v>0</v>
      </c>
      <c r="Y49" s="562">
        <f ca="1">Y26*Assumptions!Z$17+IF(COLUMN(Y49)&lt;=6+Assumptions!$H67,0,OFFSET(Y49,,-Assumptions!$H67))</f>
        <v>0</v>
      </c>
      <c r="Z49" s="562">
        <f ca="1">Z26*Assumptions!AA$17+IF(COLUMN(Z49)&lt;=6+Assumptions!$H67,0,OFFSET(Z49,,-Assumptions!$H67))</f>
        <v>0</v>
      </c>
      <c r="AA49" s="562">
        <f ca="1">AA26*Assumptions!AB$17+IF(COLUMN(AA49)&lt;=6+Assumptions!$H67,0,OFFSET(AA49,,-Assumptions!$H67))</f>
        <v>0</v>
      </c>
    </row>
    <row r="50" spans="1:27" hidden="1" x14ac:dyDescent="0.45">
      <c r="A50" s="777"/>
      <c r="B50" s="705"/>
      <c r="C50" s="707" t="s">
        <v>114</v>
      </c>
      <c r="D50" s="707" t="str">
        <f t="shared" si="1"/>
        <v>Steamer</v>
      </c>
      <c r="E50" s="783" t="s">
        <v>806</v>
      </c>
      <c r="F50" s="783" t="s">
        <v>648</v>
      </c>
      <c r="G50" s="790">
        <f ca="1">G27*Assumptions!H$17+IF(COLUMN(G50)&lt;=6+Assumptions!$H68,0,OFFSET(G50,,-Assumptions!$H68))</f>
        <v>72120.200333889821</v>
      </c>
      <c r="H50" s="790">
        <f ca="1">H27*Assumptions!I$17+IF(COLUMN(H50)&lt;=6+Assumptions!$H68,0,OFFSET(H50,,-Assumptions!$H68))</f>
        <v>0</v>
      </c>
      <c r="I50" s="790">
        <f ca="1">I27*Assumptions!J$17+IF(COLUMN(I50)&lt;=6+Assumptions!$H68,0,OFFSET(I50,,-Assumptions!$H68))</f>
        <v>0</v>
      </c>
      <c r="J50" s="790">
        <f ca="1">J27*Assumptions!K$17+IF(COLUMN(J50)&lt;=6+Assumptions!$H68,0,OFFSET(J50,,-Assumptions!$H68))</f>
        <v>0</v>
      </c>
      <c r="K50" s="791">
        <f ca="1">K27*Assumptions!L$17+IF(COLUMN(K50)&lt;=6+Assumptions!$H68,0,OFFSET(K50,,-Assumptions!$H68))</f>
        <v>0</v>
      </c>
      <c r="L50" s="562">
        <f ca="1">L27*Assumptions!M$17+IF(COLUMN(L50)&lt;=6+Assumptions!$H68,0,OFFSET(L50,,-Assumptions!$H68))</f>
        <v>0</v>
      </c>
      <c r="M50" s="562">
        <f ca="1">M27*Assumptions!N$17+IF(COLUMN(M50)&lt;=6+Assumptions!$H68,0,OFFSET(M50,,-Assumptions!$H68))</f>
        <v>0</v>
      </c>
      <c r="N50" s="562">
        <f ca="1">N27*Assumptions!O$17+IF(COLUMN(N50)&lt;=6+Assumptions!$H68,0,OFFSET(N50,,-Assumptions!$H68))</f>
        <v>0</v>
      </c>
      <c r="O50" s="562">
        <f ca="1">O27*Assumptions!P$17+IF(COLUMN(O50)&lt;=6+Assumptions!$H68,0,OFFSET(O50,,-Assumptions!$H68))</f>
        <v>0</v>
      </c>
      <c r="P50" s="562">
        <f ca="1">P27*Assumptions!Q$17+IF(COLUMN(P50)&lt;=6+Assumptions!$H68,0,OFFSET(P50,,-Assumptions!$H68))</f>
        <v>0</v>
      </c>
      <c r="Q50" s="562">
        <f ca="1">Q27*Assumptions!R$17+IF(COLUMN(Q50)&lt;=6+Assumptions!$H68,0,OFFSET(Q50,,-Assumptions!$H68))</f>
        <v>0</v>
      </c>
      <c r="R50" s="562">
        <f ca="1">R27*Assumptions!S$17+IF(COLUMN(R50)&lt;=6+Assumptions!$H68,0,OFFSET(R50,,-Assumptions!$H68))</f>
        <v>0</v>
      </c>
      <c r="S50" s="562">
        <f ca="1">S27*Assumptions!T$17+IF(COLUMN(S50)&lt;=6+Assumptions!$H68,0,OFFSET(S50,,-Assumptions!$H68))</f>
        <v>0</v>
      </c>
      <c r="T50" s="562">
        <f ca="1">T27*Assumptions!U$17+IF(COLUMN(T50)&lt;=6+Assumptions!$H68,0,OFFSET(T50,,-Assumptions!$H68))</f>
        <v>0</v>
      </c>
      <c r="U50" s="562">
        <f ca="1">U27*Assumptions!V$17+IF(COLUMN(U50)&lt;=6+Assumptions!$H68,0,OFFSET(U50,,-Assumptions!$H68))</f>
        <v>0</v>
      </c>
      <c r="V50" s="562">
        <f ca="1">V27*Assumptions!W$17+IF(COLUMN(V50)&lt;=6+Assumptions!$H68,0,OFFSET(V50,,-Assumptions!$H68))</f>
        <v>0</v>
      </c>
      <c r="W50" s="562">
        <f ca="1">W27*Assumptions!X$17+IF(COLUMN(W50)&lt;=6+Assumptions!$H68,0,OFFSET(W50,,-Assumptions!$H68))</f>
        <v>0</v>
      </c>
      <c r="X50" s="562">
        <f ca="1">X27*Assumptions!Y$17+IF(COLUMN(X50)&lt;=6+Assumptions!$H68,0,OFFSET(X50,,-Assumptions!$H68))</f>
        <v>0</v>
      </c>
      <c r="Y50" s="562">
        <f ca="1">Y27*Assumptions!Z$17+IF(COLUMN(Y50)&lt;=6+Assumptions!$H68,0,OFFSET(Y50,,-Assumptions!$H68))</f>
        <v>0</v>
      </c>
      <c r="Z50" s="562">
        <f ca="1">Z27*Assumptions!AA$17+IF(COLUMN(Z50)&lt;=6+Assumptions!$H68,0,OFFSET(Z50,,-Assumptions!$H68))</f>
        <v>0</v>
      </c>
      <c r="AA50" s="562">
        <f ca="1">AA27*Assumptions!AB$17+IF(COLUMN(AA50)&lt;=6+Assumptions!$H68,0,OFFSET(AA50,,-Assumptions!$H68))</f>
        <v>0</v>
      </c>
    </row>
    <row r="51" spans="1:27" hidden="1" x14ac:dyDescent="0.45">
      <c r="A51" s="777"/>
      <c r="B51" s="705"/>
      <c r="C51" s="707" t="s">
        <v>114</v>
      </c>
      <c r="D51" s="707" t="str">
        <f t="shared" si="1"/>
        <v>Hangar dryer</v>
      </c>
      <c r="E51" s="783" t="s">
        <v>806</v>
      </c>
      <c r="F51" s="783" t="s">
        <v>647</v>
      </c>
      <c r="G51" s="790">
        <f ca="1">G28*Assumptions!H$17+IF(COLUMN(G51)&lt;=6+Assumptions!$H69,0,OFFSET(G51,,-Assumptions!$H69))</f>
        <v>88146.911519198664</v>
      </c>
      <c r="H51" s="790">
        <f ca="1">H28*Assumptions!I$17+IF(COLUMN(H51)&lt;=6+Assumptions!$H69,0,OFFSET(H51,,-Assumptions!$H69))</f>
        <v>0</v>
      </c>
      <c r="I51" s="790">
        <f ca="1">I28*Assumptions!J$17+IF(COLUMN(I51)&lt;=6+Assumptions!$H69,0,OFFSET(I51,,-Assumptions!$H69))</f>
        <v>0</v>
      </c>
      <c r="J51" s="790">
        <f ca="1">J28*Assumptions!K$17+IF(COLUMN(J51)&lt;=6+Assumptions!$H69,0,OFFSET(J51,,-Assumptions!$H69))</f>
        <v>0</v>
      </c>
      <c r="K51" s="791">
        <f ca="1">K28*Assumptions!L$17+IF(COLUMN(K51)&lt;=6+Assumptions!$H69,0,OFFSET(K51,,-Assumptions!$H69))</f>
        <v>0</v>
      </c>
      <c r="L51" s="562">
        <f ca="1">L28*Assumptions!M$17+IF(COLUMN(L51)&lt;=6+Assumptions!$H69,0,OFFSET(L51,,-Assumptions!$H69))</f>
        <v>0</v>
      </c>
      <c r="M51" s="562">
        <f ca="1">M28*Assumptions!N$17+IF(COLUMN(M51)&lt;=6+Assumptions!$H69,0,OFFSET(M51,,-Assumptions!$H69))</f>
        <v>0</v>
      </c>
      <c r="N51" s="562">
        <f ca="1">N28*Assumptions!O$17+IF(COLUMN(N51)&lt;=6+Assumptions!$H69,0,OFFSET(N51,,-Assumptions!$H69))</f>
        <v>0</v>
      </c>
      <c r="O51" s="562">
        <f ca="1">O28*Assumptions!P$17+IF(COLUMN(O51)&lt;=6+Assumptions!$H69,0,OFFSET(O51,,-Assumptions!$H69))</f>
        <v>0</v>
      </c>
      <c r="P51" s="562">
        <f ca="1">P28*Assumptions!Q$17+IF(COLUMN(P51)&lt;=6+Assumptions!$H69,0,OFFSET(P51,,-Assumptions!$H69))</f>
        <v>0</v>
      </c>
      <c r="Q51" s="562">
        <f ca="1">Q28*Assumptions!R$17+IF(COLUMN(Q51)&lt;=6+Assumptions!$H69,0,OFFSET(Q51,,-Assumptions!$H69))</f>
        <v>0</v>
      </c>
      <c r="R51" s="562">
        <f ca="1">R28*Assumptions!S$17+IF(COLUMN(R51)&lt;=6+Assumptions!$H69,0,OFFSET(R51,,-Assumptions!$H69))</f>
        <v>0</v>
      </c>
      <c r="S51" s="562">
        <f ca="1">S28*Assumptions!T$17+IF(COLUMN(S51)&lt;=6+Assumptions!$H69,0,OFFSET(S51,,-Assumptions!$H69))</f>
        <v>0</v>
      </c>
      <c r="T51" s="562">
        <f ca="1">T28*Assumptions!U$17+IF(COLUMN(T51)&lt;=6+Assumptions!$H69,0,OFFSET(T51,,-Assumptions!$H69))</f>
        <v>0</v>
      </c>
      <c r="U51" s="562">
        <f ca="1">U28*Assumptions!V$17+IF(COLUMN(U51)&lt;=6+Assumptions!$H69,0,OFFSET(U51,,-Assumptions!$H69))</f>
        <v>0</v>
      </c>
      <c r="V51" s="562">
        <f ca="1">V28*Assumptions!W$17+IF(COLUMN(V51)&lt;=6+Assumptions!$H69,0,OFFSET(V51,,-Assumptions!$H69))</f>
        <v>0</v>
      </c>
      <c r="W51" s="562">
        <f ca="1">W28*Assumptions!X$17+IF(COLUMN(W51)&lt;=6+Assumptions!$H69,0,OFFSET(W51,,-Assumptions!$H69))</f>
        <v>0</v>
      </c>
      <c r="X51" s="562">
        <f ca="1">X28*Assumptions!Y$17+IF(COLUMN(X51)&lt;=6+Assumptions!$H69,0,OFFSET(X51,,-Assumptions!$H69))</f>
        <v>0</v>
      </c>
      <c r="Y51" s="562">
        <f ca="1">Y28*Assumptions!Z$17+IF(COLUMN(Y51)&lt;=6+Assumptions!$H69,0,OFFSET(Y51,,-Assumptions!$H69))</f>
        <v>0</v>
      </c>
      <c r="Z51" s="562">
        <f ca="1">Z28*Assumptions!AA$17+IF(COLUMN(Z51)&lt;=6+Assumptions!$H69,0,OFFSET(Z51,,-Assumptions!$H69))</f>
        <v>0</v>
      </c>
      <c r="AA51" s="562">
        <f ca="1">AA28*Assumptions!AB$17+IF(COLUMN(AA51)&lt;=6+Assumptions!$H69,0,OFFSET(AA51,,-Assumptions!$H69))</f>
        <v>0</v>
      </c>
    </row>
    <row r="52" spans="1:27" hidden="1" x14ac:dyDescent="0.45">
      <c r="A52" s="777"/>
      <c r="B52" s="705"/>
      <c r="C52" s="707" t="s">
        <v>114</v>
      </c>
      <c r="D52" s="707" t="str">
        <f t="shared" si="1"/>
        <v>Shelling machine,  Henan My Only Food Machine Co., Ltd.</v>
      </c>
      <c r="E52" s="783" t="s">
        <v>806</v>
      </c>
      <c r="F52" s="783" t="s">
        <v>482</v>
      </c>
      <c r="G52" s="790">
        <f ca="1">G29*Assumptions!H$17+IF(COLUMN(G52)&lt;=6+Assumptions!$H70,0,OFFSET(G52,,-Assumptions!$H70))</f>
        <v>67312.186978297163</v>
      </c>
      <c r="H52" s="790">
        <f ca="1">H29*Assumptions!I$17+IF(COLUMN(H52)&lt;=6+Assumptions!$H70,0,OFFSET(H52,,-Assumptions!$H70))</f>
        <v>0</v>
      </c>
      <c r="I52" s="790">
        <f ca="1">I29*Assumptions!J$17+IF(COLUMN(I52)&lt;=6+Assumptions!$H70,0,OFFSET(I52,,-Assumptions!$H70))</f>
        <v>0</v>
      </c>
      <c r="J52" s="790">
        <f ca="1">J29*Assumptions!K$17+IF(COLUMN(J52)&lt;=6+Assumptions!$H70,0,OFFSET(J52,,-Assumptions!$H70))</f>
        <v>0</v>
      </c>
      <c r="K52" s="791">
        <f ca="1">K29*Assumptions!L$17+IF(COLUMN(K52)&lt;=6+Assumptions!$H70,0,OFFSET(K52,,-Assumptions!$H70))</f>
        <v>0</v>
      </c>
      <c r="L52" s="562">
        <f ca="1">L29*Assumptions!M$17+IF(COLUMN(L52)&lt;=6+Assumptions!$H70,0,OFFSET(L52,,-Assumptions!$H70))</f>
        <v>0</v>
      </c>
      <c r="M52" s="562">
        <f ca="1">M29*Assumptions!N$17+IF(COLUMN(M52)&lt;=6+Assumptions!$H70,0,OFFSET(M52,,-Assumptions!$H70))</f>
        <v>0</v>
      </c>
      <c r="N52" s="562">
        <f ca="1">N29*Assumptions!O$17+IF(COLUMN(N52)&lt;=6+Assumptions!$H70,0,OFFSET(N52,,-Assumptions!$H70))</f>
        <v>0</v>
      </c>
      <c r="O52" s="562">
        <f ca="1">O29*Assumptions!P$17+IF(COLUMN(O52)&lt;=6+Assumptions!$H70,0,OFFSET(O52,,-Assumptions!$H70))</f>
        <v>0</v>
      </c>
      <c r="P52" s="562">
        <f ca="1">P29*Assumptions!Q$17+IF(COLUMN(P52)&lt;=6+Assumptions!$H70,0,OFFSET(P52,,-Assumptions!$H70))</f>
        <v>0</v>
      </c>
      <c r="Q52" s="562">
        <f ca="1">Q29*Assumptions!R$17+IF(COLUMN(Q52)&lt;=6+Assumptions!$H70,0,OFFSET(Q52,,-Assumptions!$H70))</f>
        <v>0</v>
      </c>
      <c r="R52" s="562">
        <f ca="1">R29*Assumptions!S$17+IF(COLUMN(R52)&lt;=6+Assumptions!$H70,0,OFFSET(R52,,-Assumptions!$H70))</f>
        <v>0</v>
      </c>
      <c r="S52" s="562">
        <f ca="1">S29*Assumptions!T$17+IF(COLUMN(S52)&lt;=6+Assumptions!$H70,0,OFFSET(S52,,-Assumptions!$H70))</f>
        <v>0</v>
      </c>
      <c r="T52" s="562">
        <f ca="1">T29*Assumptions!U$17+IF(COLUMN(T52)&lt;=6+Assumptions!$H70,0,OFFSET(T52,,-Assumptions!$H70))</f>
        <v>0</v>
      </c>
      <c r="U52" s="562">
        <f ca="1">U29*Assumptions!V$17+IF(COLUMN(U52)&lt;=6+Assumptions!$H70,0,OFFSET(U52,,-Assumptions!$H70))</f>
        <v>0</v>
      </c>
      <c r="V52" s="562">
        <f ca="1">V29*Assumptions!W$17+IF(COLUMN(V52)&lt;=6+Assumptions!$H70,0,OFFSET(V52,,-Assumptions!$H70))</f>
        <v>0</v>
      </c>
      <c r="W52" s="562">
        <f ca="1">W29*Assumptions!X$17+IF(COLUMN(W52)&lt;=6+Assumptions!$H70,0,OFFSET(W52,,-Assumptions!$H70))</f>
        <v>0</v>
      </c>
      <c r="X52" s="562">
        <f ca="1">X29*Assumptions!Y$17+IF(COLUMN(X52)&lt;=6+Assumptions!$H70,0,OFFSET(X52,,-Assumptions!$H70))</f>
        <v>0</v>
      </c>
      <c r="Y52" s="562">
        <f ca="1">Y29*Assumptions!Z$17+IF(COLUMN(Y52)&lt;=6+Assumptions!$H70,0,OFFSET(Y52,,-Assumptions!$H70))</f>
        <v>0</v>
      </c>
      <c r="Z52" s="562">
        <f ca="1">Z29*Assumptions!AA$17+IF(COLUMN(Z52)&lt;=6+Assumptions!$H70,0,OFFSET(Z52,,-Assumptions!$H70))</f>
        <v>0</v>
      </c>
      <c r="AA52" s="562">
        <f ca="1">AA29*Assumptions!AB$17+IF(COLUMN(AA52)&lt;=6+Assumptions!$H70,0,OFFSET(AA52,,-Assumptions!$H70))</f>
        <v>0</v>
      </c>
    </row>
    <row r="53" spans="1:27" hidden="1" x14ac:dyDescent="0.45">
      <c r="A53" s="777"/>
      <c r="B53" s="705"/>
      <c r="C53" s="707" t="s">
        <v>114</v>
      </c>
      <c r="D53" s="707" t="str">
        <f t="shared" si="1"/>
        <v xml:space="preserve">Almond Packaging </v>
      </c>
      <c r="E53" s="783" t="s">
        <v>806</v>
      </c>
      <c r="F53" s="783" t="s">
        <v>646</v>
      </c>
      <c r="G53" s="790">
        <f ca="1">G30*Assumptions!H$17+IF(COLUMN(G53)&lt;=6+Assumptions!$H71,0,OFFSET(G53,,-Assumptions!$H71))</f>
        <v>8013.3555926544241</v>
      </c>
      <c r="H53" s="790">
        <f ca="1">H30*Assumptions!I$17+IF(COLUMN(H53)&lt;=6+Assumptions!$H71,0,OFFSET(H53,,-Assumptions!$H71))</f>
        <v>0</v>
      </c>
      <c r="I53" s="790">
        <f ca="1">I30*Assumptions!J$17+IF(COLUMN(I53)&lt;=6+Assumptions!$H71,0,OFFSET(I53,,-Assumptions!$H71))</f>
        <v>0</v>
      </c>
      <c r="J53" s="790">
        <f ca="1">J30*Assumptions!K$17+IF(COLUMN(J53)&lt;=6+Assumptions!$H71,0,OFFSET(J53,,-Assumptions!$H71))</f>
        <v>0</v>
      </c>
      <c r="K53" s="791">
        <f ca="1">K30*Assumptions!L$17+IF(COLUMN(K53)&lt;=6+Assumptions!$H71,0,OFFSET(K53,,-Assumptions!$H71))</f>
        <v>0</v>
      </c>
      <c r="L53" s="562">
        <f ca="1">L30*Assumptions!M$17+IF(COLUMN(L53)&lt;=6+Assumptions!$H71,0,OFFSET(L53,,-Assumptions!$H71))</f>
        <v>0</v>
      </c>
      <c r="M53" s="562">
        <f ca="1">M30*Assumptions!N$17+IF(COLUMN(M53)&lt;=6+Assumptions!$H71,0,OFFSET(M53,,-Assumptions!$H71))</f>
        <v>0</v>
      </c>
      <c r="N53" s="562">
        <f ca="1">N30*Assumptions!O$17+IF(COLUMN(N53)&lt;=6+Assumptions!$H71,0,OFFSET(N53,,-Assumptions!$H71))</f>
        <v>0</v>
      </c>
      <c r="O53" s="562">
        <f ca="1">O30*Assumptions!P$17+IF(COLUMN(O53)&lt;=6+Assumptions!$H71,0,OFFSET(O53,,-Assumptions!$H71))</f>
        <v>0</v>
      </c>
      <c r="P53" s="562">
        <f ca="1">P30*Assumptions!Q$17+IF(COLUMN(P53)&lt;=6+Assumptions!$H71,0,OFFSET(P53,,-Assumptions!$H71))</f>
        <v>0</v>
      </c>
      <c r="Q53" s="562">
        <f ca="1">Q30*Assumptions!R$17+IF(COLUMN(Q53)&lt;=6+Assumptions!$H71,0,OFFSET(Q53,,-Assumptions!$H71))</f>
        <v>0</v>
      </c>
      <c r="R53" s="562">
        <f ca="1">R30*Assumptions!S$17+IF(COLUMN(R53)&lt;=6+Assumptions!$H71,0,OFFSET(R53,,-Assumptions!$H71))</f>
        <v>0</v>
      </c>
      <c r="S53" s="562">
        <f ca="1">S30*Assumptions!T$17+IF(COLUMN(S53)&lt;=6+Assumptions!$H71,0,OFFSET(S53,,-Assumptions!$H71))</f>
        <v>0</v>
      </c>
      <c r="T53" s="562">
        <f ca="1">T30*Assumptions!U$17+IF(COLUMN(T53)&lt;=6+Assumptions!$H71,0,OFFSET(T53,,-Assumptions!$H71))</f>
        <v>0</v>
      </c>
      <c r="U53" s="562">
        <f ca="1">U30*Assumptions!V$17+IF(COLUMN(U53)&lt;=6+Assumptions!$H71,0,OFFSET(U53,,-Assumptions!$H71))</f>
        <v>0</v>
      </c>
      <c r="V53" s="562">
        <f ca="1">V30*Assumptions!W$17+IF(COLUMN(V53)&lt;=6+Assumptions!$H71,0,OFFSET(V53,,-Assumptions!$H71))</f>
        <v>0</v>
      </c>
      <c r="W53" s="562">
        <f ca="1">W30*Assumptions!X$17+IF(COLUMN(W53)&lt;=6+Assumptions!$H71,0,OFFSET(W53,,-Assumptions!$H71))</f>
        <v>0</v>
      </c>
      <c r="X53" s="562">
        <f ca="1">X30*Assumptions!Y$17+IF(COLUMN(X53)&lt;=6+Assumptions!$H71,0,OFFSET(X53,,-Assumptions!$H71))</f>
        <v>0</v>
      </c>
      <c r="Y53" s="562">
        <f ca="1">Y30*Assumptions!Z$17+IF(COLUMN(Y53)&lt;=6+Assumptions!$H71,0,OFFSET(Y53,,-Assumptions!$H71))</f>
        <v>0</v>
      </c>
      <c r="Z53" s="562">
        <f ca="1">Z30*Assumptions!AA$17+IF(COLUMN(Z53)&lt;=6+Assumptions!$H71,0,OFFSET(Z53,,-Assumptions!$H71))</f>
        <v>0</v>
      </c>
      <c r="AA53" s="562">
        <f ca="1">AA30*Assumptions!AB$17+IF(COLUMN(AA53)&lt;=6+Assumptions!$H71,0,OFFSET(AA53,,-Assumptions!$H71))</f>
        <v>0</v>
      </c>
    </row>
    <row r="54" spans="1:27" hidden="1" x14ac:dyDescent="0.45">
      <c r="A54" s="777"/>
      <c r="B54" s="705"/>
      <c r="C54" s="707" t="s">
        <v>114</v>
      </c>
      <c r="D54" s="707" t="str">
        <f t="shared" si="1"/>
        <v>Pulp dryer</v>
      </c>
      <c r="E54" s="783" t="s">
        <v>806</v>
      </c>
      <c r="F54" s="783" t="s">
        <v>645</v>
      </c>
      <c r="G54" s="790">
        <f ca="1">G31*Assumptions!H$17+IF(COLUMN(G54)&lt;=6+Assumptions!$H72,0,OFFSET(G54,,-Assumptions!$H72))</f>
        <v>480801.33555926546</v>
      </c>
      <c r="H54" s="790">
        <f ca="1">H31*Assumptions!I$17+IF(COLUMN(H54)&lt;=6+Assumptions!$H72,0,OFFSET(H54,,-Assumptions!$H72))</f>
        <v>0</v>
      </c>
      <c r="I54" s="790">
        <f ca="1">I31*Assumptions!J$17+IF(COLUMN(I54)&lt;=6+Assumptions!$H72,0,OFFSET(I54,,-Assumptions!$H72))</f>
        <v>0</v>
      </c>
      <c r="J54" s="790">
        <f ca="1">J31*Assumptions!K$17+IF(COLUMN(J54)&lt;=6+Assumptions!$H72,0,OFFSET(J54,,-Assumptions!$H72))</f>
        <v>0</v>
      </c>
      <c r="K54" s="791">
        <f ca="1">K31*Assumptions!L$17+IF(COLUMN(K54)&lt;=6+Assumptions!$H72,0,OFFSET(K54,,-Assumptions!$H72))</f>
        <v>0</v>
      </c>
      <c r="L54" s="562">
        <f ca="1">L31*Assumptions!M$17+IF(COLUMN(L54)&lt;=6+Assumptions!$H72,0,OFFSET(L54,,-Assumptions!$H72))</f>
        <v>0</v>
      </c>
      <c r="M54" s="562">
        <f ca="1">M31*Assumptions!N$17+IF(COLUMN(M54)&lt;=6+Assumptions!$H72,0,OFFSET(M54,,-Assumptions!$H72))</f>
        <v>0</v>
      </c>
      <c r="N54" s="562">
        <f ca="1">N31*Assumptions!O$17+IF(COLUMN(N54)&lt;=6+Assumptions!$H72,0,OFFSET(N54,,-Assumptions!$H72))</f>
        <v>0</v>
      </c>
      <c r="O54" s="562">
        <f ca="1">O31*Assumptions!P$17+IF(COLUMN(O54)&lt;=6+Assumptions!$H72,0,OFFSET(O54,,-Assumptions!$H72))</f>
        <v>0</v>
      </c>
      <c r="P54" s="562">
        <f ca="1">P31*Assumptions!Q$17+IF(COLUMN(P54)&lt;=6+Assumptions!$H72,0,OFFSET(P54,,-Assumptions!$H72))</f>
        <v>0</v>
      </c>
      <c r="Q54" s="562">
        <f ca="1">Q31*Assumptions!R$17+IF(COLUMN(Q54)&lt;=6+Assumptions!$H72,0,OFFSET(Q54,,-Assumptions!$H72))</f>
        <v>0</v>
      </c>
      <c r="R54" s="562">
        <f ca="1">R31*Assumptions!S$17+IF(COLUMN(R54)&lt;=6+Assumptions!$H72,0,OFFSET(R54,,-Assumptions!$H72))</f>
        <v>0</v>
      </c>
      <c r="S54" s="562">
        <f ca="1">S31*Assumptions!T$17+IF(COLUMN(S54)&lt;=6+Assumptions!$H72,0,OFFSET(S54,,-Assumptions!$H72))</f>
        <v>0</v>
      </c>
      <c r="T54" s="562">
        <f ca="1">T31*Assumptions!U$17+IF(COLUMN(T54)&lt;=6+Assumptions!$H72,0,OFFSET(T54,,-Assumptions!$H72))</f>
        <v>0</v>
      </c>
      <c r="U54" s="562">
        <f ca="1">U31*Assumptions!V$17+IF(COLUMN(U54)&lt;=6+Assumptions!$H72,0,OFFSET(U54,,-Assumptions!$H72))</f>
        <v>0</v>
      </c>
      <c r="V54" s="562">
        <f ca="1">V31*Assumptions!W$17+IF(COLUMN(V54)&lt;=6+Assumptions!$H72,0,OFFSET(V54,,-Assumptions!$H72))</f>
        <v>0</v>
      </c>
      <c r="W54" s="562">
        <f ca="1">W31*Assumptions!X$17+IF(COLUMN(W54)&lt;=6+Assumptions!$H72,0,OFFSET(W54,,-Assumptions!$H72))</f>
        <v>0</v>
      </c>
      <c r="X54" s="562">
        <f ca="1">X31*Assumptions!Y$17+IF(COLUMN(X54)&lt;=6+Assumptions!$H72,0,OFFSET(X54,,-Assumptions!$H72))</f>
        <v>0</v>
      </c>
      <c r="Y54" s="562">
        <f ca="1">Y31*Assumptions!Z$17+IF(COLUMN(Y54)&lt;=6+Assumptions!$H72,0,OFFSET(Y54,,-Assumptions!$H72))</f>
        <v>0</v>
      </c>
      <c r="Z54" s="562">
        <f ca="1">Z31*Assumptions!AA$17+IF(COLUMN(Z54)&lt;=6+Assumptions!$H72,0,OFFSET(Z54,,-Assumptions!$H72))</f>
        <v>0</v>
      </c>
      <c r="AA54" s="562">
        <f ca="1">AA31*Assumptions!AB$17+IF(COLUMN(AA54)&lt;=6+Assumptions!$H72,0,OFFSET(AA54,,-Assumptions!$H72))</f>
        <v>0</v>
      </c>
    </row>
    <row r="55" spans="1:27" hidden="1" x14ac:dyDescent="0.45">
      <c r="A55" s="777"/>
      <c r="B55" s="705"/>
      <c r="C55" s="707" t="s">
        <v>114</v>
      </c>
      <c r="D55" s="707" t="str">
        <f t="shared" si="1"/>
        <v>Thermal installation</v>
      </c>
      <c r="E55" s="783" t="s">
        <v>806</v>
      </c>
      <c r="F55" s="783" t="s">
        <v>482</v>
      </c>
      <c r="G55" s="790">
        <f ca="1">G32*Assumptions!H$17+IF(COLUMN(G55)&lt;=6+Assumptions!$H73,0,OFFSET(G55,,-Assumptions!$H73))</f>
        <v>149048.41402337229</v>
      </c>
      <c r="H55" s="790">
        <f ca="1">H32*Assumptions!I$17+IF(COLUMN(H55)&lt;=6+Assumptions!$H73,0,OFFSET(H55,,-Assumptions!$H73))</f>
        <v>0</v>
      </c>
      <c r="I55" s="790">
        <f ca="1">I32*Assumptions!J$17+IF(COLUMN(I55)&lt;=6+Assumptions!$H73,0,OFFSET(I55,,-Assumptions!$H73))</f>
        <v>0</v>
      </c>
      <c r="J55" s="790">
        <f ca="1">J32*Assumptions!K$17+IF(COLUMN(J55)&lt;=6+Assumptions!$H73,0,OFFSET(J55,,-Assumptions!$H73))</f>
        <v>0</v>
      </c>
      <c r="K55" s="791">
        <f ca="1">K32*Assumptions!L$17+IF(COLUMN(K55)&lt;=6+Assumptions!$H73,0,OFFSET(K55,,-Assumptions!$H73))</f>
        <v>0</v>
      </c>
      <c r="L55" s="562">
        <f ca="1">L32*Assumptions!M$17+IF(COLUMN(L55)&lt;=6+Assumptions!$H73,0,OFFSET(L55,,-Assumptions!$H73))</f>
        <v>0</v>
      </c>
      <c r="M55" s="562">
        <f ca="1">M32*Assumptions!N$17+IF(COLUMN(M55)&lt;=6+Assumptions!$H73,0,OFFSET(M55,,-Assumptions!$H73))</f>
        <v>0</v>
      </c>
      <c r="N55" s="562">
        <f ca="1">N32*Assumptions!O$17+IF(COLUMN(N55)&lt;=6+Assumptions!$H73,0,OFFSET(N55,,-Assumptions!$H73))</f>
        <v>0</v>
      </c>
      <c r="O55" s="562">
        <f ca="1">O32*Assumptions!P$17+IF(COLUMN(O55)&lt;=6+Assumptions!$H73,0,OFFSET(O55,,-Assumptions!$H73))</f>
        <v>0</v>
      </c>
      <c r="P55" s="562">
        <f ca="1">P32*Assumptions!Q$17+IF(COLUMN(P55)&lt;=6+Assumptions!$H73,0,OFFSET(P55,,-Assumptions!$H73))</f>
        <v>0</v>
      </c>
      <c r="Q55" s="562">
        <f ca="1">Q32*Assumptions!R$17+IF(COLUMN(Q55)&lt;=6+Assumptions!$H73,0,OFFSET(Q55,,-Assumptions!$H73))</f>
        <v>0</v>
      </c>
      <c r="R55" s="562">
        <f ca="1">R32*Assumptions!S$17+IF(COLUMN(R55)&lt;=6+Assumptions!$H73,0,OFFSET(R55,,-Assumptions!$H73))</f>
        <v>0</v>
      </c>
      <c r="S55" s="562">
        <f ca="1">S32*Assumptions!T$17+IF(COLUMN(S55)&lt;=6+Assumptions!$H73,0,OFFSET(S55,,-Assumptions!$H73))</f>
        <v>0</v>
      </c>
      <c r="T55" s="562">
        <f ca="1">T32*Assumptions!U$17+IF(COLUMN(T55)&lt;=6+Assumptions!$H73,0,OFFSET(T55,,-Assumptions!$H73))</f>
        <v>0</v>
      </c>
      <c r="U55" s="562">
        <f ca="1">U32*Assumptions!V$17+IF(COLUMN(U55)&lt;=6+Assumptions!$H73,0,OFFSET(U55,,-Assumptions!$H73))</f>
        <v>0</v>
      </c>
      <c r="V55" s="562">
        <f ca="1">V32*Assumptions!W$17+IF(COLUMN(V55)&lt;=6+Assumptions!$H73,0,OFFSET(V55,,-Assumptions!$H73))</f>
        <v>0</v>
      </c>
      <c r="W55" s="562">
        <f ca="1">W32*Assumptions!X$17+IF(COLUMN(W55)&lt;=6+Assumptions!$H73,0,OFFSET(W55,,-Assumptions!$H73))</f>
        <v>0</v>
      </c>
      <c r="X55" s="562">
        <f ca="1">X32*Assumptions!Y$17+IF(COLUMN(X55)&lt;=6+Assumptions!$H73,0,OFFSET(X55,,-Assumptions!$H73))</f>
        <v>0</v>
      </c>
      <c r="Y55" s="562">
        <f ca="1">Y32*Assumptions!Z$17+IF(COLUMN(Y55)&lt;=6+Assumptions!$H73,0,OFFSET(Y55,,-Assumptions!$H73))</f>
        <v>0</v>
      </c>
      <c r="Z55" s="562">
        <f ca="1">Z32*Assumptions!AA$17+IF(COLUMN(Z55)&lt;=6+Assumptions!$H73,0,OFFSET(Z55,,-Assumptions!$H73))</f>
        <v>0</v>
      </c>
      <c r="AA55" s="562">
        <f ca="1">AA32*Assumptions!AB$17+IF(COLUMN(AA55)&lt;=6+Assumptions!$H73,0,OFFSET(AA55,,-Assumptions!$H73))</f>
        <v>0</v>
      </c>
    </row>
    <row r="56" spans="1:27" hidden="1" x14ac:dyDescent="0.45">
      <c r="A56" s="777"/>
      <c r="B56" s="705"/>
      <c r="C56" s="707" t="s">
        <v>114</v>
      </c>
      <c r="D56" s="707" t="str">
        <f t="shared" si="1"/>
        <v>Dried pulp packaging machine  Zhejiang Ruibao Packaging Machine Co., Ltd.</v>
      </c>
      <c r="E56" s="783" t="s">
        <v>806</v>
      </c>
      <c r="F56" s="783" t="s">
        <v>482</v>
      </c>
      <c r="G56" s="790">
        <f ca="1">G33*Assumptions!H$17+IF(COLUMN(G56)&lt;=6+Assumptions!$H74,0,OFFSET(G56,,-Assumptions!$H74))</f>
        <v>30450.751252086811</v>
      </c>
      <c r="H56" s="790">
        <f ca="1">H33*Assumptions!I$17+IF(COLUMN(H56)&lt;=6+Assumptions!$H74,0,OFFSET(H56,,-Assumptions!$H74))</f>
        <v>0</v>
      </c>
      <c r="I56" s="790">
        <f ca="1">I33*Assumptions!J$17+IF(COLUMN(I56)&lt;=6+Assumptions!$H74,0,OFFSET(I56,,-Assumptions!$H74))</f>
        <v>0</v>
      </c>
      <c r="J56" s="790">
        <f ca="1">J33*Assumptions!K$17+IF(COLUMN(J56)&lt;=6+Assumptions!$H74,0,OFFSET(J56,,-Assumptions!$H74))</f>
        <v>0</v>
      </c>
      <c r="K56" s="791">
        <f ca="1">K33*Assumptions!L$17+IF(COLUMN(K56)&lt;=6+Assumptions!$H74,0,OFFSET(K56,,-Assumptions!$H74))</f>
        <v>0</v>
      </c>
      <c r="L56" s="562">
        <f ca="1">L33*Assumptions!M$17+IF(COLUMN(L56)&lt;=6+Assumptions!$H74,0,OFFSET(L56,,-Assumptions!$H74))</f>
        <v>0</v>
      </c>
      <c r="M56" s="562">
        <f ca="1">M33*Assumptions!N$17+IF(COLUMN(M56)&lt;=6+Assumptions!$H74,0,OFFSET(M56,,-Assumptions!$H74))</f>
        <v>0</v>
      </c>
      <c r="N56" s="562">
        <f ca="1">N33*Assumptions!O$17+IF(COLUMN(N56)&lt;=6+Assumptions!$H74,0,OFFSET(N56,,-Assumptions!$H74))</f>
        <v>0</v>
      </c>
      <c r="O56" s="562">
        <f ca="1">O33*Assumptions!P$17+IF(COLUMN(O56)&lt;=6+Assumptions!$H74,0,OFFSET(O56,,-Assumptions!$H74))</f>
        <v>0</v>
      </c>
      <c r="P56" s="562">
        <f ca="1">P33*Assumptions!Q$17+IF(COLUMN(P56)&lt;=6+Assumptions!$H74,0,OFFSET(P56,,-Assumptions!$H74))</f>
        <v>0</v>
      </c>
      <c r="Q56" s="562">
        <f ca="1">Q33*Assumptions!R$17+IF(COLUMN(Q56)&lt;=6+Assumptions!$H74,0,OFFSET(Q56,,-Assumptions!$H74))</f>
        <v>0</v>
      </c>
      <c r="R56" s="562">
        <f ca="1">R33*Assumptions!S$17+IF(COLUMN(R56)&lt;=6+Assumptions!$H74,0,OFFSET(R56,,-Assumptions!$H74))</f>
        <v>0</v>
      </c>
      <c r="S56" s="562">
        <f ca="1">S33*Assumptions!T$17+IF(COLUMN(S56)&lt;=6+Assumptions!$H74,0,OFFSET(S56,,-Assumptions!$H74))</f>
        <v>0</v>
      </c>
      <c r="T56" s="562">
        <f ca="1">T33*Assumptions!U$17+IF(COLUMN(T56)&lt;=6+Assumptions!$H74,0,OFFSET(T56,,-Assumptions!$H74))</f>
        <v>0</v>
      </c>
      <c r="U56" s="562">
        <f ca="1">U33*Assumptions!V$17+IF(COLUMN(U56)&lt;=6+Assumptions!$H74,0,OFFSET(U56,,-Assumptions!$H74))</f>
        <v>0</v>
      </c>
      <c r="V56" s="562">
        <f ca="1">V33*Assumptions!W$17+IF(COLUMN(V56)&lt;=6+Assumptions!$H74,0,OFFSET(V56,,-Assumptions!$H74))</f>
        <v>0</v>
      </c>
      <c r="W56" s="562">
        <f ca="1">W33*Assumptions!X$17+IF(COLUMN(W56)&lt;=6+Assumptions!$H74,0,OFFSET(W56,,-Assumptions!$H74))</f>
        <v>0</v>
      </c>
      <c r="X56" s="562">
        <f ca="1">X33*Assumptions!Y$17+IF(COLUMN(X56)&lt;=6+Assumptions!$H74,0,OFFSET(X56,,-Assumptions!$H74))</f>
        <v>0</v>
      </c>
      <c r="Y56" s="562">
        <f ca="1">Y33*Assumptions!Z$17+IF(COLUMN(Y56)&lt;=6+Assumptions!$H74,0,OFFSET(Y56,,-Assumptions!$H74))</f>
        <v>0</v>
      </c>
      <c r="Z56" s="562">
        <f ca="1">Z33*Assumptions!AA$17+IF(COLUMN(Z56)&lt;=6+Assumptions!$H74,0,OFFSET(Z56,,-Assumptions!$H74))</f>
        <v>0</v>
      </c>
      <c r="AA56" s="562">
        <f ca="1">AA33*Assumptions!AB$17+IF(COLUMN(AA56)&lt;=6+Assumptions!$H74,0,OFFSET(AA56,,-Assumptions!$H74))</f>
        <v>0</v>
      </c>
    </row>
    <row r="57" spans="1:27" hidden="1" x14ac:dyDescent="0.45">
      <c r="A57" s="777"/>
      <c r="B57" s="705"/>
      <c r="C57" s="707" t="s">
        <v>114</v>
      </c>
      <c r="D57" s="707" t="str">
        <f t="shared" si="1"/>
        <v>Dried pulp packaging table</v>
      </c>
      <c r="E57" s="783" t="s">
        <v>806</v>
      </c>
      <c r="F57" s="783" t="s">
        <v>645</v>
      </c>
      <c r="G57" s="790">
        <f ca="1">G34*Assumptions!H$17+IF(COLUMN(G57)&lt;=6+Assumptions!$H75,0,OFFSET(G57,,-Assumptions!$H75))</f>
        <v>27886.477462437397</v>
      </c>
      <c r="H57" s="790">
        <f ca="1">H34*Assumptions!I$17+IF(COLUMN(H57)&lt;=6+Assumptions!$H75,0,OFFSET(H57,,-Assumptions!$H75))</f>
        <v>0</v>
      </c>
      <c r="I57" s="790">
        <f ca="1">I34*Assumptions!J$17+IF(COLUMN(I57)&lt;=6+Assumptions!$H75,0,OFFSET(I57,,-Assumptions!$H75))</f>
        <v>0</v>
      </c>
      <c r="J57" s="790">
        <f ca="1">J34*Assumptions!K$17+IF(COLUMN(J57)&lt;=6+Assumptions!$H75,0,OFFSET(J57,,-Assumptions!$H75))</f>
        <v>0</v>
      </c>
      <c r="K57" s="791">
        <f ca="1">K34*Assumptions!L$17+IF(COLUMN(K57)&lt;=6+Assumptions!$H75,0,OFFSET(K57,,-Assumptions!$H75))</f>
        <v>0</v>
      </c>
      <c r="L57" s="562">
        <f ca="1">L34*Assumptions!M$17+IF(COLUMN(L57)&lt;=6+Assumptions!$H75,0,OFFSET(L57,,-Assumptions!$H75))</f>
        <v>0</v>
      </c>
      <c r="M57" s="562">
        <f ca="1">M34*Assumptions!N$17+IF(COLUMN(M57)&lt;=6+Assumptions!$H75,0,OFFSET(M57,,-Assumptions!$H75))</f>
        <v>0</v>
      </c>
      <c r="N57" s="562">
        <f ca="1">N34*Assumptions!O$17+IF(COLUMN(N57)&lt;=6+Assumptions!$H75,0,OFFSET(N57,,-Assumptions!$H75))</f>
        <v>0</v>
      </c>
      <c r="O57" s="562">
        <f ca="1">O34*Assumptions!P$17+IF(COLUMN(O57)&lt;=6+Assumptions!$H75,0,OFFSET(O57,,-Assumptions!$H75))</f>
        <v>0</v>
      </c>
      <c r="P57" s="562">
        <f ca="1">P34*Assumptions!Q$17+IF(COLUMN(P57)&lt;=6+Assumptions!$H75,0,OFFSET(P57,,-Assumptions!$H75))</f>
        <v>0</v>
      </c>
      <c r="Q57" s="562">
        <f ca="1">Q34*Assumptions!R$17+IF(COLUMN(Q57)&lt;=6+Assumptions!$H75,0,OFFSET(Q57,,-Assumptions!$H75))</f>
        <v>0</v>
      </c>
      <c r="R57" s="562">
        <f ca="1">R34*Assumptions!S$17+IF(COLUMN(R57)&lt;=6+Assumptions!$H75,0,OFFSET(R57,,-Assumptions!$H75))</f>
        <v>0</v>
      </c>
      <c r="S57" s="562">
        <f ca="1">S34*Assumptions!T$17+IF(COLUMN(S57)&lt;=6+Assumptions!$H75,0,OFFSET(S57,,-Assumptions!$H75))</f>
        <v>0</v>
      </c>
      <c r="T57" s="562">
        <f ca="1">T34*Assumptions!U$17+IF(COLUMN(T57)&lt;=6+Assumptions!$H75,0,OFFSET(T57,,-Assumptions!$H75))</f>
        <v>0</v>
      </c>
      <c r="U57" s="562">
        <f ca="1">U34*Assumptions!V$17+IF(COLUMN(U57)&lt;=6+Assumptions!$H75,0,OFFSET(U57,,-Assumptions!$H75))</f>
        <v>0</v>
      </c>
      <c r="V57" s="562">
        <f ca="1">V34*Assumptions!W$17+IF(COLUMN(V57)&lt;=6+Assumptions!$H75,0,OFFSET(V57,,-Assumptions!$H75))</f>
        <v>0</v>
      </c>
      <c r="W57" s="562">
        <f ca="1">W34*Assumptions!X$17+IF(COLUMN(W57)&lt;=6+Assumptions!$H75,0,OFFSET(W57,,-Assumptions!$H75))</f>
        <v>0</v>
      </c>
      <c r="X57" s="562">
        <f ca="1">X34*Assumptions!Y$17+IF(COLUMN(X57)&lt;=6+Assumptions!$H75,0,OFFSET(X57,,-Assumptions!$H75))</f>
        <v>0</v>
      </c>
      <c r="Y57" s="562">
        <f ca="1">Y34*Assumptions!Z$17+IF(COLUMN(Y57)&lt;=6+Assumptions!$H75,0,OFFSET(Y57,,-Assumptions!$H75))</f>
        <v>0</v>
      </c>
      <c r="Z57" s="562">
        <f ca="1">Z34*Assumptions!AA$17+IF(COLUMN(Z57)&lt;=6+Assumptions!$H75,0,OFFSET(Z57,,-Assumptions!$H75))</f>
        <v>0</v>
      </c>
      <c r="AA57" s="562">
        <f ca="1">AA34*Assumptions!AB$17+IF(COLUMN(AA57)&lt;=6+Assumptions!$H75,0,OFFSET(AA57,,-Assumptions!$H75))</f>
        <v>0</v>
      </c>
    </row>
    <row r="58" spans="1:27" hidden="1" x14ac:dyDescent="0.45">
      <c r="A58" s="777"/>
      <c r="B58" s="705"/>
      <c r="C58" s="707" t="s">
        <v>114</v>
      </c>
      <c r="D58" s="707" t="str">
        <f t="shared" si="1"/>
        <v>Production tools</v>
      </c>
      <c r="E58" s="783" t="s">
        <v>806</v>
      </c>
      <c r="F58" s="789"/>
      <c r="G58" s="790">
        <f ca="1">G35*Assumptions!H$17+IF(COLUMN(G58)&lt;=6+Assumptions!$H76,0,OFFSET(G58,,-Assumptions!$H76))</f>
        <v>128213.68948247079</v>
      </c>
      <c r="H58" s="790">
        <f ca="1">H35*Assumptions!I$17+IF(COLUMN(H58)&lt;=6+Assumptions!$H76,0,OFFSET(H58,,-Assumptions!$H76))</f>
        <v>0</v>
      </c>
      <c r="I58" s="790">
        <f ca="1">I35*Assumptions!J$17+IF(COLUMN(I58)&lt;=6+Assumptions!$H76,0,OFFSET(I58,,-Assumptions!$H76))</f>
        <v>0</v>
      </c>
      <c r="J58" s="790">
        <f ca="1">J35*Assumptions!K$17+IF(COLUMN(J58)&lt;=6+Assumptions!$H76,0,OFFSET(J58,,-Assumptions!$H76))</f>
        <v>0</v>
      </c>
      <c r="K58" s="791">
        <f ca="1">K35*Assumptions!L$17+IF(COLUMN(K58)&lt;=6+Assumptions!$H76,0,OFFSET(K58,,-Assumptions!$H76))</f>
        <v>0</v>
      </c>
      <c r="L58" s="562">
        <f ca="1">L35*Assumptions!M$17+IF(COLUMN(L58)&lt;=6+Assumptions!$H76,0,OFFSET(L58,,-Assumptions!$H76))</f>
        <v>0</v>
      </c>
      <c r="M58" s="562">
        <f ca="1">M35*Assumptions!N$17+IF(COLUMN(M58)&lt;=6+Assumptions!$H76,0,OFFSET(M58,,-Assumptions!$H76))</f>
        <v>0</v>
      </c>
      <c r="N58" s="562">
        <f ca="1">N35*Assumptions!O$17+IF(COLUMN(N58)&lt;=6+Assumptions!$H76,0,OFFSET(N58,,-Assumptions!$H76))</f>
        <v>0</v>
      </c>
      <c r="O58" s="562">
        <f ca="1">O35*Assumptions!P$17+IF(COLUMN(O58)&lt;=6+Assumptions!$H76,0,OFFSET(O58,,-Assumptions!$H76))</f>
        <v>0</v>
      </c>
      <c r="P58" s="562">
        <f ca="1">P35*Assumptions!Q$17+IF(COLUMN(P58)&lt;=6+Assumptions!$H76,0,OFFSET(P58,,-Assumptions!$H76))</f>
        <v>0</v>
      </c>
      <c r="Q58" s="562">
        <f ca="1">Q35*Assumptions!R$17+IF(COLUMN(Q58)&lt;=6+Assumptions!$H76,0,OFFSET(Q58,,-Assumptions!$H76))</f>
        <v>0</v>
      </c>
      <c r="R58" s="562">
        <f ca="1">R35*Assumptions!S$17+IF(COLUMN(R58)&lt;=6+Assumptions!$H76,0,OFFSET(R58,,-Assumptions!$H76))</f>
        <v>0</v>
      </c>
      <c r="S58" s="562">
        <f ca="1">S35*Assumptions!T$17+IF(COLUMN(S58)&lt;=6+Assumptions!$H76,0,OFFSET(S58,,-Assumptions!$H76))</f>
        <v>0</v>
      </c>
      <c r="T58" s="562">
        <f ca="1">T35*Assumptions!U$17+IF(COLUMN(T58)&lt;=6+Assumptions!$H76,0,OFFSET(T58,,-Assumptions!$H76))</f>
        <v>0</v>
      </c>
      <c r="U58" s="562">
        <f ca="1">U35*Assumptions!V$17+IF(COLUMN(U58)&lt;=6+Assumptions!$H76,0,OFFSET(U58,,-Assumptions!$H76))</f>
        <v>0</v>
      </c>
      <c r="V58" s="562">
        <f ca="1">V35*Assumptions!W$17+IF(COLUMN(V58)&lt;=6+Assumptions!$H76,0,OFFSET(V58,,-Assumptions!$H76))</f>
        <v>0</v>
      </c>
      <c r="W58" s="562">
        <f ca="1">W35*Assumptions!X$17+IF(COLUMN(W58)&lt;=6+Assumptions!$H76,0,OFFSET(W58,,-Assumptions!$H76))</f>
        <v>0</v>
      </c>
      <c r="X58" s="562">
        <f ca="1">X35*Assumptions!Y$17+IF(COLUMN(X58)&lt;=6+Assumptions!$H76,0,OFFSET(X58,,-Assumptions!$H76))</f>
        <v>0</v>
      </c>
      <c r="Y58" s="562">
        <f ca="1">Y35*Assumptions!Z$17+IF(COLUMN(Y58)&lt;=6+Assumptions!$H76,0,OFFSET(Y58,,-Assumptions!$H76))</f>
        <v>0</v>
      </c>
      <c r="Z58" s="562">
        <f ca="1">Z35*Assumptions!AA$17+IF(COLUMN(Z58)&lt;=6+Assumptions!$H76,0,OFFSET(Z58,,-Assumptions!$H76))</f>
        <v>0</v>
      </c>
      <c r="AA58" s="562">
        <f ca="1">AA35*Assumptions!AB$17+IF(COLUMN(AA58)&lt;=6+Assumptions!$H76,0,OFFSET(AA58,,-Assumptions!$H76))</f>
        <v>0</v>
      </c>
    </row>
    <row r="59" spans="1:27" hidden="1" x14ac:dyDescent="0.45">
      <c r="A59" s="777"/>
      <c r="B59" s="705"/>
      <c r="C59" s="707" t="s">
        <v>114</v>
      </c>
      <c r="D59" s="707" t="str">
        <f t="shared" si="1"/>
        <v>Transport Installation and Commissioning</v>
      </c>
      <c r="E59" s="783" t="s">
        <v>806</v>
      </c>
      <c r="F59" s="789"/>
      <c r="G59" s="790">
        <f ca="1">G36*Assumptions!H$17+IF(COLUMN(G59)&lt;=6+Assumptions!$H77,0,OFFSET(G59,,-Assumptions!$H77))</f>
        <v>577721.84974958259</v>
      </c>
      <c r="H59" s="790">
        <f ca="1">H36*Assumptions!I$17+IF(COLUMN(H59)&lt;=6+Assumptions!$H77,0,OFFSET(H59,,-Assumptions!$H77))</f>
        <v>0</v>
      </c>
      <c r="I59" s="790">
        <f ca="1">I36*Assumptions!J$17+IF(COLUMN(I59)&lt;=6+Assumptions!$H77,0,OFFSET(I59,,-Assumptions!$H77))</f>
        <v>0</v>
      </c>
      <c r="J59" s="790">
        <f ca="1">J36*Assumptions!K$17+IF(COLUMN(J59)&lt;=6+Assumptions!$H77,0,OFFSET(J59,,-Assumptions!$H77))</f>
        <v>0</v>
      </c>
      <c r="K59" s="791">
        <f ca="1">K36*Assumptions!L$17+IF(COLUMN(K59)&lt;=6+Assumptions!$H77,0,OFFSET(K59,,-Assumptions!$H77))</f>
        <v>0</v>
      </c>
      <c r="L59" s="562">
        <f ca="1">L36*Assumptions!M$17+IF(COLUMN(L59)&lt;=6+Assumptions!$H77,0,OFFSET(L59,,-Assumptions!$H77))</f>
        <v>0</v>
      </c>
      <c r="M59" s="562">
        <f ca="1">M36*Assumptions!N$17+IF(COLUMN(M59)&lt;=6+Assumptions!$H77,0,OFFSET(M59,,-Assumptions!$H77))</f>
        <v>0</v>
      </c>
      <c r="N59" s="562">
        <f ca="1">N36*Assumptions!O$17+IF(COLUMN(N59)&lt;=6+Assumptions!$H77,0,OFFSET(N59,,-Assumptions!$H77))</f>
        <v>0</v>
      </c>
      <c r="O59" s="562">
        <f ca="1">O36*Assumptions!P$17+IF(COLUMN(O59)&lt;=6+Assumptions!$H77,0,OFFSET(O59,,-Assumptions!$H77))</f>
        <v>0</v>
      </c>
      <c r="P59" s="562">
        <f ca="1">P36*Assumptions!Q$17+IF(COLUMN(P59)&lt;=6+Assumptions!$H77,0,OFFSET(P59,,-Assumptions!$H77))</f>
        <v>0</v>
      </c>
      <c r="Q59" s="562">
        <f ca="1">Q36*Assumptions!R$17+IF(COLUMN(Q59)&lt;=6+Assumptions!$H77,0,OFFSET(Q59,,-Assumptions!$H77))</f>
        <v>0</v>
      </c>
      <c r="R59" s="562">
        <f ca="1">R36*Assumptions!S$17+IF(COLUMN(R59)&lt;=6+Assumptions!$H77,0,OFFSET(R59,,-Assumptions!$H77))</f>
        <v>0</v>
      </c>
      <c r="S59" s="562">
        <f ca="1">S36*Assumptions!T$17+IF(COLUMN(S59)&lt;=6+Assumptions!$H77,0,OFFSET(S59,,-Assumptions!$H77))</f>
        <v>0</v>
      </c>
      <c r="T59" s="562">
        <f ca="1">T36*Assumptions!U$17+IF(COLUMN(T59)&lt;=6+Assumptions!$H77,0,OFFSET(T59,,-Assumptions!$H77))</f>
        <v>0</v>
      </c>
      <c r="U59" s="562">
        <f ca="1">U36*Assumptions!V$17+IF(COLUMN(U59)&lt;=6+Assumptions!$H77,0,OFFSET(U59,,-Assumptions!$H77))</f>
        <v>0</v>
      </c>
      <c r="V59" s="562">
        <f ca="1">V36*Assumptions!W$17+IF(COLUMN(V59)&lt;=6+Assumptions!$H77,0,OFFSET(V59,,-Assumptions!$H77))</f>
        <v>0</v>
      </c>
      <c r="W59" s="562">
        <f ca="1">W36*Assumptions!X$17+IF(COLUMN(W59)&lt;=6+Assumptions!$H77,0,OFFSET(W59,,-Assumptions!$H77))</f>
        <v>0</v>
      </c>
      <c r="X59" s="562">
        <f ca="1">X36*Assumptions!Y$17+IF(COLUMN(X59)&lt;=6+Assumptions!$H77,0,OFFSET(X59,,-Assumptions!$H77))</f>
        <v>0</v>
      </c>
      <c r="Y59" s="562">
        <f ca="1">Y36*Assumptions!Z$17+IF(COLUMN(Y59)&lt;=6+Assumptions!$H77,0,OFFSET(Y59,,-Assumptions!$H77))</f>
        <v>0</v>
      </c>
      <c r="Z59" s="562">
        <f ca="1">Z36*Assumptions!AA$17+IF(COLUMN(Z59)&lt;=6+Assumptions!$H77,0,OFFSET(Z59,,-Assumptions!$H77))</f>
        <v>0</v>
      </c>
      <c r="AA59" s="562">
        <f ca="1">AA36*Assumptions!AB$17+IF(COLUMN(AA59)&lt;=6+Assumptions!$H77,0,OFFSET(AA59,,-Assumptions!$H77))</f>
        <v>0</v>
      </c>
    </row>
    <row r="60" spans="1:27" hidden="1" x14ac:dyDescent="0.45">
      <c r="A60" s="777"/>
      <c r="B60" s="705"/>
      <c r="C60" s="707" t="s">
        <v>114</v>
      </c>
      <c r="D60" s="707" t="str">
        <f t="shared" si="1"/>
        <v>Vehicules</v>
      </c>
      <c r="E60" s="783" t="s">
        <v>806</v>
      </c>
      <c r="F60" s="789"/>
      <c r="G60" s="790">
        <f ca="1">G37*Assumptions!H$17+IF(COLUMN(G60)&lt;=6+Assumptions!$H78,0,OFFSET(G60,,-Assumptions!$H78))</f>
        <v>92954.924874791323</v>
      </c>
      <c r="H60" s="790">
        <f ca="1">H37*Assumptions!I$17+IF(COLUMN(H60)&lt;=6+Assumptions!$H78,0,OFFSET(H60,,-Assumptions!$H78))</f>
        <v>0</v>
      </c>
      <c r="I60" s="790">
        <f ca="1">I37*Assumptions!J$17+IF(COLUMN(I60)&lt;=6+Assumptions!$H78,0,OFFSET(I60,,-Assumptions!$H78))</f>
        <v>0</v>
      </c>
      <c r="J60" s="790">
        <f ca="1">J37*Assumptions!K$17+IF(COLUMN(J60)&lt;=6+Assumptions!$H78,0,OFFSET(J60,,-Assumptions!$H78))</f>
        <v>0</v>
      </c>
      <c r="K60" s="791">
        <f ca="1">K37*Assumptions!L$17+IF(COLUMN(K60)&lt;=6+Assumptions!$H78,0,OFFSET(K60,,-Assumptions!$H78))</f>
        <v>0</v>
      </c>
      <c r="L60" s="562">
        <f ca="1">L37*Assumptions!M$17+IF(COLUMN(L60)&lt;=6+Assumptions!$H78,0,OFFSET(L60,,-Assumptions!$H78))</f>
        <v>0</v>
      </c>
      <c r="M60" s="562">
        <f ca="1">M37*Assumptions!N$17+IF(COLUMN(M60)&lt;=6+Assumptions!$H78,0,OFFSET(M60,,-Assumptions!$H78))</f>
        <v>0</v>
      </c>
      <c r="N60" s="562">
        <f ca="1">N37*Assumptions!O$17+IF(COLUMN(N60)&lt;=6+Assumptions!$H78,0,OFFSET(N60,,-Assumptions!$H78))</f>
        <v>0</v>
      </c>
      <c r="O60" s="562">
        <f ca="1">O37*Assumptions!P$17+IF(COLUMN(O60)&lt;=6+Assumptions!$H78,0,OFFSET(O60,,-Assumptions!$H78))</f>
        <v>0</v>
      </c>
      <c r="P60" s="562">
        <f ca="1">P37*Assumptions!Q$17+IF(COLUMN(P60)&lt;=6+Assumptions!$H78,0,OFFSET(P60,,-Assumptions!$H78))</f>
        <v>0</v>
      </c>
      <c r="Q60" s="562">
        <f ca="1">Q37*Assumptions!R$17+IF(COLUMN(Q60)&lt;=6+Assumptions!$H78,0,OFFSET(Q60,,-Assumptions!$H78))</f>
        <v>0</v>
      </c>
      <c r="R60" s="562">
        <f ca="1">R37*Assumptions!S$17+IF(COLUMN(R60)&lt;=6+Assumptions!$H78,0,OFFSET(R60,,-Assumptions!$H78))</f>
        <v>0</v>
      </c>
      <c r="S60" s="562">
        <f ca="1">S37*Assumptions!T$17+IF(COLUMN(S60)&lt;=6+Assumptions!$H78,0,OFFSET(S60,,-Assumptions!$H78))</f>
        <v>0</v>
      </c>
      <c r="T60" s="562">
        <f ca="1">T37*Assumptions!U$17+IF(COLUMN(T60)&lt;=6+Assumptions!$H78,0,OFFSET(T60,,-Assumptions!$H78))</f>
        <v>0</v>
      </c>
      <c r="U60" s="562">
        <f ca="1">U37*Assumptions!V$17+IF(COLUMN(U60)&lt;=6+Assumptions!$H78,0,OFFSET(U60,,-Assumptions!$H78))</f>
        <v>0</v>
      </c>
      <c r="V60" s="562">
        <f ca="1">V37*Assumptions!W$17+IF(COLUMN(V60)&lt;=6+Assumptions!$H78,0,OFFSET(V60,,-Assumptions!$H78))</f>
        <v>0</v>
      </c>
      <c r="W60" s="562">
        <f ca="1">W37*Assumptions!X$17+IF(COLUMN(W60)&lt;=6+Assumptions!$H78,0,OFFSET(W60,,-Assumptions!$H78))</f>
        <v>0</v>
      </c>
      <c r="X60" s="562">
        <f ca="1">X37*Assumptions!Y$17+IF(COLUMN(X60)&lt;=6+Assumptions!$H78,0,OFFSET(X60,,-Assumptions!$H78))</f>
        <v>0</v>
      </c>
      <c r="Y60" s="562">
        <f ca="1">Y37*Assumptions!Z$17+IF(COLUMN(Y60)&lt;=6+Assumptions!$H78,0,OFFSET(Y60,,-Assumptions!$H78))</f>
        <v>0</v>
      </c>
      <c r="Z60" s="562">
        <f ca="1">Z37*Assumptions!AA$17+IF(COLUMN(Z60)&lt;=6+Assumptions!$H78,0,OFFSET(Z60,,-Assumptions!$H78))</f>
        <v>0</v>
      </c>
      <c r="AA60" s="562">
        <f ca="1">AA37*Assumptions!AB$17+IF(COLUMN(AA60)&lt;=6+Assumptions!$H78,0,OFFSET(AA60,,-Assumptions!$H78))</f>
        <v>0</v>
      </c>
    </row>
    <row r="61" spans="1:27" hidden="1" x14ac:dyDescent="0.45">
      <c r="A61" s="777"/>
      <c r="B61" s="705"/>
      <c r="C61" s="707" t="s">
        <v>114</v>
      </c>
      <c r="D61" s="707">
        <f t="shared" si="1"/>
        <v>0</v>
      </c>
      <c r="E61" s="783" t="s">
        <v>806</v>
      </c>
      <c r="F61" s="789"/>
      <c r="G61" s="790">
        <f ca="1">G38*Assumptions!H$17+IF(COLUMN(G61)&lt;=6+Assumptions!$H79,0,OFFSET(G61,,-Assumptions!$H79))</f>
        <v>0</v>
      </c>
      <c r="H61" s="790">
        <f ca="1">H38*Assumptions!I$17+IF(COLUMN(H61)&lt;=6+Assumptions!$H79,0,OFFSET(H61,,-Assumptions!$H79))</f>
        <v>0</v>
      </c>
      <c r="I61" s="790">
        <f ca="1">I38*Assumptions!J$17+IF(COLUMN(I61)&lt;=6+Assumptions!$H79,0,OFFSET(I61,,-Assumptions!$H79))</f>
        <v>0</v>
      </c>
      <c r="J61" s="790">
        <f ca="1">J38*Assumptions!K$17+IF(COLUMN(J61)&lt;=6+Assumptions!$H79,0,OFFSET(J61,,-Assumptions!$H79))</f>
        <v>0</v>
      </c>
      <c r="K61" s="791">
        <f ca="1">K38*Assumptions!L$17+IF(COLUMN(K61)&lt;=6+Assumptions!$H79,0,OFFSET(K61,,-Assumptions!$H79))</f>
        <v>0</v>
      </c>
      <c r="L61" s="562">
        <f ca="1">L38*Assumptions!M$17+IF(COLUMN(L61)&lt;=6+Assumptions!$H79,0,OFFSET(L61,,-Assumptions!$H79))</f>
        <v>0</v>
      </c>
      <c r="M61" s="562">
        <f ca="1">M38*Assumptions!N$17+IF(COLUMN(M61)&lt;=6+Assumptions!$H79,0,OFFSET(M61,,-Assumptions!$H79))</f>
        <v>0</v>
      </c>
      <c r="N61" s="562">
        <f ca="1">N38*Assumptions!O$17+IF(COLUMN(N61)&lt;=6+Assumptions!$H79,0,OFFSET(N61,,-Assumptions!$H79))</f>
        <v>0</v>
      </c>
      <c r="O61" s="562">
        <f ca="1">O38*Assumptions!P$17+IF(COLUMN(O61)&lt;=6+Assumptions!$H79,0,OFFSET(O61,,-Assumptions!$H79))</f>
        <v>0</v>
      </c>
      <c r="P61" s="562">
        <f ca="1">P38*Assumptions!Q$17+IF(COLUMN(P61)&lt;=6+Assumptions!$H79,0,OFFSET(P61,,-Assumptions!$H79))</f>
        <v>0</v>
      </c>
      <c r="Q61" s="562">
        <f ca="1">Q38*Assumptions!R$17+IF(COLUMN(Q61)&lt;=6+Assumptions!$H79,0,OFFSET(Q61,,-Assumptions!$H79))</f>
        <v>0</v>
      </c>
      <c r="R61" s="562">
        <f ca="1">R38*Assumptions!S$17+IF(COLUMN(R61)&lt;=6+Assumptions!$H79,0,OFFSET(R61,,-Assumptions!$H79))</f>
        <v>0</v>
      </c>
      <c r="S61" s="562">
        <f ca="1">S38*Assumptions!T$17+IF(COLUMN(S61)&lt;=6+Assumptions!$H79,0,OFFSET(S61,,-Assumptions!$H79))</f>
        <v>0</v>
      </c>
      <c r="T61" s="562">
        <f ca="1">T38*Assumptions!U$17+IF(COLUMN(T61)&lt;=6+Assumptions!$H79,0,OFFSET(T61,,-Assumptions!$H79))</f>
        <v>0</v>
      </c>
      <c r="U61" s="562">
        <f ca="1">U38*Assumptions!V$17+IF(COLUMN(U61)&lt;=6+Assumptions!$H79,0,OFFSET(U61,,-Assumptions!$H79))</f>
        <v>0</v>
      </c>
      <c r="V61" s="562">
        <f ca="1">V38*Assumptions!W$17+IF(COLUMN(V61)&lt;=6+Assumptions!$H79,0,OFFSET(V61,,-Assumptions!$H79))</f>
        <v>0</v>
      </c>
      <c r="W61" s="562">
        <f ca="1">W38*Assumptions!X$17+IF(COLUMN(W61)&lt;=6+Assumptions!$H79,0,OFFSET(W61,,-Assumptions!$H79))</f>
        <v>0</v>
      </c>
      <c r="X61" s="562">
        <f ca="1">X38*Assumptions!Y$17+IF(COLUMN(X61)&lt;=6+Assumptions!$H79,0,OFFSET(X61,,-Assumptions!$H79))</f>
        <v>0</v>
      </c>
      <c r="Y61" s="562">
        <f ca="1">Y38*Assumptions!Z$17+IF(COLUMN(Y61)&lt;=6+Assumptions!$H79,0,OFFSET(Y61,,-Assumptions!$H79))</f>
        <v>0</v>
      </c>
      <c r="Z61" s="562">
        <f ca="1">Z38*Assumptions!AA$17+IF(COLUMN(Z61)&lt;=6+Assumptions!$H79,0,OFFSET(Z61,,-Assumptions!$H79))</f>
        <v>0</v>
      </c>
      <c r="AA61" s="562">
        <f ca="1">AA38*Assumptions!AB$17+IF(COLUMN(AA61)&lt;=6+Assumptions!$H79,0,OFFSET(AA61,,-Assumptions!$H79))</f>
        <v>0</v>
      </c>
    </row>
    <row r="62" spans="1:27" hidden="1" x14ac:dyDescent="0.45">
      <c r="A62" s="777"/>
      <c r="B62" s="705"/>
      <c r="C62" s="707" t="s">
        <v>114</v>
      </c>
      <c r="D62" s="707">
        <f t="shared" si="1"/>
        <v>0</v>
      </c>
      <c r="E62" s="783" t="s">
        <v>806</v>
      </c>
      <c r="F62" s="789"/>
      <c r="G62" s="790">
        <f ca="1">G39*Assumptions!H$17+IF(COLUMN(G62)&lt;=6+Assumptions!$H80,0,OFFSET(G62,,-Assumptions!$H80))</f>
        <v>0</v>
      </c>
      <c r="H62" s="790">
        <f ca="1">H39*Assumptions!I$17+IF(COLUMN(H62)&lt;=6+Assumptions!$H80,0,OFFSET(H62,,-Assumptions!$H80))</f>
        <v>0</v>
      </c>
      <c r="I62" s="790">
        <f ca="1">I39*Assumptions!J$17+IF(COLUMN(I62)&lt;=6+Assumptions!$H80,0,OFFSET(I62,,-Assumptions!$H80))</f>
        <v>0</v>
      </c>
      <c r="J62" s="790">
        <f ca="1">J39*Assumptions!K$17+IF(COLUMN(J62)&lt;=6+Assumptions!$H80,0,OFFSET(J62,,-Assumptions!$H80))</f>
        <v>0</v>
      </c>
      <c r="K62" s="791">
        <f ca="1">K39*Assumptions!L$17+IF(COLUMN(K62)&lt;=6+Assumptions!$H80,0,OFFSET(K62,,-Assumptions!$H80))</f>
        <v>0</v>
      </c>
      <c r="L62" s="562">
        <f ca="1">L39*Assumptions!M$17+IF(COLUMN(L62)&lt;=6+Assumptions!$H80,0,OFFSET(L62,,-Assumptions!$H80))</f>
        <v>0</v>
      </c>
      <c r="M62" s="562">
        <f ca="1">M39*Assumptions!N$17+IF(COLUMN(M62)&lt;=6+Assumptions!$H80,0,OFFSET(M62,,-Assumptions!$H80))</f>
        <v>0</v>
      </c>
      <c r="N62" s="562">
        <f ca="1">N39*Assumptions!O$17+IF(COLUMN(N62)&lt;=6+Assumptions!$H80,0,OFFSET(N62,,-Assumptions!$H80))</f>
        <v>0</v>
      </c>
      <c r="O62" s="562">
        <f ca="1">O39*Assumptions!P$17+IF(COLUMN(O62)&lt;=6+Assumptions!$H80,0,OFFSET(O62,,-Assumptions!$H80))</f>
        <v>0</v>
      </c>
      <c r="P62" s="562">
        <f ca="1">P39*Assumptions!Q$17+IF(COLUMN(P62)&lt;=6+Assumptions!$H80,0,OFFSET(P62,,-Assumptions!$H80))</f>
        <v>0</v>
      </c>
      <c r="Q62" s="562">
        <f ca="1">Q39*Assumptions!R$17+IF(COLUMN(Q62)&lt;=6+Assumptions!$H80,0,OFFSET(Q62,,-Assumptions!$H80))</f>
        <v>0</v>
      </c>
      <c r="R62" s="562">
        <f ca="1">R39*Assumptions!S$17+IF(COLUMN(R62)&lt;=6+Assumptions!$H80,0,OFFSET(R62,,-Assumptions!$H80))</f>
        <v>0</v>
      </c>
      <c r="S62" s="562">
        <f ca="1">S39*Assumptions!T$17+IF(COLUMN(S62)&lt;=6+Assumptions!$H80,0,OFFSET(S62,,-Assumptions!$H80))</f>
        <v>0</v>
      </c>
      <c r="T62" s="562">
        <f ca="1">T39*Assumptions!U$17+IF(COLUMN(T62)&lt;=6+Assumptions!$H80,0,OFFSET(T62,,-Assumptions!$H80))</f>
        <v>0</v>
      </c>
      <c r="U62" s="562">
        <f ca="1">U39*Assumptions!V$17+IF(COLUMN(U62)&lt;=6+Assumptions!$H80,0,OFFSET(U62,,-Assumptions!$H80))</f>
        <v>0</v>
      </c>
      <c r="V62" s="562">
        <f ca="1">V39*Assumptions!W$17+IF(COLUMN(V62)&lt;=6+Assumptions!$H80,0,OFFSET(V62,,-Assumptions!$H80))</f>
        <v>0</v>
      </c>
      <c r="W62" s="562">
        <f ca="1">W39*Assumptions!X$17+IF(COLUMN(W62)&lt;=6+Assumptions!$H80,0,OFFSET(W62,,-Assumptions!$H80))</f>
        <v>0</v>
      </c>
      <c r="X62" s="562">
        <f ca="1">X39*Assumptions!Y$17+IF(COLUMN(X62)&lt;=6+Assumptions!$H80,0,OFFSET(X62,,-Assumptions!$H80))</f>
        <v>0</v>
      </c>
      <c r="Y62" s="562">
        <f ca="1">Y39*Assumptions!Z$17+IF(COLUMN(Y62)&lt;=6+Assumptions!$H80,0,OFFSET(Y62,,-Assumptions!$H80))</f>
        <v>0</v>
      </c>
      <c r="Z62" s="562">
        <f ca="1">Z39*Assumptions!AA$17+IF(COLUMN(Z62)&lt;=6+Assumptions!$H80,0,OFFSET(Z62,,-Assumptions!$H80))</f>
        <v>0</v>
      </c>
      <c r="AA62" s="562">
        <f ca="1">AA39*Assumptions!AB$17+IF(COLUMN(AA62)&lt;=6+Assumptions!$H80,0,OFFSET(AA62,,-Assumptions!$H80))</f>
        <v>0</v>
      </c>
    </row>
    <row r="63" spans="1:27" hidden="1" x14ac:dyDescent="0.45">
      <c r="A63" s="777"/>
      <c r="B63" s="705"/>
      <c r="C63" s="707"/>
      <c r="D63" s="707">
        <f t="shared" si="1"/>
        <v>0</v>
      </c>
      <c r="E63" s="783" t="s">
        <v>806</v>
      </c>
      <c r="F63" s="789"/>
      <c r="G63" s="790">
        <f ca="1">G40*Assumptions!H$17+IF(COLUMN(G63)&lt;=6+Assumptions!$H81,0,OFFSET(G63,,-Assumptions!$H81))</f>
        <v>0</v>
      </c>
      <c r="H63" s="790">
        <f ca="1">H40*Assumptions!I$17+IF(COLUMN(H63)&lt;=6+Assumptions!$H81,0,OFFSET(H63,,-Assumptions!$H81))</f>
        <v>0</v>
      </c>
      <c r="I63" s="790">
        <f ca="1">I40*Assumptions!J$17+IF(COLUMN(I63)&lt;=6+Assumptions!$H81,0,OFFSET(I63,,-Assumptions!$H81))</f>
        <v>0</v>
      </c>
      <c r="J63" s="790">
        <f ca="1">J40*Assumptions!K$17+IF(COLUMN(J63)&lt;=6+Assumptions!$H81,0,OFFSET(J63,,-Assumptions!$H81))</f>
        <v>0</v>
      </c>
      <c r="K63" s="791">
        <f ca="1">K40*Assumptions!L$17+IF(COLUMN(K63)&lt;=6+Assumptions!$H81,0,OFFSET(K63,,-Assumptions!$H81))</f>
        <v>0</v>
      </c>
      <c r="L63" s="562">
        <f ca="1">L40*Assumptions!M$17+IF(COLUMN(L63)&lt;=6+Assumptions!$H81,0,OFFSET(L63,,-Assumptions!$H81))</f>
        <v>0</v>
      </c>
      <c r="M63" s="562">
        <f ca="1">M40*Assumptions!N$17+IF(COLUMN(M63)&lt;=6+Assumptions!$H81,0,OFFSET(M63,,-Assumptions!$H81))</f>
        <v>0</v>
      </c>
      <c r="N63" s="562">
        <f ca="1">N40*Assumptions!O$17+IF(COLUMN(N63)&lt;=6+Assumptions!$H81,0,OFFSET(N63,,-Assumptions!$H81))</f>
        <v>0</v>
      </c>
      <c r="O63" s="562">
        <f ca="1">O40*Assumptions!P$17+IF(COLUMN(O63)&lt;=6+Assumptions!$H81,0,OFFSET(O63,,-Assumptions!$H81))</f>
        <v>0</v>
      </c>
      <c r="P63" s="562">
        <f ca="1">P40*Assumptions!Q$17+IF(COLUMN(P63)&lt;=6+Assumptions!$H81,0,OFFSET(P63,,-Assumptions!$H81))</f>
        <v>0</v>
      </c>
      <c r="Q63" s="562">
        <f ca="1">Q40*Assumptions!R$17+IF(COLUMN(Q63)&lt;=6+Assumptions!$H81,0,OFFSET(Q63,,-Assumptions!$H81))</f>
        <v>0</v>
      </c>
      <c r="R63" s="562">
        <f ca="1">R40*Assumptions!S$17+IF(COLUMN(R63)&lt;=6+Assumptions!$H81,0,OFFSET(R63,,-Assumptions!$H81))</f>
        <v>0</v>
      </c>
      <c r="S63" s="562">
        <f ca="1">S40*Assumptions!T$17+IF(COLUMN(S63)&lt;=6+Assumptions!$H81,0,OFFSET(S63,,-Assumptions!$H81))</f>
        <v>0</v>
      </c>
      <c r="T63" s="562">
        <f ca="1">T40*Assumptions!U$17+IF(COLUMN(T63)&lt;=6+Assumptions!$H81,0,OFFSET(T63,,-Assumptions!$H81))</f>
        <v>0</v>
      </c>
      <c r="U63" s="562">
        <f ca="1">U40*Assumptions!V$17+IF(COLUMN(U63)&lt;=6+Assumptions!$H81,0,OFFSET(U63,,-Assumptions!$H81))</f>
        <v>0</v>
      </c>
      <c r="V63" s="562">
        <f ca="1">V40*Assumptions!W$17+IF(COLUMN(V63)&lt;=6+Assumptions!$H81,0,OFFSET(V63,,-Assumptions!$H81))</f>
        <v>0</v>
      </c>
      <c r="W63" s="562">
        <f ca="1">W40*Assumptions!X$17+IF(COLUMN(W63)&lt;=6+Assumptions!$H81,0,OFFSET(W63,,-Assumptions!$H81))</f>
        <v>0</v>
      </c>
      <c r="X63" s="562">
        <f ca="1">X40*Assumptions!Y$17+IF(COLUMN(X63)&lt;=6+Assumptions!$H81,0,OFFSET(X63,,-Assumptions!$H81))</f>
        <v>0</v>
      </c>
      <c r="Y63" s="562">
        <f ca="1">Y40*Assumptions!Z$17+IF(COLUMN(Y63)&lt;=6+Assumptions!$H81,0,OFFSET(Y63,,-Assumptions!$H81))</f>
        <v>0</v>
      </c>
      <c r="Z63" s="562">
        <f ca="1">Z40*Assumptions!AA$17+IF(COLUMN(Z63)&lt;=6+Assumptions!$H81,0,OFFSET(Z63,,-Assumptions!$H81))</f>
        <v>0</v>
      </c>
      <c r="AA63" s="562">
        <f ca="1">AA40*Assumptions!AB$17+IF(COLUMN(AA63)&lt;=6+Assumptions!$H81,0,OFFSET(AA63,,-Assumptions!$H81))</f>
        <v>0</v>
      </c>
    </row>
    <row r="64" spans="1:27" hidden="1" x14ac:dyDescent="0.45">
      <c r="A64" s="792"/>
      <c r="B64" s="705"/>
      <c r="C64" s="705"/>
      <c r="D64" s="707"/>
      <c r="E64" s="793"/>
      <c r="F64" s="704"/>
      <c r="G64" s="794" t="s">
        <v>22</v>
      </c>
      <c r="H64" s="794" t="s">
        <v>22</v>
      </c>
      <c r="I64" s="794" t="s">
        <v>22</v>
      </c>
      <c r="J64" s="794" t="s">
        <v>22</v>
      </c>
      <c r="K64" s="795" t="s">
        <v>22</v>
      </c>
      <c r="L64" s="566" t="s">
        <v>22</v>
      </c>
      <c r="M64" s="566" t="s">
        <v>22</v>
      </c>
      <c r="N64" s="566" t="s">
        <v>22</v>
      </c>
      <c r="O64" s="566" t="s">
        <v>22</v>
      </c>
      <c r="P64" s="566" t="s">
        <v>22</v>
      </c>
      <c r="Q64" s="566" t="s">
        <v>22</v>
      </c>
      <c r="R64" s="566" t="s">
        <v>22</v>
      </c>
      <c r="S64" s="566" t="s">
        <v>22</v>
      </c>
      <c r="T64" s="566" t="s">
        <v>22</v>
      </c>
      <c r="U64" s="566" t="s">
        <v>22</v>
      </c>
      <c r="V64" s="566" t="s">
        <v>22</v>
      </c>
      <c r="W64" s="566" t="s">
        <v>22</v>
      </c>
      <c r="X64" s="566" t="s">
        <v>22</v>
      </c>
      <c r="Y64" s="566" t="s">
        <v>22</v>
      </c>
      <c r="Z64" s="566" t="s">
        <v>22</v>
      </c>
      <c r="AA64" s="566" t="s">
        <v>22</v>
      </c>
    </row>
    <row r="65" spans="1:27" s="620" customFormat="1" hidden="1" x14ac:dyDescent="0.45">
      <c r="A65" s="796"/>
      <c r="B65" s="797"/>
      <c r="C65" s="797"/>
      <c r="D65" s="797" t="s">
        <v>508</v>
      </c>
      <c r="E65" s="798" t="s">
        <v>806</v>
      </c>
      <c r="F65" s="789"/>
      <c r="G65" s="799">
        <f ca="1">SUM(G42:G64)</f>
        <v>3400983.2053422374</v>
      </c>
      <c r="H65" s="799">
        <f t="shared" ref="H65:AA65" ca="1" si="2">SUM(H42:H64)</f>
        <v>0</v>
      </c>
      <c r="I65" s="799">
        <f t="shared" ca="1" si="2"/>
        <v>0</v>
      </c>
      <c r="J65" s="799">
        <f t="shared" ca="1" si="2"/>
        <v>0</v>
      </c>
      <c r="K65" s="800">
        <f t="shared" ca="1" si="2"/>
        <v>0</v>
      </c>
      <c r="L65" s="624">
        <f t="shared" ca="1" si="2"/>
        <v>0</v>
      </c>
      <c r="M65" s="624">
        <f t="shared" ca="1" si="2"/>
        <v>0</v>
      </c>
      <c r="N65" s="624">
        <f t="shared" ca="1" si="2"/>
        <v>0</v>
      </c>
      <c r="O65" s="624">
        <f t="shared" ca="1" si="2"/>
        <v>0</v>
      </c>
      <c r="P65" s="624">
        <f t="shared" ca="1" si="2"/>
        <v>0</v>
      </c>
      <c r="Q65" s="624">
        <f t="shared" ca="1" si="2"/>
        <v>0</v>
      </c>
      <c r="R65" s="624">
        <f t="shared" ca="1" si="2"/>
        <v>0</v>
      </c>
      <c r="S65" s="624">
        <f t="shared" ca="1" si="2"/>
        <v>0</v>
      </c>
      <c r="T65" s="624">
        <f t="shared" ca="1" si="2"/>
        <v>0</v>
      </c>
      <c r="U65" s="624">
        <f t="shared" ca="1" si="2"/>
        <v>0</v>
      </c>
      <c r="V65" s="624">
        <f t="shared" ca="1" si="2"/>
        <v>0</v>
      </c>
      <c r="W65" s="624">
        <f t="shared" ca="1" si="2"/>
        <v>0</v>
      </c>
      <c r="X65" s="624">
        <f t="shared" ca="1" si="2"/>
        <v>0</v>
      </c>
      <c r="Y65" s="624">
        <f t="shared" ca="1" si="2"/>
        <v>0</v>
      </c>
      <c r="Z65" s="624">
        <f t="shared" ca="1" si="2"/>
        <v>0</v>
      </c>
      <c r="AA65" s="624">
        <f t="shared" ca="1" si="2"/>
        <v>0</v>
      </c>
    </row>
    <row r="66" spans="1:27" s="620" customFormat="1" hidden="1" x14ac:dyDescent="0.45">
      <c r="A66" s="796"/>
      <c r="B66" s="797"/>
      <c r="C66" s="797"/>
      <c r="D66" s="797"/>
      <c r="E66" s="797"/>
      <c r="F66" s="797"/>
      <c r="G66" s="801"/>
      <c r="H66" s="801"/>
      <c r="I66" s="801"/>
      <c r="J66" s="801"/>
      <c r="K66" s="802"/>
      <c r="L66" s="622"/>
      <c r="M66" s="622"/>
      <c r="N66" s="622"/>
      <c r="O66" s="622"/>
      <c r="P66" s="622"/>
      <c r="Q66" s="622"/>
      <c r="R66" s="622"/>
      <c r="S66" s="622"/>
      <c r="T66" s="622"/>
      <c r="U66" s="622"/>
      <c r="V66" s="622"/>
      <c r="W66" s="622"/>
      <c r="X66" s="622"/>
      <c r="Y66" s="622"/>
      <c r="Z66" s="622"/>
      <c r="AA66" s="622"/>
    </row>
    <row r="67" spans="1:27" s="620" customFormat="1" hidden="1" x14ac:dyDescent="0.45">
      <c r="A67" s="796"/>
      <c r="B67" s="797"/>
      <c r="C67" s="797" t="s">
        <v>509</v>
      </c>
      <c r="D67" s="797"/>
      <c r="E67" s="797"/>
      <c r="F67" s="797"/>
      <c r="G67" s="801"/>
      <c r="H67" s="801"/>
      <c r="I67" s="801"/>
      <c r="J67" s="801"/>
      <c r="K67" s="802"/>
      <c r="L67" s="622"/>
      <c r="M67" s="622"/>
      <c r="N67" s="622"/>
      <c r="O67" s="622"/>
      <c r="P67" s="622"/>
      <c r="Q67" s="622"/>
      <c r="R67" s="622"/>
      <c r="S67" s="622"/>
      <c r="T67" s="622"/>
      <c r="U67" s="622"/>
      <c r="V67" s="622"/>
      <c r="W67" s="622"/>
      <c r="X67" s="622"/>
      <c r="Y67" s="622"/>
      <c r="Z67" s="622"/>
      <c r="AA67" s="622"/>
    </row>
    <row r="68" spans="1:27" s="620" customFormat="1" hidden="1" x14ac:dyDescent="0.45">
      <c r="A68" s="796"/>
      <c r="B68" s="797"/>
      <c r="C68" s="797" t="s">
        <v>114</v>
      </c>
      <c r="D68" s="797" t="str">
        <f>Assumptions!D109</f>
        <v>Landscaping</v>
      </c>
      <c r="E68" s="798" t="s">
        <v>813</v>
      </c>
      <c r="F68" s="797"/>
      <c r="G68" s="799">
        <f>Assumptions!I147</f>
        <v>120200.33388981636</v>
      </c>
      <c r="H68" s="799">
        <f>G68*(1+Assumptions!$H$184)</f>
        <v>122604.3405676127</v>
      </c>
      <c r="I68" s="799">
        <f>H68*(1+Assumptions!$H$184)</f>
        <v>125056.42737896496</v>
      </c>
      <c r="J68" s="799">
        <f>I68*(1+Assumptions!$H$184)</f>
        <v>127557.55592654426</v>
      </c>
      <c r="K68" s="800">
        <f>J68*(1+Assumptions!$H$184)</f>
        <v>130108.70704507515</v>
      </c>
      <c r="L68" s="624">
        <f>K68*(1+Assumptions!$H$184)</f>
        <v>132710.88118597664</v>
      </c>
      <c r="M68" s="624">
        <f>L68*(1+Assumptions!$H$184)</f>
        <v>135365.09880969618</v>
      </c>
      <c r="N68" s="624">
        <f>M68*(1+Assumptions!$H$184)</f>
        <v>138072.40078589012</v>
      </c>
      <c r="O68" s="624">
        <f>N68*(1+Assumptions!$H$184)</f>
        <v>140833.84880160794</v>
      </c>
      <c r="P68" s="624">
        <f>O68*(1+Assumptions!$H$184)</f>
        <v>143650.52577764008</v>
      </c>
      <c r="Q68" s="624">
        <f>P68*(1+Assumptions!$H$184)</f>
        <v>146523.53629319288</v>
      </c>
      <c r="R68" s="624">
        <f>Q68*(1+Assumptions!$H$184)</f>
        <v>149454.00701905673</v>
      </c>
      <c r="S68" s="624">
        <f>R68*(1+Assumptions!$H$184)</f>
        <v>152443.08715943788</v>
      </c>
      <c r="T68" s="624">
        <f>S68*(1+Assumptions!$H$184)</f>
        <v>155491.94890262664</v>
      </c>
      <c r="U68" s="624">
        <f>T68*(1+Assumptions!$H$184)</f>
        <v>158601.78788067919</v>
      </c>
      <c r="V68" s="624">
        <f>U68*(1+Assumptions!$H$184)</f>
        <v>161773.82363829276</v>
      </c>
      <c r="W68" s="624">
        <f>V68*(1+Assumptions!$H$184)</f>
        <v>165009.3001110586</v>
      </c>
      <c r="X68" s="624">
        <f>W68*(1+Assumptions!$H$184)</f>
        <v>168309.48611327977</v>
      </c>
      <c r="Y68" s="624">
        <f>X68*(1+Assumptions!$H$184)</f>
        <v>171675.67583554538</v>
      </c>
      <c r="Z68" s="624">
        <f>Y68*(1+Assumptions!$H$184)</f>
        <v>175109.18935225628</v>
      </c>
      <c r="AA68" s="624">
        <f>Z68*(1+Assumptions!$H$184)</f>
        <v>178611.3731393014</v>
      </c>
    </row>
    <row r="69" spans="1:27" s="620" customFormat="1" hidden="1" x14ac:dyDescent="0.45">
      <c r="A69" s="796"/>
      <c r="B69" s="797"/>
      <c r="C69" s="797" t="s">
        <v>114</v>
      </c>
      <c r="D69" s="797" t="str">
        <f>Assumptions!D110</f>
        <v>Building</v>
      </c>
      <c r="E69" s="798" t="s">
        <v>813</v>
      </c>
      <c r="F69" s="797"/>
      <c r="G69" s="799">
        <f>Assumptions!I148</f>
        <v>50083.472454090152</v>
      </c>
      <c r="H69" s="799">
        <f>G69*(1+Assumptions!$H$184)</f>
        <v>51085.141903171956</v>
      </c>
      <c r="I69" s="799">
        <f>H69*(1+Assumptions!$H$184)</f>
        <v>52106.844741235393</v>
      </c>
      <c r="J69" s="799">
        <f>I69*(1+Assumptions!$H$184)</f>
        <v>53148.981636060103</v>
      </c>
      <c r="K69" s="800">
        <f>J69*(1+Assumptions!$H$184)</f>
        <v>54211.961268781306</v>
      </c>
      <c r="L69" s="624">
        <f>K69*(1+Assumptions!$H$184)</f>
        <v>55296.200494156932</v>
      </c>
      <c r="M69" s="624">
        <f>L69*(1+Assumptions!$H$184)</f>
        <v>56402.124504040068</v>
      </c>
      <c r="N69" s="624">
        <f>M69*(1+Assumptions!$H$184)</f>
        <v>57530.166994120867</v>
      </c>
      <c r="O69" s="624">
        <f>N69*(1+Assumptions!$H$184)</f>
        <v>58680.770334003289</v>
      </c>
      <c r="P69" s="624">
        <f>O69*(1+Assumptions!$H$184)</f>
        <v>59854.385740683356</v>
      </c>
      <c r="Q69" s="624">
        <f>P69*(1+Assumptions!$H$184)</f>
        <v>61051.473455497027</v>
      </c>
      <c r="R69" s="624">
        <f>Q69*(1+Assumptions!$H$184)</f>
        <v>62272.502924606968</v>
      </c>
      <c r="S69" s="624">
        <f>R69*(1+Assumptions!$H$184)</f>
        <v>63517.952983099109</v>
      </c>
      <c r="T69" s="624">
        <f>S69*(1+Assumptions!$H$184)</f>
        <v>64788.312042761092</v>
      </c>
      <c r="U69" s="624">
        <f>T69*(1+Assumptions!$H$184)</f>
        <v>66084.078283616313</v>
      </c>
      <c r="V69" s="624">
        <f>U69*(1+Assumptions!$H$184)</f>
        <v>67405.759849288646</v>
      </c>
      <c r="W69" s="624">
        <f>V69*(1+Assumptions!$H$184)</f>
        <v>68753.875046274421</v>
      </c>
      <c r="X69" s="624">
        <f>W69*(1+Assumptions!$H$184)</f>
        <v>70128.952547199908</v>
      </c>
      <c r="Y69" s="624">
        <f>X69*(1+Assumptions!$H$184)</f>
        <v>71531.531598143905</v>
      </c>
      <c r="Z69" s="624">
        <f>Y69*(1+Assumptions!$H$184)</f>
        <v>72962.162230106784</v>
      </c>
      <c r="AA69" s="624">
        <f>Z69*(1+Assumptions!$H$184)</f>
        <v>74421.405474708925</v>
      </c>
    </row>
    <row r="70" spans="1:27" s="620" customFormat="1" hidden="1" x14ac:dyDescent="0.45">
      <c r="A70" s="796"/>
      <c r="B70" s="797"/>
      <c r="C70" s="797" t="s">
        <v>114</v>
      </c>
      <c r="D70" s="797" t="str">
        <f>Assumptions!D111</f>
        <v>Storage</v>
      </c>
      <c r="E70" s="798" t="s">
        <v>813</v>
      </c>
      <c r="F70" s="797"/>
      <c r="G70" s="799">
        <f>Assumptions!I149</f>
        <v>14023.372287145243</v>
      </c>
      <c r="H70" s="799">
        <f>G70*(1+Assumptions!$H$184)</f>
        <v>14303.839732888147</v>
      </c>
      <c r="I70" s="799">
        <f>H70*(1+Assumptions!$H$184)</f>
        <v>14589.916527545911</v>
      </c>
      <c r="J70" s="799">
        <f>I70*(1+Assumptions!$H$184)</f>
        <v>14881.71485809683</v>
      </c>
      <c r="K70" s="800">
        <f>J70*(1+Assumptions!$H$184)</f>
        <v>15179.349155258766</v>
      </c>
      <c r="L70" s="624">
        <f>K70*(1+Assumptions!$H$184)</f>
        <v>15482.936138363941</v>
      </c>
      <c r="M70" s="624">
        <f>L70*(1+Assumptions!$H$184)</f>
        <v>15792.59486113122</v>
      </c>
      <c r="N70" s="624">
        <f>M70*(1+Assumptions!$H$184)</f>
        <v>16108.446758353844</v>
      </c>
      <c r="O70" s="624">
        <f>N70*(1+Assumptions!$H$184)</f>
        <v>16430.615693520922</v>
      </c>
      <c r="P70" s="624">
        <f>O70*(1+Assumptions!$H$184)</f>
        <v>16759.228007391339</v>
      </c>
      <c r="Q70" s="624">
        <f>P70*(1+Assumptions!$H$184)</f>
        <v>17094.412567539166</v>
      </c>
      <c r="R70" s="624">
        <f>Q70*(1+Assumptions!$H$184)</f>
        <v>17436.300818889951</v>
      </c>
      <c r="S70" s="624">
        <f>R70*(1+Assumptions!$H$184)</f>
        <v>17785.026835267752</v>
      </c>
      <c r="T70" s="624">
        <f>S70*(1+Assumptions!$H$184)</f>
        <v>18140.727371973109</v>
      </c>
      <c r="U70" s="624">
        <f>T70*(1+Assumptions!$H$184)</f>
        <v>18503.541919412572</v>
      </c>
      <c r="V70" s="624">
        <f>U70*(1+Assumptions!$H$184)</f>
        <v>18873.612757800824</v>
      </c>
      <c r="W70" s="624">
        <f>V70*(1+Assumptions!$H$184)</f>
        <v>19251.085012956839</v>
      </c>
      <c r="X70" s="624">
        <f>W70*(1+Assumptions!$H$184)</f>
        <v>19636.106713215977</v>
      </c>
      <c r="Y70" s="624">
        <f>X70*(1+Assumptions!$H$184)</f>
        <v>20028.828847480298</v>
      </c>
      <c r="Z70" s="624">
        <f>Y70*(1+Assumptions!$H$184)</f>
        <v>20429.405424429904</v>
      </c>
      <c r="AA70" s="624">
        <f>Z70*(1+Assumptions!$H$184)</f>
        <v>20837.993532918503</v>
      </c>
    </row>
    <row r="71" spans="1:27" s="620" customFormat="1" hidden="1" x14ac:dyDescent="0.45">
      <c r="A71" s="796"/>
      <c r="B71" s="797"/>
      <c r="C71" s="797" t="s">
        <v>114</v>
      </c>
      <c r="D71" s="797" t="str">
        <f>Assumptions!D112</f>
        <v>Water System</v>
      </c>
      <c r="E71" s="798" t="s">
        <v>813</v>
      </c>
      <c r="F71" s="797"/>
      <c r="G71" s="799">
        <f>Assumptions!I150</f>
        <v>14023.372287145243</v>
      </c>
      <c r="H71" s="799">
        <f>G71*(1+Assumptions!$H$184)</f>
        <v>14303.839732888147</v>
      </c>
      <c r="I71" s="799">
        <f>H71*(1+Assumptions!$H$184)</f>
        <v>14589.916527545911</v>
      </c>
      <c r="J71" s="799">
        <f>I71*(1+Assumptions!$H$184)</f>
        <v>14881.71485809683</v>
      </c>
      <c r="K71" s="800">
        <f>J71*(1+Assumptions!$H$184)</f>
        <v>15179.349155258766</v>
      </c>
      <c r="L71" s="624">
        <f>K71*(1+Assumptions!$H$184)</f>
        <v>15482.936138363941</v>
      </c>
      <c r="M71" s="624">
        <f>L71*(1+Assumptions!$H$184)</f>
        <v>15792.59486113122</v>
      </c>
      <c r="N71" s="624">
        <f>M71*(1+Assumptions!$H$184)</f>
        <v>16108.446758353844</v>
      </c>
      <c r="O71" s="624">
        <f>N71*(1+Assumptions!$H$184)</f>
        <v>16430.615693520922</v>
      </c>
      <c r="P71" s="624">
        <f>O71*(1+Assumptions!$H$184)</f>
        <v>16759.228007391339</v>
      </c>
      <c r="Q71" s="624">
        <f>P71*(1+Assumptions!$H$184)</f>
        <v>17094.412567539166</v>
      </c>
      <c r="R71" s="624">
        <f>Q71*(1+Assumptions!$H$184)</f>
        <v>17436.300818889951</v>
      </c>
      <c r="S71" s="624">
        <f>R71*(1+Assumptions!$H$184)</f>
        <v>17785.026835267752</v>
      </c>
      <c r="T71" s="624">
        <f>S71*(1+Assumptions!$H$184)</f>
        <v>18140.727371973109</v>
      </c>
      <c r="U71" s="624">
        <f>T71*(1+Assumptions!$H$184)</f>
        <v>18503.541919412572</v>
      </c>
      <c r="V71" s="624">
        <f>U71*(1+Assumptions!$H$184)</f>
        <v>18873.612757800824</v>
      </c>
      <c r="W71" s="624">
        <f>V71*(1+Assumptions!$H$184)</f>
        <v>19251.085012956839</v>
      </c>
      <c r="X71" s="624">
        <f>W71*(1+Assumptions!$H$184)</f>
        <v>19636.106713215977</v>
      </c>
      <c r="Y71" s="624">
        <f>X71*(1+Assumptions!$H$184)</f>
        <v>20028.828847480298</v>
      </c>
      <c r="Z71" s="624">
        <f>Y71*(1+Assumptions!$H$184)</f>
        <v>20429.405424429904</v>
      </c>
      <c r="AA71" s="624">
        <f>Z71*(1+Assumptions!$H$184)</f>
        <v>20837.993532918503</v>
      </c>
    </row>
    <row r="72" spans="1:27" s="620" customFormat="1" hidden="1" x14ac:dyDescent="0.45">
      <c r="A72" s="796"/>
      <c r="B72" s="797"/>
      <c r="C72" s="797" t="s">
        <v>114</v>
      </c>
      <c r="D72" s="797" t="str">
        <f>Assumptions!D113</f>
        <v>Electricity</v>
      </c>
      <c r="E72" s="798" t="s">
        <v>813</v>
      </c>
      <c r="F72" s="797"/>
      <c r="G72" s="799">
        <f>Assumptions!I151</f>
        <v>6010.0166944908178</v>
      </c>
      <c r="H72" s="799">
        <f>G72*(1+Assumptions!$H$184)</f>
        <v>6130.2170283806345</v>
      </c>
      <c r="I72" s="799">
        <f>H72*(1+Assumptions!$H$184)</f>
        <v>6252.8213689482473</v>
      </c>
      <c r="J72" s="799">
        <f>I72*(1+Assumptions!$H$184)</f>
        <v>6377.8777963272123</v>
      </c>
      <c r="K72" s="800">
        <f>J72*(1+Assumptions!$H$184)</f>
        <v>6505.4353522537567</v>
      </c>
      <c r="L72" s="624">
        <f>K72*(1+Assumptions!$H$184)</f>
        <v>6635.5440592988316</v>
      </c>
      <c r="M72" s="624">
        <f>L72*(1+Assumptions!$H$184)</f>
        <v>6768.2549404848087</v>
      </c>
      <c r="N72" s="624">
        <f>M72*(1+Assumptions!$H$184)</f>
        <v>6903.6200392945047</v>
      </c>
      <c r="O72" s="624">
        <f>N72*(1+Assumptions!$H$184)</f>
        <v>7041.6924400803946</v>
      </c>
      <c r="P72" s="624">
        <f>O72*(1+Assumptions!$H$184)</f>
        <v>7182.5262888820025</v>
      </c>
      <c r="Q72" s="624">
        <f>P72*(1+Assumptions!$H$184)</f>
        <v>7326.1768146596423</v>
      </c>
      <c r="R72" s="624">
        <f>Q72*(1+Assumptions!$H$184)</f>
        <v>7472.7003509528349</v>
      </c>
      <c r="S72" s="624">
        <f>R72*(1+Assumptions!$H$184)</f>
        <v>7622.1543579718918</v>
      </c>
      <c r="T72" s="624">
        <f>S72*(1+Assumptions!$H$184)</f>
        <v>7774.5974451313296</v>
      </c>
      <c r="U72" s="624">
        <f>T72*(1+Assumptions!$H$184)</f>
        <v>7930.0893940339565</v>
      </c>
      <c r="V72" s="624">
        <f>U72*(1+Assumptions!$H$184)</f>
        <v>8088.6911819146362</v>
      </c>
      <c r="W72" s="624">
        <f>V72*(1+Assumptions!$H$184)</f>
        <v>8250.4650055529291</v>
      </c>
      <c r="X72" s="624">
        <f>W72*(1+Assumptions!$H$184)</f>
        <v>8415.4743056639873</v>
      </c>
      <c r="Y72" s="624">
        <f>X72*(1+Assumptions!$H$184)</f>
        <v>8583.7837917772667</v>
      </c>
      <c r="Z72" s="624">
        <f>Y72*(1+Assumptions!$H$184)</f>
        <v>8755.4594676128127</v>
      </c>
      <c r="AA72" s="624">
        <f>Z72*(1+Assumptions!$H$184)</f>
        <v>8930.5686569650697</v>
      </c>
    </row>
    <row r="73" spans="1:27" s="620" customFormat="1" hidden="1" x14ac:dyDescent="0.45">
      <c r="A73" s="796"/>
      <c r="B73" s="797"/>
      <c r="C73" s="797" t="s">
        <v>114</v>
      </c>
      <c r="D73" s="797" t="str">
        <f>Assumptions!D114</f>
        <v>Waste Management</v>
      </c>
      <c r="E73" s="798" t="s">
        <v>813</v>
      </c>
      <c r="F73" s="797"/>
      <c r="G73" s="799">
        <f>Assumptions!I152</f>
        <v>6010.0166944908178</v>
      </c>
      <c r="H73" s="799">
        <f>G73*(1+Assumptions!$H$184)</f>
        <v>6130.2170283806345</v>
      </c>
      <c r="I73" s="799">
        <f>H73*(1+Assumptions!$H$184)</f>
        <v>6252.8213689482473</v>
      </c>
      <c r="J73" s="799">
        <f>I73*(1+Assumptions!$H$184)</f>
        <v>6377.8777963272123</v>
      </c>
      <c r="K73" s="800">
        <f>J73*(1+Assumptions!$H$184)</f>
        <v>6505.4353522537567</v>
      </c>
      <c r="L73" s="624">
        <f>K73*(1+Assumptions!$H$184)</f>
        <v>6635.5440592988316</v>
      </c>
      <c r="M73" s="624">
        <f>L73*(1+Assumptions!$H$184)</f>
        <v>6768.2549404848087</v>
      </c>
      <c r="N73" s="624">
        <f>M73*(1+Assumptions!$H$184)</f>
        <v>6903.6200392945047</v>
      </c>
      <c r="O73" s="624">
        <f>N73*(1+Assumptions!$H$184)</f>
        <v>7041.6924400803946</v>
      </c>
      <c r="P73" s="624">
        <f>O73*(1+Assumptions!$H$184)</f>
        <v>7182.5262888820025</v>
      </c>
      <c r="Q73" s="624">
        <f>P73*(1+Assumptions!$H$184)</f>
        <v>7326.1768146596423</v>
      </c>
      <c r="R73" s="624">
        <f>Q73*(1+Assumptions!$H$184)</f>
        <v>7472.7003509528349</v>
      </c>
      <c r="S73" s="624">
        <f>R73*(1+Assumptions!$H$184)</f>
        <v>7622.1543579718918</v>
      </c>
      <c r="T73" s="624">
        <f>S73*(1+Assumptions!$H$184)</f>
        <v>7774.5974451313296</v>
      </c>
      <c r="U73" s="624">
        <f>T73*(1+Assumptions!$H$184)</f>
        <v>7930.0893940339565</v>
      </c>
      <c r="V73" s="624">
        <f>U73*(1+Assumptions!$H$184)</f>
        <v>8088.6911819146362</v>
      </c>
      <c r="W73" s="624">
        <f>V73*(1+Assumptions!$H$184)</f>
        <v>8250.4650055529291</v>
      </c>
      <c r="X73" s="624">
        <f>W73*(1+Assumptions!$H$184)</f>
        <v>8415.4743056639873</v>
      </c>
      <c r="Y73" s="624">
        <f>X73*(1+Assumptions!$H$184)</f>
        <v>8583.7837917772667</v>
      </c>
      <c r="Z73" s="624">
        <f>Y73*(1+Assumptions!$H$184)</f>
        <v>8755.4594676128127</v>
      </c>
      <c r="AA73" s="624">
        <f>Z73*(1+Assumptions!$H$184)</f>
        <v>8930.5686569650697</v>
      </c>
    </row>
    <row r="74" spans="1:27" s="620" customFormat="1" hidden="1" x14ac:dyDescent="0.45">
      <c r="A74" s="796"/>
      <c r="B74" s="797"/>
      <c r="C74" s="797" t="s">
        <v>114</v>
      </c>
      <c r="D74" s="797" t="str">
        <f>Assumptions!D115</f>
        <v>Dry cleaner NSD 0</v>
      </c>
      <c r="E74" s="798" t="s">
        <v>813</v>
      </c>
      <c r="F74" s="797"/>
      <c r="G74" s="799">
        <f>Assumptions!I153</f>
        <v>36060.100166944911</v>
      </c>
      <c r="H74" s="799">
        <f>G74*(1+Assumptions!$H$184)</f>
        <v>36781.302170283809</v>
      </c>
      <c r="I74" s="799">
        <f>H74*(1+Assumptions!$H$184)</f>
        <v>37516.928213689484</v>
      </c>
      <c r="J74" s="799">
        <f>I74*(1+Assumptions!$H$184)</f>
        <v>38267.266777963276</v>
      </c>
      <c r="K74" s="800">
        <f>J74*(1+Assumptions!$H$184)</f>
        <v>39032.61211352254</v>
      </c>
      <c r="L74" s="624">
        <f>K74*(1+Assumptions!$H$184)</f>
        <v>39813.264355792991</v>
      </c>
      <c r="M74" s="624">
        <f>L74*(1+Assumptions!$H$184)</f>
        <v>40609.529642908848</v>
      </c>
      <c r="N74" s="624">
        <f>M74*(1+Assumptions!$H$184)</f>
        <v>41421.720235767025</v>
      </c>
      <c r="O74" s="624">
        <f>N74*(1+Assumptions!$H$184)</f>
        <v>42250.154640482368</v>
      </c>
      <c r="P74" s="624">
        <f>O74*(1+Assumptions!$H$184)</f>
        <v>43095.157733292013</v>
      </c>
      <c r="Q74" s="624">
        <f>P74*(1+Assumptions!$H$184)</f>
        <v>43957.060887957858</v>
      </c>
      <c r="R74" s="624">
        <f>Q74*(1+Assumptions!$H$184)</f>
        <v>44836.202105717013</v>
      </c>
      <c r="S74" s="624">
        <f>R74*(1+Assumptions!$H$184)</f>
        <v>45732.926147831357</v>
      </c>
      <c r="T74" s="624">
        <f>S74*(1+Assumptions!$H$184)</f>
        <v>46647.584670787983</v>
      </c>
      <c r="U74" s="624">
        <f>T74*(1+Assumptions!$H$184)</f>
        <v>47580.536364203741</v>
      </c>
      <c r="V74" s="624">
        <f>U74*(1+Assumptions!$H$184)</f>
        <v>48532.147091487815</v>
      </c>
      <c r="W74" s="624">
        <f>V74*(1+Assumptions!$H$184)</f>
        <v>49502.790033317571</v>
      </c>
      <c r="X74" s="624">
        <f>W74*(1+Assumptions!$H$184)</f>
        <v>50492.845833983927</v>
      </c>
      <c r="Y74" s="624">
        <f>X74*(1+Assumptions!$H$184)</f>
        <v>51502.702750663608</v>
      </c>
      <c r="Z74" s="624">
        <f>Y74*(1+Assumptions!$H$184)</f>
        <v>52532.75680567688</v>
      </c>
      <c r="AA74" s="624">
        <f>Z74*(1+Assumptions!$H$184)</f>
        <v>53583.411941790415</v>
      </c>
    </row>
    <row r="75" spans="1:27" s="620" customFormat="1" hidden="1" x14ac:dyDescent="0.45">
      <c r="A75" s="796"/>
      <c r="B75" s="797"/>
      <c r="C75" s="797" t="s">
        <v>114</v>
      </c>
      <c r="D75" s="797" t="str">
        <f>Assumptions!D116</f>
        <v xml:space="preserve">Crusher </v>
      </c>
      <c r="E75" s="798" t="s">
        <v>813</v>
      </c>
      <c r="F75" s="797"/>
      <c r="G75" s="799">
        <f>Assumptions!I154</f>
        <v>5901.8363939899837</v>
      </c>
      <c r="H75" s="799">
        <f>G75*(1+Assumptions!$H$184)</f>
        <v>6019.8731218697831</v>
      </c>
      <c r="I75" s="799">
        <f>H75*(1+Assumptions!$H$184)</f>
        <v>6140.270584307179</v>
      </c>
      <c r="J75" s="799">
        <f>I75*(1+Assumptions!$H$184)</f>
        <v>6263.075995993323</v>
      </c>
      <c r="K75" s="800">
        <f>J75*(1+Assumptions!$H$184)</f>
        <v>6388.3375159131892</v>
      </c>
      <c r="L75" s="624">
        <f>K75*(1+Assumptions!$H$184)</f>
        <v>6516.104266231453</v>
      </c>
      <c r="M75" s="624">
        <f>L75*(1+Assumptions!$H$184)</f>
        <v>6646.4263515560824</v>
      </c>
      <c r="N75" s="624">
        <f>M75*(1+Assumptions!$H$184)</f>
        <v>6779.3548785872044</v>
      </c>
      <c r="O75" s="624">
        <f>N75*(1+Assumptions!$H$184)</f>
        <v>6914.9419761589488</v>
      </c>
      <c r="P75" s="624">
        <f>O75*(1+Assumptions!$H$184)</f>
        <v>7053.2408156821275</v>
      </c>
      <c r="Q75" s="624">
        <f>P75*(1+Assumptions!$H$184)</f>
        <v>7194.3056319957705</v>
      </c>
      <c r="R75" s="624">
        <f>Q75*(1+Assumptions!$H$184)</f>
        <v>7338.1917446356856</v>
      </c>
      <c r="S75" s="624">
        <f>R75*(1+Assumptions!$H$184)</f>
        <v>7484.9555795283995</v>
      </c>
      <c r="T75" s="624">
        <f>S75*(1+Assumptions!$H$184)</f>
        <v>7634.654691118968</v>
      </c>
      <c r="U75" s="624">
        <f>T75*(1+Assumptions!$H$184)</f>
        <v>7787.3477849413475</v>
      </c>
      <c r="V75" s="624">
        <f>U75*(1+Assumptions!$H$184)</f>
        <v>7943.0947406401747</v>
      </c>
      <c r="W75" s="624">
        <f>V75*(1+Assumptions!$H$184)</f>
        <v>8101.9566354529779</v>
      </c>
      <c r="X75" s="624">
        <f>W75*(1+Assumptions!$H$184)</f>
        <v>8263.9957681620381</v>
      </c>
      <c r="Y75" s="624">
        <f>X75*(1+Assumptions!$H$184)</f>
        <v>8429.2756835252785</v>
      </c>
      <c r="Z75" s="624">
        <f>Y75*(1+Assumptions!$H$184)</f>
        <v>8597.8611971957835</v>
      </c>
      <c r="AA75" s="624">
        <f>Z75*(1+Assumptions!$H$184)</f>
        <v>8769.8184211397001</v>
      </c>
    </row>
    <row r="76" spans="1:27" s="620" customFormat="1" hidden="1" x14ac:dyDescent="0.45">
      <c r="A76" s="796"/>
      <c r="B76" s="797"/>
      <c r="C76" s="797" t="s">
        <v>114</v>
      </c>
      <c r="D76" s="797" t="str">
        <f>Assumptions!D117</f>
        <v>Shea nut drying/roasting unit</v>
      </c>
      <c r="E76" s="798" t="s">
        <v>813</v>
      </c>
      <c r="F76" s="797"/>
      <c r="G76" s="799">
        <f>Assumptions!I155</f>
        <v>4524.5409015025043</v>
      </c>
      <c r="H76" s="799">
        <f>G76*(1+Assumptions!$H$184)</f>
        <v>4615.0317195325542</v>
      </c>
      <c r="I76" s="799">
        <f>H76*(1+Assumptions!$H$184)</f>
        <v>4707.3323539232051</v>
      </c>
      <c r="J76" s="799">
        <f>I76*(1+Assumptions!$H$184)</f>
        <v>4801.4790010016695</v>
      </c>
      <c r="K76" s="800">
        <f>J76*(1+Assumptions!$H$184)</f>
        <v>4897.5085810217033</v>
      </c>
      <c r="L76" s="624">
        <f>K76*(1+Assumptions!$H$184)</f>
        <v>4995.4587526421374</v>
      </c>
      <c r="M76" s="624">
        <f>L76*(1+Assumptions!$H$184)</f>
        <v>5095.3679276949806</v>
      </c>
      <c r="N76" s="624">
        <f>M76*(1+Assumptions!$H$184)</f>
        <v>5197.2752862488805</v>
      </c>
      <c r="O76" s="624">
        <f>N76*(1+Assumptions!$H$184)</f>
        <v>5301.2207919738585</v>
      </c>
      <c r="P76" s="624">
        <f>O76*(1+Assumptions!$H$184)</f>
        <v>5407.2452078133356</v>
      </c>
      <c r="Q76" s="624">
        <f>P76*(1+Assumptions!$H$184)</f>
        <v>5515.390111969602</v>
      </c>
      <c r="R76" s="624">
        <f>Q76*(1+Assumptions!$H$184)</f>
        <v>5625.697914208994</v>
      </c>
      <c r="S76" s="624">
        <f>R76*(1+Assumptions!$H$184)</f>
        <v>5738.2118724931743</v>
      </c>
      <c r="T76" s="624">
        <f>S76*(1+Assumptions!$H$184)</f>
        <v>5852.976109943038</v>
      </c>
      <c r="U76" s="624">
        <f>T76*(1+Assumptions!$H$184)</f>
        <v>5970.0356321418985</v>
      </c>
      <c r="V76" s="624">
        <f>U76*(1+Assumptions!$H$184)</f>
        <v>6089.4363447847363</v>
      </c>
      <c r="W76" s="624">
        <f>V76*(1+Assumptions!$H$184)</f>
        <v>6211.225071680431</v>
      </c>
      <c r="X76" s="624">
        <f>W76*(1+Assumptions!$H$184)</f>
        <v>6335.4495731140396</v>
      </c>
      <c r="Y76" s="624">
        <f>X76*(1+Assumptions!$H$184)</f>
        <v>6462.1585645763207</v>
      </c>
      <c r="Z76" s="624">
        <f>Y76*(1+Assumptions!$H$184)</f>
        <v>6591.4017358678475</v>
      </c>
      <c r="AA76" s="624">
        <f>Z76*(1+Assumptions!$H$184)</f>
        <v>6723.2297705852043</v>
      </c>
    </row>
    <row r="77" spans="1:27" s="620" customFormat="1" hidden="1" x14ac:dyDescent="0.45">
      <c r="A77" s="796"/>
      <c r="B77" s="797"/>
      <c r="C77" s="797" t="s">
        <v>114</v>
      </c>
      <c r="D77" s="797" t="str">
        <f>Assumptions!D118</f>
        <v>Press MBU 40</v>
      </c>
      <c r="E77" s="798" t="s">
        <v>813</v>
      </c>
      <c r="F77" s="797"/>
      <c r="G77" s="799">
        <f>Assumptions!I156</f>
        <v>40439.398998330551</v>
      </c>
      <c r="H77" s="799">
        <f>G77*(1+Assumptions!$H$184)</f>
        <v>41248.186978297163</v>
      </c>
      <c r="I77" s="799">
        <f>H77*(1+Assumptions!$H$184)</f>
        <v>42073.150717863107</v>
      </c>
      <c r="J77" s="799">
        <f>I77*(1+Assumptions!$H$184)</f>
        <v>42914.613732220372</v>
      </c>
      <c r="K77" s="800">
        <f>J77*(1+Assumptions!$H$184)</f>
        <v>43772.906006864781</v>
      </c>
      <c r="L77" s="624">
        <f>K77*(1+Assumptions!$H$184)</f>
        <v>44648.364127002074</v>
      </c>
      <c r="M77" s="624">
        <f>L77*(1+Assumptions!$H$184)</f>
        <v>45541.331409542116</v>
      </c>
      <c r="N77" s="624">
        <f>M77*(1+Assumptions!$H$184)</f>
        <v>46452.158037732959</v>
      </c>
      <c r="O77" s="624">
        <f>N77*(1+Assumptions!$H$184)</f>
        <v>47381.201198487623</v>
      </c>
      <c r="P77" s="624">
        <f>O77*(1+Assumptions!$H$184)</f>
        <v>48328.825222457373</v>
      </c>
      <c r="Q77" s="624">
        <f>P77*(1+Assumptions!$H$184)</f>
        <v>49295.401726906523</v>
      </c>
      <c r="R77" s="624">
        <f>Q77*(1+Assumptions!$H$184)</f>
        <v>50281.309761444652</v>
      </c>
      <c r="S77" s="624">
        <f>R77*(1+Assumptions!$H$184)</f>
        <v>51286.935956673544</v>
      </c>
      <c r="T77" s="624">
        <f>S77*(1+Assumptions!$H$184)</f>
        <v>52312.674675807015</v>
      </c>
      <c r="U77" s="624">
        <f>T77*(1+Assumptions!$H$184)</f>
        <v>53358.928169323153</v>
      </c>
      <c r="V77" s="624">
        <f>U77*(1+Assumptions!$H$184)</f>
        <v>54426.106732709617</v>
      </c>
      <c r="W77" s="624">
        <f>V77*(1+Assumptions!$H$184)</f>
        <v>55514.628867363812</v>
      </c>
      <c r="X77" s="624">
        <f>W77*(1+Assumptions!$H$184)</f>
        <v>56624.921444711086</v>
      </c>
      <c r="Y77" s="624">
        <f>X77*(1+Assumptions!$H$184)</f>
        <v>57757.419873605308</v>
      </c>
      <c r="Z77" s="624">
        <f>Y77*(1+Assumptions!$H$184)</f>
        <v>58912.568271077413</v>
      </c>
      <c r="AA77" s="624">
        <f>Z77*(1+Assumptions!$H$184)</f>
        <v>60090.819636498964</v>
      </c>
    </row>
    <row r="78" spans="1:27" s="620" customFormat="1" hidden="1" x14ac:dyDescent="0.45">
      <c r="A78" s="796"/>
      <c r="B78" s="797"/>
      <c r="C78" s="797" t="s">
        <v>114</v>
      </c>
      <c r="D78" s="797" t="str">
        <f>Assumptions!D119</f>
        <v>Thermal installation</v>
      </c>
      <c r="E78" s="798" t="s">
        <v>813</v>
      </c>
      <c r="F78" s="797"/>
      <c r="G78" s="799">
        <f>Assumptions!I157</f>
        <v>37262.103505843072</v>
      </c>
      <c r="H78" s="799">
        <f>G78*(1+Assumptions!$H$184)</f>
        <v>38007.345575959931</v>
      </c>
      <c r="I78" s="799">
        <f>H78*(1+Assumptions!$H$184)</f>
        <v>38767.492487479132</v>
      </c>
      <c r="J78" s="799">
        <f>I78*(1+Assumptions!$H$184)</f>
        <v>39542.842337228714</v>
      </c>
      <c r="K78" s="800">
        <f>J78*(1+Assumptions!$H$184)</f>
        <v>40333.699183973287</v>
      </c>
      <c r="L78" s="624">
        <f>K78*(1+Assumptions!$H$184)</f>
        <v>41140.373167652753</v>
      </c>
      <c r="M78" s="624">
        <f>L78*(1+Assumptions!$H$184)</f>
        <v>41963.180631005809</v>
      </c>
      <c r="N78" s="624">
        <f>M78*(1+Assumptions!$H$184)</f>
        <v>42802.444243625927</v>
      </c>
      <c r="O78" s="624">
        <f>N78*(1+Assumptions!$H$184)</f>
        <v>43658.493128498449</v>
      </c>
      <c r="P78" s="624">
        <f>O78*(1+Assumptions!$H$184)</f>
        <v>44531.662991068421</v>
      </c>
      <c r="Q78" s="624">
        <f>P78*(1+Assumptions!$H$184)</f>
        <v>45422.296250889791</v>
      </c>
      <c r="R78" s="624">
        <f>Q78*(1+Assumptions!$H$184)</f>
        <v>46330.742175907588</v>
      </c>
      <c r="S78" s="624">
        <f>R78*(1+Assumptions!$H$184)</f>
        <v>47257.357019425741</v>
      </c>
      <c r="T78" s="624">
        <f>S78*(1+Assumptions!$H$184)</f>
        <v>48202.504159814256</v>
      </c>
      <c r="U78" s="624">
        <f>T78*(1+Assumptions!$H$184)</f>
        <v>49166.554243010542</v>
      </c>
      <c r="V78" s="624">
        <f>U78*(1+Assumptions!$H$184)</f>
        <v>50149.885327870754</v>
      </c>
      <c r="W78" s="624">
        <f>V78*(1+Assumptions!$H$184)</f>
        <v>51152.883034428167</v>
      </c>
      <c r="X78" s="624">
        <f>W78*(1+Assumptions!$H$184)</f>
        <v>52175.940695116733</v>
      </c>
      <c r="Y78" s="624">
        <f>X78*(1+Assumptions!$H$184)</f>
        <v>53219.459509019071</v>
      </c>
      <c r="Z78" s="624">
        <f>Y78*(1+Assumptions!$H$184)</f>
        <v>54283.84869919945</v>
      </c>
      <c r="AA78" s="624">
        <f>Z78*(1+Assumptions!$H$184)</f>
        <v>55369.525673183438</v>
      </c>
    </row>
    <row r="79" spans="1:27" s="620" customFormat="1" hidden="1" x14ac:dyDescent="0.45">
      <c r="A79" s="796"/>
      <c r="B79" s="797"/>
      <c r="C79" s="797" t="s">
        <v>114</v>
      </c>
      <c r="D79" s="797" t="str">
        <f>Assumptions!D120</f>
        <v>Filter Kinetic</v>
      </c>
      <c r="E79" s="798" t="s">
        <v>813</v>
      </c>
      <c r="F79" s="797"/>
      <c r="G79" s="799">
        <f>Assumptions!I158</f>
        <v>5526.210350584307</v>
      </c>
      <c r="H79" s="799">
        <f>G79*(1+Assumptions!$H$184)</f>
        <v>5636.7345575959935</v>
      </c>
      <c r="I79" s="799">
        <f>H79*(1+Assumptions!$H$184)</f>
        <v>5749.4692487479133</v>
      </c>
      <c r="J79" s="799">
        <f>I79*(1+Assumptions!$H$184)</f>
        <v>5864.458633722872</v>
      </c>
      <c r="K79" s="800">
        <f>J79*(1+Assumptions!$H$184)</f>
        <v>5981.7478063973294</v>
      </c>
      <c r="L79" s="624">
        <f>K79*(1+Assumptions!$H$184)</f>
        <v>6101.3827625252761</v>
      </c>
      <c r="M79" s="624">
        <f>L79*(1+Assumptions!$H$184)</f>
        <v>6223.4104177757818</v>
      </c>
      <c r="N79" s="624">
        <f>M79*(1+Assumptions!$H$184)</f>
        <v>6347.8786261312971</v>
      </c>
      <c r="O79" s="624">
        <f>N79*(1+Assumptions!$H$184)</f>
        <v>6474.836198653923</v>
      </c>
      <c r="P79" s="624">
        <f>O79*(1+Assumptions!$H$184)</f>
        <v>6604.3329226270016</v>
      </c>
      <c r="Q79" s="624">
        <f>P79*(1+Assumptions!$H$184)</f>
        <v>6736.4195810795418</v>
      </c>
      <c r="R79" s="624">
        <f>Q79*(1+Assumptions!$H$184)</f>
        <v>6871.1479727011329</v>
      </c>
      <c r="S79" s="624">
        <f>R79*(1+Assumptions!$H$184)</f>
        <v>7008.5709321551558</v>
      </c>
      <c r="T79" s="624">
        <f>S79*(1+Assumptions!$H$184)</f>
        <v>7148.7423507982594</v>
      </c>
      <c r="U79" s="624">
        <f>T79*(1+Assumptions!$H$184)</f>
        <v>7291.7171978142251</v>
      </c>
      <c r="V79" s="624">
        <f>U79*(1+Assumptions!$H$184)</f>
        <v>7437.5515417705101</v>
      </c>
      <c r="W79" s="624">
        <f>V79*(1+Assumptions!$H$184)</f>
        <v>7586.3025726059204</v>
      </c>
      <c r="X79" s="624">
        <f>W79*(1+Assumptions!$H$184)</f>
        <v>7738.028624058039</v>
      </c>
      <c r="Y79" s="624">
        <f>X79*(1+Assumptions!$H$184)</f>
        <v>7892.7891965392</v>
      </c>
      <c r="Z79" s="624">
        <f>Y79*(1+Assumptions!$H$184)</f>
        <v>8050.6449804699841</v>
      </c>
      <c r="AA79" s="624">
        <f>Z79*(1+Assumptions!$H$184)</f>
        <v>8211.6578800793832</v>
      </c>
    </row>
    <row r="80" spans="1:27" s="620" customFormat="1" hidden="1" x14ac:dyDescent="0.45">
      <c r="A80" s="796"/>
      <c r="B80" s="797"/>
      <c r="C80" s="797" t="s">
        <v>114</v>
      </c>
      <c r="D80" s="797" t="str">
        <f>Assumptions!D121</f>
        <v>Packaging Filling and labelling machine</v>
      </c>
      <c r="E80" s="798" t="s">
        <v>813</v>
      </c>
      <c r="F80" s="797"/>
      <c r="G80" s="799">
        <f>Assumptions!I159</f>
        <v>8030.3839732888146</v>
      </c>
      <c r="H80" s="799">
        <f>G80*(1+Assumptions!$H$184)</f>
        <v>8190.9916527545911</v>
      </c>
      <c r="I80" s="799">
        <f>H80*(1+Assumptions!$H$184)</f>
        <v>8354.8114858096833</v>
      </c>
      <c r="J80" s="799">
        <f>I80*(1+Assumptions!$H$184)</f>
        <v>8521.9077155258765</v>
      </c>
      <c r="K80" s="800">
        <f>J80*(1+Assumptions!$H$184)</f>
        <v>8692.3458698363938</v>
      </c>
      <c r="L80" s="624">
        <f>K80*(1+Assumptions!$H$184)</f>
        <v>8866.1927872331216</v>
      </c>
      <c r="M80" s="624">
        <f>L80*(1+Assumptions!$H$184)</f>
        <v>9043.5166429777837</v>
      </c>
      <c r="N80" s="624">
        <f>M80*(1+Assumptions!$H$184)</f>
        <v>9224.3869758373403</v>
      </c>
      <c r="O80" s="624">
        <f>N80*(1+Assumptions!$H$184)</f>
        <v>9408.874715354088</v>
      </c>
      <c r="P80" s="624">
        <f>O80*(1+Assumptions!$H$184)</f>
        <v>9597.0522096611694</v>
      </c>
      <c r="Q80" s="624">
        <f>P80*(1+Assumptions!$H$184)</f>
        <v>9788.9932538543926</v>
      </c>
      <c r="R80" s="624">
        <f>Q80*(1+Assumptions!$H$184)</f>
        <v>9984.77311893148</v>
      </c>
      <c r="S80" s="624">
        <f>R80*(1+Assumptions!$H$184)</f>
        <v>10184.46858131011</v>
      </c>
      <c r="T80" s="624">
        <f>S80*(1+Assumptions!$H$184)</f>
        <v>10388.157952936312</v>
      </c>
      <c r="U80" s="624">
        <f>T80*(1+Assumptions!$H$184)</f>
        <v>10595.921111995038</v>
      </c>
      <c r="V80" s="624">
        <f>U80*(1+Assumptions!$H$184)</f>
        <v>10807.839534234939</v>
      </c>
      <c r="W80" s="624">
        <f>V80*(1+Assumptions!$H$184)</f>
        <v>11023.996324919639</v>
      </c>
      <c r="X80" s="624">
        <f>W80*(1+Assumptions!$H$184)</f>
        <v>11244.476251418031</v>
      </c>
      <c r="Y80" s="624">
        <f>X80*(1+Assumptions!$H$184)</f>
        <v>11469.365776446391</v>
      </c>
      <c r="Z80" s="624">
        <f>Y80*(1+Assumptions!$H$184)</f>
        <v>11698.753091975319</v>
      </c>
      <c r="AA80" s="624">
        <f>Z80*(1+Assumptions!$H$184)</f>
        <v>11932.728153814825</v>
      </c>
    </row>
    <row r="81" spans="1:27" s="620" customFormat="1" hidden="1" x14ac:dyDescent="0.45">
      <c r="A81" s="796"/>
      <c r="B81" s="797"/>
      <c r="C81" s="797" t="s">
        <v>114</v>
      </c>
      <c r="D81" s="797" t="str">
        <f>Assumptions!D122</f>
        <v>Packaging table</v>
      </c>
      <c r="E81" s="798" t="s">
        <v>813</v>
      </c>
      <c r="F81" s="797"/>
      <c r="G81" s="799">
        <f>Assumptions!I160</f>
        <v>3485.8096828046746</v>
      </c>
      <c r="H81" s="799">
        <f>G81*(1+Assumptions!$H$184)</f>
        <v>3555.5258764607684</v>
      </c>
      <c r="I81" s="799">
        <f>H81*(1+Assumptions!$H$184)</f>
        <v>3626.6363939899838</v>
      </c>
      <c r="J81" s="799">
        <f>I81*(1+Assumptions!$H$184)</f>
        <v>3699.1691218697838</v>
      </c>
      <c r="K81" s="800">
        <f>J81*(1+Assumptions!$H$184)</f>
        <v>3773.1525043071797</v>
      </c>
      <c r="L81" s="624">
        <f>K81*(1+Assumptions!$H$184)</f>
        <v>3848.6155543933232</v>
      </c>
      <c r="M81" s="624">
        <f>L81*(1+Assumptions!$H$184)</f>
        <v>3925.58786548119</v>
      </c>
      <c r="N81" s="624">
        <f>M81*(1+Assumptions!$H$184)</f>
        <v>4004.099622790814</v>
      </c>
      <c r="O81" s="624">
        <f>N81*(1+Assumptions!$H$184)</f>
        <v>4084.1816152466304</v>
      </c>
      <c r="P81" s="624">
        <f>O81*(1+Assumptions!$H$184)</f>
        <v>4165.8652475515628</v>
      </c>
      <c r="Q81" s="624">
        <f>P81*(1+Assumptions!$H$184)</f>
        <v>4249.1825525025943</v>
      </c>
      <c r="R81" s="624">
        <f>Q81*(1+Assumptions!$H$184)</f>
        <v>4334.166203552646</v>
      </c>
      <c r="S81" s="624">
        <f>R81*(1+Assumptions!$H$184)</f>
        <v>4420.849527623699</v>
      </c>
      <c r="T81" s="624">
        <f>S81*(1+Assumptions!$H$184)</f>
        <v>4509.2665181761731</v>
      </c>
      <c r="U81" s="624">
        <f>T81*(1+Assumptions!$H$184)</f>
        <v>4599.4518485396966</v>
      </c>
      <c r="V81" s="624">
        <f>U81*(1+Assumptions!$H$184)</f>
        <v>4691.4408855104903</v>
      </c>
      <c r="W81" s="624">
        <f>V81*(1+Assumptions!$H$184)</f>
        <v>4785.2697032206997</v>
      </c>
      <c r="X81" s="624">
        <f>W81*(1+Assumptions!$H$184)</f>
        <v>4880.9750972851134</v>
      </c>
      <c r="Y81" s="624">
        <f>X81*(1+Assumptions!$H$184)</f>
        <v>4978.5945992308161</v>
      </c>
      <c r="Z81" s="624">
        <f>Y81*(1+Assumptions!$H$184)</f>
        <v>5078.1664912154329</v>
      </c>
      <c r="AA81" s="624">
        <f>Z81*(1+Assumptions!$H$184)</f>
        <v>5179.7298210397412</v>
      </c>
    </row>
    <row r="82" spans="1:27" s="620" customFormat="1" hidden="1" x14ac:dyDescent="0.45">
      <c r="A82" s="796"/>
      <c r="B82" s="797"/>
      <c r="C82" s="797" t="s">
        <v>114</v>
      </c>
      <c r="D82" s="797" t="str">
        <f>Assumptions!D123</f>
        <v>Production tools</v>
      </c>
      <c r="E82" s="798" t="s">
        <v>813</v>
      </c>
      <c r="F82" s="797"/>
      <c r="G82" s="799">
        <f>Assumptions!I161</f>
        <v>8013.3555926544241</v>
      </c>
      <c r="H82" s="799">
        <f>G82*(1+Assumptions!$H$184)</f>
        <v>8173.6227045075129</v>
      </c>
      <c r="I82" s="799">
        <f>H82*(1+Assumptions!$H$184)</f>
        <v>8337.0951585976636</v>
      </c>
      <c r="J82" s="799">
        <f>I82*(1+Assumptions!$H$184)</f>
        <v>8503.8370617696164</v>
      </c>
      <c r="K82" s="800">
        <f>J82*(1+Assumptions!$H$184)</f>
        <v>8673.913803005009</v>
      </c>
      <c r="L82" s="624">
        <f>K82*(1+Assumptions!$H$184)</f>
        <v>8847.39207906511</v>
      </c>
      <c r="M82" s="624">
        <f>L82*(1+Assumptions!$H$184)</f>
        <v>9024.3399206464128</v>
      </c>
      <c r="N82" s="624">
        <f>M82*(1+Assumptions!$H$184)</f>
        <v>9204.8267190593415</v>
      </c>
      <c r="O82" s="624">
        <f>N82*(1+Assumptions!$H$184)</f>
        <v>9388.9232534405292</v>
      </c>
      <c r="P82" s="624">
        <f>O82*(1+Assumptions!$H$184)</f>
        <v>9576.7017185093391</v>
      </c>
      <c r="Q82" s="624">
        <f>P82*(1+Assumptions!$H$184)</f>
        <v>9768.2357528795255</v>
      </c>
      <c r="R82" s="624">
        <f>Q82*(1+Assumptions!$H$184)</f>
        <v>9963.6004679371163</v>
      </c>
      <c r="S82" s="624">
        <f>R82*(1+Assumptions!$H$184)</f>
        <v>10162.872477295859</v>
      </c>
      <c r="T82" s="624">
        <f>S82*(1+Assumptions!$H$184)</f>
        <v>10366.129926841777</v>
      </c>
      <c r="U82" s="624">
        <f>T82*(1+Assumptions!$H$184)</f>
        <v>10573.452525378612</v>
      </c>
      <c r="V82" s="624">
        <f>U82*(1+Assumptions!$H$184)</f>
        <v>10784.921575886185</v>
      </c>
      <c r="W82" s="624">
        <f>V82*(1+Assumptions!$H$184)</f>
        <v>11000.620007403908</v>
      </c>
      <c r="X82" s="624">
        <f>W82*(1+Assumptions!$H$184)</f>
        <v>11220.632407551986</v>
      </c>
      <c r="Y82" s="624">
        <f>X82*(1+Assumptions!$H$184)</f>
        <v>11445.045055703025</v>
      </c>
      <c r="Z82" s="624">
        <f>Y82*(1+Assumptions!$H$184)</f>
        <v>11673.945956817086</v>
      </c>
      <c r="AA82" s="624">
        <f>Z82*(1+Assumptions!$H$184)</f>
        <v>11907.424875953428</v>
      </c>
    </row>
    <row r="83" spans="1:27" s="620" customFormat="1" hidden="1" x14ac:dyDescent="0.45">
      <c r="A83" s="796"/>
      <c r="B83" s="797"/>
      <c r="C83" s="797" t="s">
        <v>114</v>
      </c>
      <c r="D83" s="797" t="str">
        <f>Assumptions!D124</f>
        <v>Transport Installation and Commissioning</v>
      </c>
      <c r="E83" s="798" t="s">
        <v>813</v>
      </c>
      <c r="F83" s="797"/>
      <c r="G83" s="799">
        <f>Assumptions!I162</f>
        <v>87709.933222036721</v>
      </c>
      <c r="H83" s="799">
        <f>G83*(1+Assumptions!$H$184)</f>
        <v>89464.131886477451</v>
      </c>
      <c r="I83" s="799">
        <f>H83*(1+Assumptions!$H$184)</f>
        <v>91253.414524207008</v>
      </c>
      <c r="J83" s="799">
        <f>I83*(1+Assumptions!$H$184)</f>
        <v>93078.482814691146</v>
      </c>
      <c r="K83" s="800">
        <f>J83*(1+Assumptions!$H$184)</f>
        <v>94940.052470984971</v>
      </c>
      <c r="L83" s="624">
        <f>K83*(1+Assumptions!$H$184)</f>
        <v>96838.853520404678</v>
      </c>
      <c r="M83" s="624">
        <f>L83*(1+Assumptions!$H$184)</f>
        <v>98775.630590812769</v>
      </c>
      <c r="N83" s="624">
        <f>M83*(1+Assumptions!$H$184)</f>
        <v>100751.14320262903</v>
      </c>
      <c r="O83" s="624">
        <f>N83*(1+Assumptions!$H$184)</f>
        <v>102766.16606668162</v>
      </c>
      <c r="P83" s="624">
        <f>O83*(1+Assumptions!$H$184)</f>
        <v>104821.48938801525</v>
      </c>
      <c r="Q83" s="624">
        <f>P83*(1+Assumptions!$H$184)</f>
        <v>106917.91917577556</v>
      </c>
      <c r="R83" s="624">
        <f>Q83*(1+Assumptions!$H$184)</f>
        <v>109056.27755929108</v>
      </c>
      <c r="S83" s="624">
        <f>R83*(1+Assumptions!$H$184)</f>
        <v>111237.40311047689</v>
      </c>
      <c r="T83" s="624">
        <f>S83*(1+Assumptions!$H$184)</f>
        <v>113462.15117268644</v>
      </c>
      <c r="U83" s="624">
        <f>T83*(1+Assumptions!$H$184)</f>
        <v>115731.39419614017</v>
      </c>
      <c r="V83" s="624">
        <f>U83*(1+Assumptions!$H$184)</f>
        <v>118046.02208006298</v>
      </c>
      <c r="W83" s="624">
        <f>V83*(1+Assumptions!$H$184)</f>
        <v>120406.94252166424</v>
      </c>
      <c r="X83" s="624">
        <f>W83*(1+Assumptions!$H$184)</f>
        <v>122815.08137209753</v>
      </c>
      <c r="Y83" s="624">
        <f>X83*(1+Assumptions!$H$184)</f>
        <v>125271.38299953948</v>
      </c>
      <c r="Z83" s="624">
        <f>Y83*(1+Assumptions!$H$184)</f>
        <v>127776.81065953027</v>
      </c>
      <c r="AA83" s="624">
        <f>Z83*(1+Assumptions!$H$184)</f>
        <v>130332.34687272087</v>
      </c>
    </row>
    <row r="84" spans="1:27" s="620" customFormat="1" hidden="1" x14ac:dyDescent="0.45">
      <c r="A84" s="796"/>
      <c r="B84" s="797"/>
      <c r="C84" s="797" t="s">
        <v>114</v>
      </c>
      <c r="D84" s="797" t="str">
        <f>Assumptions!D125</f>
        <v>Vehicles</v>
      </c>
      <c r="E84" s="798" t="s">
        <v>813</v>
      </c>
      <c r="F84" s="797"/>
      <c r="G84" s="799">
        <f>Assumptions!I163</f>
        <v>11619.365609348915</v>
      </c>
      <c r="H84" s="799">
        <f>G84*(1+Assumptions!$H$184)</f>
        <v>11851.752921535894</v>
      </c>
      <c r="I84" s="799">
        <f>H84*(1+Assumptions!$H$184)</f>
        <v>12088.787979966612</v>
      </c>
      <c r="J84" s="799">
        <f>I84*(1+Assumptions!$H$184)</f>
        <v>12330.563739565943</v>
      </c>
      <c r="K84" s="800">
        <f>J84*(1+Assumptions!$H$184)</f>
        <v>12577.175014357263</v>
      </c>
      <c r="L84" s="624">
        <f>K84*(1+Assumptions!$H$184)</f>
        <v>12828.718514644408</v>
      </c>
      <c r="M84" s="624">
        <f>L84*(1+Assumptions!$H$184)</f>
        <v>13085.292884937297</v>
      </c>
      <c r="N84" s="624">
        <f>M84*(1+Assumptions!$H$184)</f>
        <v>13346.998742636042</v>
      </c>
      <c r="O84" s="624">
        <f>N84*(1+Assumptions!$H$184)</f>
        <v>13613.938717488763</v>
      </c>
      <c r="P84" s="624">
        <f>O84*(1+Assumptions!$H$184)</f>
        <v>13886.217491838539</v>
      </c>
      <c r="Q84" s="624">
        <f>P84*(1+Assumptions!$H$184)</f>
        <v>14163.941841675311</v>
      </c>
      <c r="R84" s="624">
        <f>Q84*(1+Assumptions!$H$184)</f>
        <v>14447.220678508816</v>
      </c>
      <c r="S84" s="624">
        <f>R84*(1+Assumptions!$H$184)</f>
        <v>14736.165092078993</v>
      </c>
      <c r="T84" s="624">
        <f>S84*(1+Assumptions!$H$184)</f>
        <v>15030.888393920573</v>
      </c>
      <c r="U84" s="624">
        <f>T84*(1+Assumptions!$H$184)</f>
        <v>15331.506161798985</v>
      </c>
      <c r="V84" s="624">
        <f>U84*(1+Assumptions!$H$184)</f>
        <v>15638.136285034965</v>
      </c>
      <c r="W84" s="624">
        <f>V84*(1+Assumptions!$H$184)</f>
        <v>15950.899010735664</v>
      </c>
      <c r="X84" s="624">
        <f>W84*(1+Assumptions!$H$184)</f>
        <v>16269.916990950378</v>
      </c>
      <c r="Y84" s="624">
        <f>X84*(1+Assumptions!$H$184)</f>
        <v>16595.315330769386</v>
      </c>
      <c r="Z84" s="624">
        <f>Y84*(1+Assumptions!$H$184)</f>
        <v>16927.221637384773</v>
      </c>
      <c r="AA84" s="624">
        <f>Z84*(1+Assumptions!$H$184)</f>
        <v>17265.766070132468</v>
      </c>
    </row>
    <row r="85" spans="1:27" s="620" customFormat="1" hidden="1" x14ac:dyDescent="0.45">
      <c r="A85" s="796"/>
      <c r="B85" s="797"/>
      <c r="C85" s="797" t="s">
        <v>114</v>
      </c>
      <c r="D85" s="797">
        <f>Assumptions!D126</f>
        <v>0</v>
      </c>
      <c r="E85" s="798" t="s">
        <v>813</v>
      </c>
      <c r="F85" s="797"/>
      <c r="G85" s="799">
        <f>Assumptions!I164</f>
        <v>0</v>
      </c>
      <c r="H85" s="799">
        <f>G85*(1+Assumptions!$H$184)</f>
        <v>0</v>
      </c>
      <c r="I85" s="799">
        <f>H85*(1+Assumptions!$H$184)</f>
        <v>0</v>
      </c>
      <c r="J85" s="799">
        <f>I85*(1+Assumptions!$H$184)</f>
        <v>0</v>
      </c>
      <c r="K85" s="800">
        <f>J85*(1+Assumptions!$H$184)</f>
        <v>0</v>
      </c>
      <c r="L85" s="624">
        <f>K85*(1+Assumptions!$H$184)</f>
        <v>0</v>
      </c>
      <c r="M85" s="624">
        <f>L85*(1+Assumptions!$H$184)</f>
        <v>0</v>
      </c>
      <c r="N85" s="624">
        <f>M85*(1+Assumptions!$H$184)</f>
        <v>0</v>
      </c>
      <c r="O85" s="624">
        <f>N85*(1+Assumptions!$H$184)</f>
        <v>0</v>
      </c>
      <c r="P85" s="624">
        <f>O85*(1+Assumptions!$H$184)</f>
        <v>0</v>
      </c>
      <c r="Q85" s="624">
        <f>P85*(1+Assumptions!$H$184)</f>
        <v>0</v>
      </c>
      <c r="R85" s="624">
        <f>Q85*(1+Assumptions!$H$184)</f>
        <v>0</v>
      </c>
      <c r="S85" s="624">
        <f>R85*(1+Assumptions!$H$184)</f>
        <v>0</v>
      </c>
      <c r="T85" s="624">
        <f>S85*(1+Assumptions!$H$184)</f>
        <v>0</v>
      </c>
      <c r="U85" s="624">
        <f>T85*(1+Assumptions!$H$184)</f>
        <v>0</v>
      </c>
      <c r="V85" s="624">
        <f>U85*(1+Assumptions!$H$184)</f>
        <v>0</v>
      </c>
      <c r="W85" s="624">
        <f>V85*(1+Assumptions!$H$184)</f>
        <v>0</v>
      </c>
      <c r="X85" s="624">
        <f>W85*(1+Assumptions!$H$184)</f>
        <v>0</v>
      </c>
      <c r="Y85" s="624">
        <f>X85*(1+Assumptions!$H$184)</f>
        <v>0</v>
      </c>
      <c r="Z85" s="624">
        <f>Y85*(1+Assumptions!$H$184)</f>
        <v>0</v>
      </c>
      <c r="AA85" s="624">
        <f>Z85*(1+Assumptions!$H$184)</f>
        <v>0</v>
      </c>
    </row>
    <row r="86" spans="1:27" s="620" customFormat="1" hidden="1" x14ac:dyDescent="0.45">
      <c r="A86" s="796"/>
      <c r="B86" s="797"/>
      <c r="C86" s="797" t="s">
        <v>114</v>
      </c>
      <c r="D86" s="797" t="str">
        <f>Assumptions!D127</f>
        <v>Centralised capex</v>
      </c>
      <c r="E86" s="798" t="s">
        <v>813</v>
      </c>
      <c r="F86" s="797"/>
      <c r="G86" s="799">
        <f>Assumptions!I165</f>
        <v>120100.16694490818</v>
      </c>
      <c r="H86" s="799">
        <f>G86*(1+Assumptions!$H$184)</f>
        <v>122502.17028380635</v>
      </c>
      <c r="I86" s="799">
        <f>H86*(1+Assumptions!$H$184)</f>
        <v>124952.21368948248</v>
      </c>
      <c r="J86" s="799">
        <f>I86*(1+Assumptions!$H$184)</f>
        <v>127451.25796327213</v>
      </c>
      <c r="K86" s="800">
        <f>J86*(1+Assumptions!$H$184)</f>
        <v>130000.28312253757</v>
      </c>
      <c r="L86" s="624">
        <f>K86*(1+Assumptions!$H$184)</f>
        <v>132600.28878498831</v>
      </c>
      <c r="M86" s="624">
        <f>L86*(1+Assumptions!$H$184)</f>
        <v>135252.29456068808</v>
      </c>
      <c r="N86" s="624">
        <f>M86*(1+Assumptions!$H$184)</f>
        <v>137957.34045190184</v>
      </c>
      <c r="O86" s="624">
        <f>N86*(1+Assumptions!$H$184)</f>
        <v>140716.48726093987</v>
      </c>
      <c r="P86" s="624">
        <f>O86*(1+Assumptions!$H$184)</f>
        <v>143530.81700615867</v>
      </c>
      <c r="Q86" s="624">
        <f>P86*(1+Assumptions!$H$184)</f>
        <v>146401.43334628185</v>
      </c>
      <c r="R86" s="624">
        <f>Q86*(1+Assumptions!$H$184)</f>
        <v>149329.46201320749</v>
      </c>
      <c r="S86" s="624">
        <f>R86*(1+Assumptions!$H$184)</f>
        <v>152316.05125347164</v>
      </c>
      <c r="T86" s="624">
        <f>S86*(1+Assumptions!$H$184)</f>
        <v>155362.37227854106</v>
      </c>
      <c r="U86" s="624">
        <f>T86*(1+Assumptions!$H$184)</f>
        <v>158469.61972411189</v>
      </c>
      <c r="V86" s="624">
        <f>U86*(1+Assumptions!$H$184)</f>
        <v>161639.01211859414</v>
      </c>
      <c r="W86" s="624">
        <f>V86*(1+Assumptions!$H$184)</f>
        <v>164871.79236096604</v>
      </c>
      <c r="X86" s="624">
        <f>W86*(1+Assumptions!$H$184)</f>
        <v>168169.22820818535</v>
      </c>
      <c r="Y86" s="624">
        <f>X86*(1+Assumptions!$H$184)</f>
        <v>171532.61277234906</v>
      </c>
      <c r="Z86" s="624">
        <f>Y86*(1+Assumptions!$H$184)</f>
        <v>174963.26502779603</v>
      </c>
      <c r="AA86" s="624">
        <f>Z86*(1+Assumptions!$H$184)</f>
        <v>178462.53032835195</v>
      </c>
    </row>
    <row r="87" spans="1:27" s="620" customFormat="1" hidden="1" x14ac:dyDescent="0.45">
      <c r="A87" s="796"/>
      <c r="B87" s="797"/>
      <c r="C87" s="797" t="s">
        <v>114</v>
      </c>
      <c r="D87" s="797">
        <f>Assumptions!D128</f>
        <v>0</v>
      </c>
      <c r="E87" s="798" t="s">
        <v>813</v>
      </c>
      <c r="F87" s="797"/>
      <c r="G87" s="799">
        <f>Assumptions!I166</f>
        <v>0</v>
      </c>
      <c r="H87" s="799">
        <f>G87*(1+Assumptions!$H$184)</f>
        <v>0</v>
      </c>
      <c r="I87" s="799">
        <f>H87*(1+Assumptions!$H$184)</f>
        <v>0</v>
      </c>
      <c r="J87" s="799">
        <f>I87*(1+Assumptions!$H$184)</f>
        <v>0</v>
      </c>
      <c r="K87" s="800">
        <f>J87*(1+Assumptions!$H$184)</f>
        <v>0</v>
      </c>
      <c r="L87" s="624">
        <f>K87*(1+Assumptions!$H$184)</f>
        <v>0</v>
      </c>
      <c r="M87" s="624">
        <f>L87*(1+Assumptions!$H$184)</f>
        <v>0</v>
      </c>
      <c r="N87" s="624">
        <f>M87*(1+Assumptions!$H$184)</f>
        <v>0</v>
      </c>
      <c r="O87" s="624">
        <f>N87*(1+Assumptions!$H$184)</f>
        <v>0</v>
      </c>
      <c r="P87" s="624">
        <f>O87*(1+Assumptions!$H$184)</f>
        <v>0</v>
      </c>
      <c r="Q87" s="624">
        <f>P87*(1+Assumptions!$H$184)</f>
        <v>0</v>
      </c>
      <c r="R87" s="624">
        <f>Q87*(1+Assumptions!$H$184)</f>
        <v>0</v>
      </c>
      <c r="S87" s="624">
        <f>R87*(1+Assumptions!$H$184)</f>
        <v>0</v>
      </c>
      <c r="T87" s="624">
        <f>S87*(1+Assumptions!$H$184)</f>
        <v>0</v>
      </c>
      <c r="U87" s="624">
        <f>T87*(1+Assumptions!$H$184)</f>
        <v>0</v>
      </c>
      <c r="V87" s="624">
        <f>U87*(1+Assumptions!$H$184)</f>
        <v>0</v>
      </c>
      <c r="W87" s="624">
        <f>V87*(1+Assumptions!$H$184)</f>
        <v>0</v>
      </c>
      <c r="X87" s="624">
        <f>W87*(1+Assumptions!$H$184)</f>
        <v>0</v>
      </c>
      <c r="Y87" s="624">
        <f>X87*(1+Assumptions!$H$184)</f>
        <v>0</v>
      </c>
      <c r="Z87" s="624">
        <f>Y87*(1+Assumptions!$H$184)</f>
        <v>0</v>
      </c>
      <c r="AA87" s="624">
        <f>Z87*(1+Assumptions!$H$184)</f>
        <v>0</v>
      </c>
    </row>
    <row r="88" spans="1:27" s="620" customFormat="1" hidden="1" x14ac:dyDescent="0.45">
      <c r="A88" s="796"/>
      <c r="B88" s="797"/>
      <c r="C88" s="797" t="s">
        <v>114</v>
      </c>
      <c r="D88" s="797">
        <f>Assumptions!D129</f>
        <v>0</v>
      </c>
      <c r="E88" s="798" t="s">
        <v>813</v>
      </c>
      <c r="F88" s="797"/>
      <c r="G88" s="799">
        <f>Assumptions!I167</f>
        <v>0</v>
      </c>
      <c r="H88" s="799">
        <f>G88*(1+Assumptions!$H$184)</f>
        <v>0</v>
      </c>
      <c r="I88" s="799">
        <f>H88*(1+Assumptions!$H$184)</f>
        <v>0</v>
      </c>
      <c r="J88" s="799">
        <f>I88*(1+Assumptions!$H$184)</f>
        <v>0</v>
      </c>
      <c r="K88" s="800">
        <f>J88*(1+Assumptions!$H$184)</f>
        <v>0</v>
      </c>
      <c r="L88" s="624">
        <f>K88*(1+Assumptions!$H$184)</f>
        <v>0</v>
      </c>
      <c r="M88" s="624">
        <f>L88*(1+Assumptions!$H$184)</f>
        <v>0</v>
      </c>
      <c r="N88" s="624">
        <f>M88*(1+Assumptions!$H$184)</f>
        <v>0</v>
      </c>
      <c r="O88" s="624">
        <f>N88*(1+Assumptions!$H$184)</f>
        <v>0</v>
      </c>
      <c r="P88" s="624">
        <f>O88*(1+Assumptions!$H$184)</f>
        <v>0</v>
      </c>
      <c r="Q88" s="624">
        <f>P88*(1+Assumptions!$H$184)</f>
        <v>0</v>
      </c>
      <c r="R88" s="624">
        <f>Q88*(1+Assumptions!$H$184)</f>
        <v>0</v>
      </c>
      <c r="S88" s="624">
        <f>R88*(1+Assumptions!$H$184)</f>
        <v>0</v>
      </c>
      <c r="T88" s="624">
        <f>S88*(1+Assumptions!$H$184)</f>
        <v>0</v>
      </c>
      <c r="U88" s="624">
        <f>T88*(1+Assumptions!$H$184)</f>
        <v>0</v>
      </c>
      <c r="V88" s="624">
        <f>U88*(1+Assumptions!$H$184)</f>
        <v>0</v>
      </c>
      <c r="W88" s="624">
        <f>V88*(1+Assumptions!$H$184)</f>
        <v>0</v>
      </c>
      <c r="X88" s="624">
        <f>W88*(1+Assumptions!$H$184)</f>
        <v>0</v>
      </c>
      <c r="Y88" s="624">
        <f>X88*(1+Assumptions!$H$184)</f>
        <v>0</v>
      </c>
      <c r="Z88" s="624">
        <f>Y88*(1+Assumptions!$H$184)</f>
        <v>0</v>
      </c>
      <c r="AA88" s="624">
        <f>Z88*(1+Assumptions!$H$184)</f>
        <v>0</v>
      </c>
    </row>
    <row r="89" spans="1:27" s="620" customFormat="1" hidden="1" x14ac:dyDescent="0.45">
      <c r="A89" s="796"/>
      <c r="B89" s="797"/>
      <c r="C89" s="797" t="s">
        <v>114</v>
      </c>
      <c r="D89" s="797">
        <f>Assumptions!D130</f>
        <v>0</v>
      </c>
      <c r="E89" s="798" t="s">
        <v>813</v>
      </c>
      <c r="F89" s="797"/>
      <c r="G89" s="799">
        <f>Assumptions!I168</f>
        <v>0</v>
      </c>
      <c r="H89" s="799">
        <f>G89*(1+Assumptions!$H$184)</f>
        <v>0</v>
      </c>
      <c r="I89" s="799">
        <f>H89*(1+Assumptions!$H$184)</f>
        <v>0</v>
      </c>
      <c r="J89" s="799">
        <f>I89*(1+Assumptions!$H$184)</f>
        <v>0</v>
      </c>
      <c r="K89" s="800">
        <f>J89*(1+Assumptions!$H$184)</f>
        <v>0</v>
      </c>
      <c r="L89" s="624">
        <f>K89*(1+Assumptions!$H$184)</f>
        <v>0</v>
      </c>
      <c r="M89" s="624">
        <f>L89*(1+Assumptions!$H$184)</f>
        <v>0</v>
      </c>
      <c r="N89" s="624">
        <f>M89*(1+Assumptions!$H$184)</f>
        <v>0</v>
      </c>
      <c r="O89" s="624">
        <f>N89*(1+Assumptions!$H$184)</f>
        <v>0</v>
      </c>
      <c r="P89" s="624">
        <f>O89*(1+Assumptions!$H$184)</f>
        <v>0</v>
      </c>
      <c r="Q89" s="624">
        <f>P89*(1+Assumptions!$H$184)</f>
        <v>0</v>
      </c>
      <c r="R89" s="624">
        <f>Q89*(1+Assumptions!$H$184)</f>
        <v>0</v>
      </c>
      <c r="S89" s="624">
        <f>R89*(1+Assumptions!$H$184)</f>
        <v>0</v>
      </c>
      <c r="T89" s="624">
        <f>S89*(1+Assumptions!$H$184)</f>
        <v>0</v>
      </c>
      <c r="U89" s="624">
        <f>T89*(1+Assumptions!$H$184)</f>
        <v>0</v>
      </c>
      <c r="V89" s="624">
        <f>U89*(1+Assumptions!$H$184)</f>
        <v>0</v>
      </c>
      <c r="W89" s="624">
        <f>V89*(1+Assumptions!$H$184)</f>
        <v>0</v>
      </c>
      <c r="X89" s="624">
        <f>W89*(1+Assumptions!$H$184)</f>
        <v>0</v>
      </c>
      <c r="Y89" s="624">
        <f>X89*(1+Assumptions!$H$184)</f>
        <v>0</v>
      </c>
      <c r="Z89" s="624">
        <f>Y89*(1+Assumptions!$H$184)</f>
        <v>0</v>
      </c>
      <c r="AA89" s="624">
        <f>Z89*(1+Assumptions!$H$184)</f>
        <v>0</v>
      </c>
    </row>
    <row r="90" spans="1:27" s="620" customFormat="1" hidden="1" x14ac:dyDescent="0.45">
      <c r="A90" s="796"/>
      <c r="B90" s="797"/>
      <c r="C90" s="797" t="s">
        <v>114</v>
      </c>
      <c r="D90" s="797">
        <f>Assumptions!D131</f>
        <v>0</v>
      </c>
      <c r="E90" s="798" t="s">
        <v>813</v>
      </c>
      <c r="F90" s="797"/>
      <c r="G90" s="799">
        <f>Assumptions!I169</f>
        <v>0</v>
      </c>
      <c r="H90" s="799">
        <f>G90*(1+Assumptions!$H$184)</f>
        <v>0</v>
      </c>
      <c r="I90" s="799">
        <f>H90*(1+Assumptions!$H$184)</f>
        <v>0</v>
      </c>
      <c r="J90" s="799">
        <f>I90*(1+Assumptions!$H$184)</f>
        <v>0</v>
      </c>
      <c r="K90" s="800">
        <f>J90*(1+Assumptions!$H$184)</f>
        <v>0</v>
      </c>
      <c r="L90" s="624">
        <f>K90*(1+Assumptions!$H$184)</f>
        <v>0</v>
      </c>
      <c r="M90" s="624">
        <f>L90*(1+Assumptions!$H$184)</f>
        <v>0</v>
      </c>
      <c r="N90" s="624">
        <f>M90*(1+Assumptions!$H$184)</f>
        <v>0</v>
      </c>
      <c r="O90" s="624">
        <f>N90*(1+Assumptions!$H$184)</f>
        <v>0</v>
      </c>
      <c r="P90" s="624">
        <f>O90*(1+Assumptions!$H$184)</f>
        <v>0</v>
      </c>
      <c r="Q90" s="624">
        <f>P90*(1+Assumptions!$H$184)</f>
        <v>0</v>
      </c>
      <c r="R90" s="624">
        <f>Q90*(1+Assumptions!$H$184)</f>
        <v>0</v>
      </c>
      <c r="S90" s="624">
        <f>R90*(1+Assumptions!$H$184)</f>
        <v>0</v>
      </c>
      <c r="T90" s="624">
        <f>S90*(1+Assumptions!$H$184)</f>
        <v>0</v>
      </c>
      <c r="U90" s="624">
        <f>T90*(1+Assumptions!$H$184)</f>
        <v>0</v>
      </c>
      <c r="V90" s="624">
        <f>U90*(1+Assumptions!$H$184)</f>
        <v>0</v>
      </c>
      <c r="W90" s="624">
        <f>V90*(1+Assumptions!$H$184)</f>
        <v>0</v>
      </c>
      <c r="X90" s="624">
        <f>W90*(1+Assumptions!$H$184)</f>
        <v>0</v>
      </c>
      <c r="Y90" s="624">
        <f>X90*(1+Assumptions!$H$184)</f>
        <v>0</v>
      </c>
      <c r="Z90" s="624">
        <f>Y90*(1+Assumptions!$H$184)</f>
        <v>0</v>
      </c>
      <c r="AA90" s="624">
        <f>Z90*(1+Assumptions!$H$184)</f>
        <v>0</v>
      </c>
    </row>
    <row r="91" spans="1:27" s="620" customFormat="1" hidden="1" x14ac:dyDescent="0.45">
      <c r="A91" s="796"/>
      <c r="B91" s="797"/>
      <c r="C91" s="797" t="s">
        <v>114</v>
      </c>
      <c r="D91" s="797">
        <f>Assumptions!D132</f>
        <v>0</v>
      </c>
      <c r="E91" s="798" t="s">
        <v>813</v>
      </c>
      <c r="F91" s="797"/>
      <c r="G91" s="799">
        <f>Assumptions!I170</f>
        <v>0</v>
      </c>
      <c r="H91" s="799">
        <f>G91*(1+Assumptions!$H$184)</f>
        <v>0</v>
      </c>
      <c r="I91" s="799">
        <f>H91*(1+Assumptions!$H$184)</f>
        <v>0</v>
      </c>
      <c r="J91" s="799">
        <f>I91*(1+Assumptions!$H$184)</f>
        <v>0</v>
      </c>
      <c r="K91" s="800">
        <f>J91*(1+Assumptions!$H$184)</f>
        <v>0</v>
      </c>
      <c r="L91" s="624">
        <f>K91*(1+Assumptions!$H$184)</f>
        <v>0</v>
      </c>
      <c r="M91" s="624">
        <f>L91*(1+Assumptions!$H$184)</f>
        <v>0</v>
      </c>
      <c r="N91" s="624">
        <f>M91*(1+Assumptions!$H$184)</f>
        <v>0</v>
      </c>
      <c r="O91" s="624">
        <f>N91*(1+Assumptions!$H$184)</f>
        <v>0</v>
      </c>
      <c r="P91" s="624">
        <f>O91*(1+Assumptions!$H$184)</f>
        <v>0</v>
      </c>
      <c r="Q91" s="624">
        <f>P91*(1+Assumptions!$H$184)</f>
        <v>0</v>
      </c>
      <c r="R91" s="624">
        <f>Q91*(1+Assumptions!$H$184)</f>
        <v>0</v>
      </c>
      <c r="S91" s="624">
        <f>R91*(1+Assumptions!$H$184)</f>
        <v>0</v>
      </c>
      <c r="T91" s="624">
        <f>S91*(1+Assumptions!$H$184)</f>
        <v>0</v>
      </c>
      <c r="U91" s="624">
        <f>T91*(1+Assumptions!$H$184)</f>
        <v>0</v>
      </c>
      <c r="V91" s="624">
        <f>U91*(1+Assumptions!$H$184)</f>
        <v>0</v>
      </c>
      <c r="W91" s="624">
        <f>V91*(1+Assumptions!$H$184)</f>
        <v>0</v>
      </c>
      <c r="X91" s="624">
        <f>W91*(1+Assumptions!$H$184)</f>
        <v>0</v>
      </c>
      <c r="Y91" s="624">
        <f>X91*(1+Assumptions!$H$184)</f>
        <v>0</v>
      </c>
      <c r="Z91" s="624">
        <f>Y91*(1+Assumptions!$H$184)</f>
        <v>0</v>
      </c>
      <c r="AA91" s="624">
        <f>Z91*(1+Assumptions!$H$184)</f>
        <v>0</v>
      </c>
    </row>
    <row r="92" spans="1:27" s="620" customFormat="1" hidden="1" x14ac:dyDescent="0.45">
      <c r="A92" s="796"/>
      <c r="B92" s="797"/>
      <c r="C92" s="797" t="s">
        <v>114</v>
      </c>
      <c r="D92" s="797">
        <f>Assumptions!D133</f>
        <v>0</v>
      </c>
      <c r="E92" s="798" t="s">
        <v>813</v>
      </c>
      <c r="F92" s="797"/>
      <c r="G92" s="799">
        <f>Assumptions!I171</f>
        <v>0</v>
      </c>
      <c r="H92" s="799">
        <f>G92*(1+Assumptions!$H$184)</f>
        <v>0</v>
      </c>
      <c r="I92" s="799">
        <f>H92*(1+Assumptions!$H$184)</f>
        <v>0</v>
      </c>
      <c r="J92" s="799">
        <f>I92*(1+Assumptions!$H$184)</f>
        <v>0</v>
      </c>
      <c r="K92" s="800">
        <f>J92*(1+Assumptions!$H$184)</f>
        <v>0</v>
      </c>
      <c r="L92" s="624">
        <f>K92*(1+Assumptions!$H$184)</f>
        <v>0</v>
      </c>
      <c r="M92" s="624">
        <f>L92*(1+Assumptions!$H$184)</f>
        <v>0</v>
      </c>
      <c r="N92" s="624">
        <f>M92*(1+Assumptions!$H$184)</f>
        <v>0</v>
      </c>
      <c r="O92" s="624">
        <f>N92*(1+Assumptions!$H$184)</f>
        <v>0</v>
      </c>
      <c r="P92" s="624">
        <f>O92*(1+Assumptions!$H$184)</f>
        <v>0</v>
      </c>
      <c r="Q92" s="624">
        <f>P92*(1+Assumptions!$H$184)</f>
        <v>0</v>
      </c>
      <c r="R92" s="624">
        <f>Q92*(1+Assumptions!$H$184)</f>
        <v>0</v>
      </c>
      <c r="S92" s="624">
        <f>R92*(1+Assumptions!$H$184)</f>
        <v>0</v>
      </c>
      <c r="T92" s="624">
        <f>S92*(1+Assumptions!$H$184)</f>
        <v>0</v>
      </c>
      <c r="U92" s="624">
        <f>T92*(1+Assumptions!$H$184)</f>
        <v>0</v>
      </c>
      <c r="V92" s="624">
        <f>U92*(1+Assumptions!$H$184)</f>
        <v>0</v>
      </c>
      <c r="W92" s="624">
        <f>V92*(1+Assumptions!$H$184)</f>
        <v>0</v>
      </c>
      <c r="X92" s="624">
        <f>W92*(1+Assumptions!$H$184)</f>
        <v>0</v>
      </c>
      <c r="Y92" s="624">
        <f>X92*(1+Assumptions!$H$184)</f>
        <v>0</v>
      </c>
      <c r="Z92" s="624">
        <f>Y92*(1+Assumptions!$H$184)</f>
        <v>0</v>
      </c>
      <c r="AA92" s="624">
        <f>Z92*(1+Assumptions!$H$184)</f>
        <v>0</v>
      </c>
    </row>
    <row r="93" spans="1:27" s="620" customFormat="1" hidden="1" x14ac:dyDescent="0.45">
      <c r="A93" s="796"/>
      <c r="B93" s="797"/>
      <c r="C93" s="797" t="s">
        <v>114</v>
      </c>
      <c r="D93" s="797">
        <f>Assumptions!D134</f>
        <v>0</v>
      </c>
      <c r="E93" s="798" t="s">
        <v>813</v>
      </c>
      <c r="F93" s="797"/>
      <c r="G93" s="799">
        <f>Assumptions!I172</f>
        <v>0</v>
      </c>
      <c r="H93" s="799">
        <f>G93*(1+Assumptions!$H$184)</f>
        <v>0</v>
      </c>
      <c r="I93" s="799">
        <f>H93*(1+Assumptions!$H$184)</f>
        <v>0</v>
      </c>
      <c r="J93" s="799">
        <f>I93*(1+Assumptions!$H$184)</f>
        <v>0</v>
      </c>
      <c r="K93" s="800">
        <f>J93*(1+Assumptions!$H$184)</f>
        <v>0</v>
      </c>
      <c r="L93" s="624">
        <f>K93*(1+Assumptions!$H$184)</f>
        <v>0</v>
      </c>
      <c r="M93" s="624">
        <f>L93*(1+Assumptions!$H$184)</f>
        <v>0</v>
      </c>
      <c r="N93" s="624">
        <f>M93*(1+Assumptions!$H$184)</f>
        <v>0</v>
      </c>
      <c r="O93" s="624">
        <f>N93*(1+Assumptions!$H$184)</f>
        <v>0</v>
      </c>
      <c r="P93" s="624">
        <f>O93*(1+Assumptions!$H$184)</f>
        <v>0</v>
      </c>
      <c r="Q93" s="624">
        <f>P93*(1+Assumptions!$H$184)</f>
        <v>0</v>
      </c>
      <c r="R93" s="624">
        <f>Q93*(1+Assumptions!$H$184)</f>
        <v>0</v>
      </c>
      <c r="S93" s="624">
        <f>R93*(1+Assumptions!$H$184)</f>
        <v>0</v>
      </c>
      <c r="T93" s="624">
        <f>S93*(1+Assumptions!$H$184)</f>
        <v>0</v>
      </c>
      <c r="U93" s="624">
        <f>T93*(1+Assumptions!$H$184)</f>
        <v>0</v>
      </c>
      <c r="V93" s="624">
        <f>U93*(1+Assumptions!$H$184)</f>
        <v>0</v>
      </c>
      <c r="W93" s="624">
        <f>V93*(1+Assumptions!$H$184)</f>
        <v>0</v>
      </c>
      <c r="X93" s="624">
        <f>W93*(1+Assumptions!$H$184)</f>
        <v>0</v>
      </c>
      <c r="Y93" s="624">
        <f>X93*(1+Assumptions!$H$184)</f>
        <v>0</v>
      </c>
      <c r="Z93" s="624">
        <f>Y93*(1+Assumptions!$H$184)</f>
        <v>0</v>
      </c>
      <c r="AA93" s="624">
        <f>Z93*(1+Assumptions!$H$184)</f>
        <v>0</v>
      </c>
    </row>
    <row r="94" spans="1:27" s="620" customFormat="1" hidden="1" x14ac:dyDescent="0.45">
      <c r="A94" s="796"/>
      <c r="B94" s="797"/>
      <c r="C94" s="797" t="s">
        <v>114</v>
      </c>
      <c r="D94" s="797">
        <f>Assumptions!D135</f>
        <v>0</v>
      </c>
      <c r="E94" s="798" t="s">
        <v>813</v>
      </c>
      <c r="F94" s="797"/>
      <c r="G94" s="799">
        <f>Assumptions!I173</f>
        <v>0</v>
      </c>
      <c r="H94" s="799">
        <f>G94*(1+Assumptions!$H$184)</f>
        <v>0</v>
      </c>
      <c r="I94" s="799">
        <f>H94*(1+Assumptions!$H$184)</f>
        <v>0</v>
      </c>
      <c r="J94" s="799">
        <f>I94*(1+Assumptions!$H$184)</f>
        <v>0</v>
      </c>
      <c r="K94" s="800">
        <f>J94*(1+Assumptions!$H$184)</f>
        <v>0</v>
      </c>
      <c r="L94" s="624">
        <f>K94*(1+Assumptions!$H$184)</f>
        <v>0</v>
      </c>
      <c r="M94" s="624">
        <f>L94*(1+Assumptions!$H$184)</f>
        <v>0</v>
      </c>
      <c r="N94" s="624">
        <f>M94*(1+Assumptions!$H$184)</f>
        <v>0</v>
      </c>
      <c r="O94" s="624">
        <f>N94*(1+Assumptions!$H$184)</f>
        <v>0</v>
      </c>
      <c r="P94" s="624">
        <f>O94*(1+Assumptions!$H$184)</f>
        <v>0</v>
      </c>
      <c r="Q94" s="624">
        <f>P94*(1+Assumptions!$H$184)</f>
        <v>0</v>
      </c>
      <c r="R94" s="624">
        <f>Q94*(1+Assumptions!$H$184)</f>
        <v>0</v>
      </c>
      <c r="S94" s="624">
        <f>R94*(1+Assumptions!$H$184)</f>
        <v>0</v>
      </c>
      <c r="T94" s="624">
        <f>S94*(1+Assumptions!$H$184)</f>
        <v>0</v>
      </c>
      <c r="U94" s="624">
        <f>T94*(1+Assumptions!$H$184)</f>
        <v>0</v>
      </c>
      <c r="V94" s="624">
        <f>U94*(1+Assumptions!$H$184)</f>
        <v>0</v>
      </c>
      <c r="W94" s="624">
        <f>V94*(1+Assumptions!$H$184)</f>
        <v>0</v>
      </c>
      <c r="X94" s="624">
        <f>W94*(1+Assumptions!$H$184)</f>
        <v>0</v>
      </c>
      <c r="Y94" s="624">
        <f>X94*(1+Assumptions!$H$184)</f>
        <v>0</v>
      </c>
      <c r="Z94" s="624">
        <f>Y94*(1+Assumptions!$H$184)</f>
        <v>0</v>
      </c>
      <c r="AA94" s="624">
        <f>Z94*(1+Assumptions!$H$184)</f>
        <v>0</v>
      </c>
    </row>
    <row r="95" spans="1:27" s="620" customFormat="1" hidden="1" x14ac:dyDescent="0.45">
      <c r="A95" s="796"/>
      <c r="B95" s="797"/>
      <c r="C95" s="797" t="s">
        <v>114</v>
      </c>
      <c r="D95" s="797">
        <f>Assumptions!D136</f>
        <v>0</v>
      </c>
      <c r="E95" s="798" t="s">
        <v>813</v>
      </c>
      <c r="F95" s="797"/>
      <c r="G95" s="799">
        <f>Assumptions!I174</f>
        <v>0</v>
      </c>
      <c r="H95" s="799">
        <f>G95*(1+Assumptions!$H$184)</f>
        <v>0</v>
      </c>
      <c r="I95" s="799">
        <f>H95*(1+Assumptions!$H$184)</f>
        <v>0</v>
      </c>
      <c r="J95" s="799">
        <f>I95*(1+Assumptions!$H$184)</f>
        <v>0</v>
      </c>
      <c r="K95" s="800">
        <f>J95*(1+Assumptions!$H$184)</f>
        <v>0</v>
      </c>
      <c r="L95" s="624">
        <f>K95*(1+Assumptions!$H$184)</f>
        <v>0</v>
      </c>
      <c r="M95" s="624">
        <f>L95*(1+Assumptions!$H$184)</f>
        <v>0</v>
      </c>
      <c r="N95" s="624">
        <f>M95*(1+Assumptions!$H$184)</f>
        <v>0</v>
      </c>
      <c r="O95" s="624">
        <f>N95*(1+Assumptions!$H$184)</f>
        <v>0</v>
      </c>
      <c r="P95" s="624">
        <f>O95*(1+Assumptions!$H$184)</f>
        <v>0</v>
      </c>
      <c r="Q95" s="624">
        <f>P95*(1+Assumptions!$H$184)</f>
        <v>0</v>
      </c>
      <c r="R95" s="624">
        <f>Q95*(1+Assumptions!$H$184)</f>
        <v>0</v>
      </c>
      <c r="S95" s="624">
        <f>R95*(1+Assumptions!$H$184)</f>
        <v>0</v>
      </c>
      <c r="T95" s="624">
        <f>S95*(1+Assumptions!$H$184)</f>
        <v>0</v>
      </c>
      <c r="U95" s="624">
        <f>T95*(1+Assumptions!$H$184)</f>
        <v>0</v>
      </c>
      <c r="V95" s="624">
        <f>U95*(1+Assumptions!$H$184)</f>
        <v>0</v>
      </c>
      <c r="W95" s="624">
        <f>V95*(1+Assumptions!$H$184)</f>
        <v>0</v>
      </c>
      <c r="X95" s="624">
        <f>W95*(1+Assumptions!$H$184)</f>
        <v>0</v>
      </c>
      <c r="Y95" s="624">
        <f>X95*(1+Assumptions!$H$184)</f>
        <v>0</v>
      </c>
      <c r="Z95" s="624">
        <f>Y95*(1+Assumptions!$H$184)</f>
        <v>0</v>
      </c>
      <c r="AA95" s="624">
        <f>Z95*(1+Assumptions!$H$184)</f>
        <v>0</v>
      </c>
    </row>
    <row r="96" spans="1:27" s="620" customFormat="1" hidden="1" x14ac:dyDescent="0.45">
      <c r="A96" s="796"/>
      <c r="B96" s="797"/>
      <c r="C96" s="797" t="s">
        <v>114</v>
      </c>
      <c r="D96" s="797">
        <f>Assumptions!D137</f>
        <v>0</v>
      </c>
      <c r="E96" s="798" t="s">
        <v>813</v>
      </c>
      <c r="F96" s="797"/>
      <c r="G96" s="799">
        <f>Assumptions!I175</f>
        <v>0</v>
      </c>
      <c r="H96" s="799">
        <f>G96*(1+Assumptions!$H$184)</f>
        <v>0</v>
      </c>
      <c r="I96" s="799">
        <f>H96*(1+Assumptions!$H$184)</f>
        <v>0</v>
      </c>
      <c r="J96" s="799">
        <f>I96*(1+Assumptions!$H$184)</f>
        <v>0</v>
      </c>
      <c r="K96" s="800">
        <f>J96*(1+Assumptions!$H$184)</f>
        <v>0</v>
      </c>
      <c r="L96" s="624">
        <f>K96*(1+Assumptions!$H$184)</f>
        <v>0</v>
      </c>
      <c r="M96" s="624">
        <f>L96*(1+Assumptions!$H$184)</f>
        <v>0</v>
      </c>
      <c r="N96" s="624">
        <f>M96*(1+Assumptions!$H$184)</f>
        <v>0</v>
      </c>
      <c r="O96" s="624">
        <f>N96*(1+Assumptions!$H$184)</f>
        <v>0</v>
      </c>
      <c r="P96" s="624">
        <f>O96*(1+Assumptions!$H$184)</f>
        <v>0</v>
      </c>
      <c r="Q96" s="624">
        <f>P96*(1+Assumptions!$H$184)</f>
        <v>0</v>
      </c>
      <c r="R96" s="624">
        <f>Q96*(1+Assumptions!$H$184)</f>
        <v>0</v>
      </c>
      <c r="S96" s="624">
        <f>R96*(1+Assumptions!$H$184)</f>
        <v>0</v>
      </c>
      <c r="T96" s="624">
        <f>S96*(1+Assumptions!$H$184)</f>
        <v>0</v>
      </c>
      <c r="U96" s="624">
        <f>T96*(1+Assumptions!$H$184)</f>
        <v>0</v>
      </c>
      <c r="V96" s="624">
        <f>U96*(1+Assumptions!$H$184)</f>
        <v>0</v>
      </c>
      <c r="W96" s="624">
        <f>V96*(1+Assumptions!$H$184)</f>
        <v>0</v>
      </c>
      <c r="X96" s="624">
        <f>W96*(1+Assumptions!$H$184)</f>
        <v>0</v>
      </c>
      <c r="Y96" s="624">
        <f>X96*(1+Assumptions!$H$184)</f>
        <v>0</v>
      </c>
      <c r="Z96" s="624">
        <f>Y96*(1+Assumptions!$H$184)</f>
        <v>0</v>
      </c>
      <c r="AA96" s="624">
        <f>Z96*(1+Assumptions!$H$184)</f>
        <v>0</v>
      </c>
    </row>
    <row r="97" spans="1:27" s="620" customFormat="1" hidden="1" x14ac:dyDescent="0.45">
      <c r="A97" s="796"/>
      <c r="B97" s="797"/>
      <c r="C97" s="797" t="s">
        <v>114</v>
      </c>
      <c r="D97" s="797">
        <f>Assumptions!D138</f>
        <v>0</v>
      </c>
      <c r="E97" s="798" t="s">
        <v>813</v>
      </c>
      <c r="F97" s="797"/>
      <c r="G97" s="799">
        <f>Assumptions!I176</f>
        <v>0</v>
      </c>
      <c r="H97" s="799">
        <f>G97*(1+Assumptions!$H$184)</f>
        <v>0</v>
      </c>
      <c r="I97" s="799">
        <f>H97*(1+Assumptions!$H$184)</f>
        <v>0</v>
      </c>
      <c r="J97" s="799">
        <f>I97*(1+Assumptions!$H$184)</f>
        <v>0</v>
      </c>
      <c r="K97" s="800">
        <f>J97*(1+Assumptions!$H$184)</f>
        <v>0</v>
      </c>
      <c r="L97" s="624">
        <f>K97*(1+Assumptions!$H$184)</f>
        <v>0</v>
      </c>
      <c r="M97" s="624">
        <f>L97*(1+Assumptions!$H$184)</f>
        <v>0</v>
      </c>
      <c r="N97" s="624">
        <f>M97*(1+Assumptions!$H$184)</f>
        <v>0</v>
      </c>
      <c r="O97" s="624">
        <f>N97*(1+Assumptions!$H$184)</f>
        <v>0</v>
      </c>
      <c r="P97" s="624">
        <f>O97*(1+Assumptions!$H$184)</f>
        <v>0</v>
      </c>
      <c r="Q97" s="624">
        <f>P97*(1+Assumptions!$H$184)</f>
        <v>0</v>
      </c>
      <c r="R97" s="624">
        <f>Q97*(1+Assumptions!$H$184)</f>
        <v>0</v>
      </c>
      <c r="S97" s="624">
        <f>R97*(1+Assumptions!$H$184)</f>
        <v>0</v>
      </c>
      <c r="T97" s="624">
        <f>S97*(1+Assumptions!$H$184)</f>
        <v>0</v>
      </c>
      <c r="U97" s="624">
        <f>T97*(1+Assumptions!$H$184)</f>
        <v>0</v>
      </c>
      <c r="V97" s="624">
        <f>U97*(1+Assumptions!$H$184)</f>
        <v>0</v>
      </c>
      <c r="W97" s="624">
        <f>V97*(1+Assumptions!$H$184)</f>
        <v>0</v>
      </c>
      <c r="X97" s="624">
        <f>W97*(1+Assumptions!$H$184)</f>
        <v>0</v>
      </c>
      <c r="Y97" s="624">
        <f>X97*(1+Assumptions!$H$184)</f>
        <v>0</v>
      </c>
      <c r="Z97" s="624">
        <f>Y97*(1+Assumptions!$H$184)</f>
        <v>0</v>
      </c>
      <c r="AA97" s="624">
        <f>Z97*(1+Assumptions!$H$184)</f>
        <v>0</v>
      </c>
    </row>
    <row r="98" spans="1:27" s="620" customFormat="1" hidden="1" x14ac:dyDescent="0.45">
      <c r="A98" s="796"/>
      <c r="B98" s="797"/>
      <c r="C98" s="797" t="s">
        <v>114</v>
      </c>
      <c r="D98" s="797">
        <f>Assumptions!D139</f>
        <v>0</v>
      </c>
      <c r="E98" s="798" t="s">
        <v>813</v>
      </c>
      <c r="F98" s="797"/>
      <c r="G98" s="799">
        <f>Assumptions!I177</f>
        <v>0</v>
      </c>
      <c r="H98" s="799">
        <f>G98*(1+Assumptions!$H$184)</f>
        <v>0</v>
      </c>
      <c r="I98" s="799">
        <f>H98*(1+Assumptions!$H$184)</f>
        <v>0</v>
      </c>
      <c r="J98" s="799">
        <f>I98*(1+Assumptions!$H$184)</f>
        <v>0</v>
      </c>
      <c r="K98" s="800">
        <f>J98*(1+Assumptions!$H$184)</f>
        <v>0</v>
      </c>
      <c r="L98" s="624">
        <f>K98*(1+Assumptions!$H$184)</f>
        <v>0</v>
      </c>
      <c r="M98" s="624">
        <f>L98*(1+Assumptions!$H$184)</f>
        <v>0</v>
      </c>
      <c r="N98" s="624">
        <f>M98*(1+Assumptions!$H$184)</f>
        <v>0</v>
      </c>
      <c r="O98" s="624">
        <f>N98*(1+Assumptions!$H$184)</f>
        <v>0</v>
      </c>
      <c r="P98" s="624">
        <f>O98*(1+Assumptions!$H$184)</f>
        <v>0</v>
      </c>
      <c r="Q98" s="624">
        <f>P98*(1+Assumptions!$H$184)</f>
        <v>0</v>
      </c>
      <c r="R98" s="624">
        <f>Q98*(1+Assumptions!$H$184)</f>
        <v>0</v>
      </c>
      <c r="S98" s="624">
        <f>R98*(1+Assumptions!$H$184)</f>
        <v>0</v>
      </c>
      <c r="T98" s="624">
        <f>S98*(1+Assumptions!$H$184)</f>
        <v>0</v>
      </c>
      <c r="U98" s="624">
        <f>T98*(1+Assumptions!$H$184)</f>
        <v>0</v>
      </c>
      <c r="V98" s="624">
        <f>U98*(1+Assumptions!$H$184)</f>
        <v>0</v>
      </c>
      <c r="W98" s="624">
        <f>V98*(1+Assumptions!$H$184)</f>
        <v>0</v>
      </c>
      <c r="X98" s="624">
        <f>W98*(1+Assumptions!$H$184)</f>
        <v>0</v>
      </c>
      <c r="Y98" s="624">
        <f>X98*(1+Assumptions!$H$184)</f>
        <v>0</v>
      </c>
      <c r="Z98" s="624">
        <f>Y98*(1+Assumptions!$H$184)</f>
        <v>0</v>
      </c>
      <c r="AA98" s="624">
        <f>Z98*(1+Assumptions!$H$184)</f>
        <v>0</v>
      </c>
    </row>
    <row r="99" spans="1:27" s="620" customFormat="1" hidden="1" x14ac:dyDescent="0.45">
      <c r="A99" s="796"/>
      <c r="B99" s="797"/>
      <c r="C99" s="797" t="s">
        <v>114</v>
      </c>
      <c r="D99" s="797">
        <f>Assumptions!D140</f>
        <v>0</v>
      </c>
      <c r="E99" s="798" t="s">
        <v>813</v>
      </c>
      <c r="F99" s="797"/>
      <c r="G99" s="799">
        <f>Assumptions!I178</f>
        <v>0</v>
      </c>
      <c r="H99" s="799">
        <f>G99*(1+Assumptions!$H$184)</f>
        <v>0</v>
      </c>
      <c r="I99" s="799">
        <f>H99*(1+Assumptions!$H$184)</f>
        <v>0</v>
      </c>
      <c r="J99" s="799">
        <f>I99*(1+Assumptions!$H$184)</f>
        <v>0</v>
      </c>
      <c r="K99" s="800">
        <f>J99*(1+Assumptions!$H$184)</f>
        <v>0</v>
      </c>
      <c r="L99" s="624">
        <f>K99*(1+Assumptions!$H$184)</f>
        <v>0</v>
      </c>
      <c r="M99" s="624">
        <f>L99*(1+Assumptions!$H$184)</f>
        <v>0</v>
      </c>
      <c r="N99" s="624">
        <f>M99*(1+Assumptions!$H$184)</f>
        <v>0</v>
      </c>
      <c r="O99" s="624">
        <f>N99*(1+Assumptions!$H$184)</f>
        <v>0</v>
      </c>
      <c r="P99" s="624">
        <f>O99*(1+Assumptions!$H$184)</f>
        <v>0</v>
      </c>
      <c r="Q99" s="624">
        <f>P99*(1+Assumptions!$H$184)</f>
        <v>0</v>
      </c>
      <c r="R99" s="624">
        <f>Q99*(1+Assumptions!$H$184)</f>
        <v>0</v>
      </c>
      <c r="S99" s="624">
        <f>R99*(1+Assumptions!$H$184)</f>
        <v>0</v>
      </c>
      <c r="T99" s="624">
        <f>S99*(1+Assumptions!$H$184)</f>
        <v>0</v>
      </c>
      <c r="U99" s="624">
        <f>T99*(1+Assumptions!$H$184)</f>
        <v>0</v>
      </c>
      <c r="V99" s="624">
        <f>U99*(1+Assumptions!$H$184)</f>
        <v>0</v>
      </c>
      <c r="W99" s="624">
        <f>V99*(1+Assumptions!$H$184)</f>
        <v>0</v>
      </c>
      <c r="X99" s="624">
        <f>W99*(1+Assumptions!$H$184)</f>
        <v>0</v>
      </c>
      <c r="Y99" s="624">
        <f>X99*(1+Assumptions!$H$184)</f>
        <v>0</v>
      </c>
      <c r="Z99" s="624">
        <f>Y99*(1+Assumptions!$H$184)</f>
        <v>0</v>
      </c>
      <c r="AA99" s="624">
        <f>Z99*(1+Assumptions!$H$184)</f>
        <v>0</v>
      </c>
    </row>
    <row r="100" spans="1:27" s="620" customFormat="1" hidden="1" x14ac:dyDescent="0.45">
      <c r="A100" s="796"/>
      <c r="B100" s="797"/>
      <c r="C100" s="797" t="s">
        <v>114</v>
      </c>
      <c r="D100" s="797">
        <f>Assumptions!D141</f>
        <v>0</v>
      </c>
      <c r="E100" s="798" t="s">
        <v>813</v>
      </c>
      <c r="F100" s="797"/>
      <c r="G100" s="799">
        <f>Assumptions!I179</f>
        <v>0</v>
      </c>
      <c r="H100" s="799">
        <f>G100*(1+Assumptions!$H$184)</f>
        <v>0</v>
      </c>
      <c r="I100" s="799">
        <f>H100*(1+Assumptions!$H$184)</f>
        <v>0</v>
      </c>
      <c r="J100" s="799">
        <f>I100*(1+Assumptions!$H$184)</f>
        <v>0</v>
      </c>
      <c r="K100" s="800">
        <f>J100*(1+Assumptions!$H$184)</f>
        <v>0</v>
      </c>
      <c r="L100" s="624">
        <f>K100*(1+Assumptions!$H$184)</f>
        <v>0</v>
      </c>
      <c r="M100" s="624">
        <f>L100*(1+Assumptions!$H$184)</f>
        <v>0</v>
      </c>
      <c r="N100" s="624">
        <f>M100*(1+Assumptions!$H$184)</f>
        <v>0</v>
      </c>
      <c r="O100" s="624">
        <f>N100*(1+Assumptions!$H$184)</f>
        <v>0</v>
      </c>
      <c r="P100" s="624">
        <f>O100*(1+Assumptions!$H$184)</f>
        <v>0</v>
      </c>
      <c r="Q100" s="624">
        <f>P100*(1+Assumptions!$H$184)</f>
        <v>0</v>
      </c>
      <c r="R100" s="624">
        <f>Q100*(1+Assumptions!$H$184)</f>
        <v>0</v>
      </c>
      <c r="S100" s="624">
        <f>R100*(1+Assumptions!$H$184)</f>
        <v>0</v>
      </c>
      <c r="T100" s="624">
        <f>S100*(1+Assumptions!$H$184)</f>
        <v>0</v>
      </c>
      <c r="U100" s="624">
        <f>T100*(1+Assumptions!$H$184)</f>
        <v>0</v>
      </c>
      <c r="V100" s="624">
        <f>U100*(1+Assumptions!$H$184)</f>
        <v>0</v>
      </c>
      <c r="W100" s="624">
        <f>V100*(1+Assumptions!$H$184)</f>
        <v>0</v>
      </c>
      <c r="X100" s="624">
        <f>W100*(1+Assumptions!$H$184)</f>
        <v>0</v>
      </c>
      <c r="Y100" s="624">
        <f>X100*(1+Assumptions!$H$184)</f>
        <v>0</v>
      </c>
      <c r="Z100" s="624">
        <f>Y100*(1+Assumptions!$H$184)</f>
        <v>0</v>
      </c>
      <c r="AA100" s="624">
        <f>Z100*(1+Assumptions!$H$184)</f>
        <v>0</v>
      </c>
    </row>
    <row r="101" spans="1:27" s="620" customFormat="1" hidden="1" x14ac:dyDescent="0.45">
      <c r="A101" s="796"/>
      <c r="B101" s="797"/>
      <c r="C101" s="797" t="s">
        <v>114</v>
      </c>
      <c r="D101" s="797">
        <f>Assumptions!D142</f>
        <v>0</v>
      </c>
      <c r="E101" s="798" t="s">
        <v>813</v>
      </c>
      <c r="F101" s="797"/>
      <c r="G101" s="799">
        <f>Assumptions!I180</f>
        <v>0</v>
      </c>
      <c r="H101" s="799">
        <f>G101*(1+Assumptions!$H$184)</f>
        <v>0</v>
      </c>
      <c r="I101" s="799">
        <f>H101*(1+Assumptions!$H$184)</f>
        <v>0</v>
      </c>
      <c r="J101" s="799">
        <f>I101*(1+Assumptions!$H$184)</f>
        <v>0</v>
      </c>
      <c r="K101" s="800">
        <f>J101*(1+Assumptions!$H$184)</f>
        <v>0</v>
      </c>
      <c r="L101" s="624">
        <f>K101*(1+Assumptions!$H$184)</f>
        <v>0</v>
      </c>
      <c r="M101" s="624">
        <f>L101*(1+Assumptions!$H$184)</f>
        <v>0</v>
      </c>
      <c r="N101" s="624">
        <f>M101*(1+Assumptions!$H$184)</f>
        <v>0</v>
      </c>
      <c r="O101" s="624">
        <f>N101*(1+Assumptions!$H$184)</f>
        <v>0</v>
      </c>
      <c r="P101" s="624">
        <f>O101*(1+Assumptions!$H$184)</f>
        <v>0</v>
      </c>
      <c r="Q101" s="624">
        <f>P101*(1+Assumptions!$H$184)</f>
        <v>0</v>
      </c>
      <c r="R101" s="624">
        <f>Q101*(1+Assumptions!$H$184)</f>
        <v>0</v>
      </c>
      <c r="S101" s="624">
        <f>R101*(1+Assumptions!$H$184)</f>
        <v>0</v>
      </c>
      <c r="T101" s="624">
        <f>S101*(1+Assumptions!$H$184)</f>
        <v>0</v>
      </c>
      <c r="U101" s="624">
        <f>T101*(1+Assumptions!$H$184)</f>
        <v>0</v>
      </c>
      <c r="V101" s="624">
        <f>U101*(1+Assumptions!$H$184)</f>
        <v>0</v>
      </c>
      <c r="W101" s="624">
        <f>V101*(1+Assumptions!$H$184)</f>
        <v>0</v>
      </c>
      <c r="X101" s="624">
        <f>W101*(1+Assumptions!$H$184)</f>
        <v>0</v>
      </c>
      <c r="Y101" s="624">
        <f>X101*(1+Assumptions!$H$184)</f>
        <v>0</v>
      </c>
      <c r="Z101" s="624">
        <f>Y101*(1+Assumptions!$H$184)</f>
        <v>0</v>
      </c>
      <c r="AA101" s="624">
        <f>Z101*(1+Assumptions!$H$184)</f>
        <v>0</v>
      </c>
    </row>
    <row r="102" spans="1:27" s="620" customFormat="1" hidden="1" x14ac:dyDescent="0.45">
      <c r="A102" s="796"/>
      <c r="B102" s="797"/>
      <c r="C102" s="797" t="s">
        <v>114</v>
      </c>
      <c r="D102" s="797">
        <f>Assumptions!D143</f>
        <v>0</v>
      </c>
      <c r="E102" s="798" t="s">
        <v>813</v>
      </c>
      <c r="F102" s="797"/>
      <c r="G102" s="799">
        <f>Assumptions!I181</f>
        <v>0</v>
      </c>
      <c r="H102" s="799">
        <f>G102*(1+Assumptions!$H$184)</f>
        <v>0</v>
      </c>
      <c r="I102" s="799">
        <f>H102*(1+Assumptions!$H$184)</f>
        <v>0</v>
      </c>
      <c r="J102" s="799">
        <f>I102*(1+Assumptions!$H$184)</f>
        <v>0</v>
      </c>
      <c r="K102" s="800">
        <f>J102*(1+Assumptions!$H$184)</f>
        <v>0</v>
      </c>
      <c r="L102" s="624">
        <f>K102*(1+Assumptions!$H$184)</f>
        <v>0</v>
      </c>
      <c r="M102" s="624">
        <f>L102*(1+Assumptions!$H$184)</f>
        <v>0</v>
      </c>
      <c r="N102" s="624">
        <f>M102*(1+Assumptions!$H$184)</f>
        <v>0</v>
      </c>
      <c r="O102" s="624">
        <f>N102*(1+Assumptions!$H$184)</f>
        <v>0</v>
      </c>
      <c r="P102" s="624">
        <f>O102*(1+Assumptions!$H$184)</f>
        <v>0</v>
      </c>
      <c r="Q102" s="624">
        <f>P102*(1+Assumptions!$H$184)</f>
        <v>0</v>
      </c>
      <c r="R102" s="624">
        <f>Q102*(1+Assumptions!$H$184)</f>
        <v>0</v>
      </c>
      <c r="S102" s="624">
        <f>R102*(1+Assumptions!$H$184)</f>
        <v>0</v>
      </c>
      <c r="T102" s="624">
        <f>S102*(1+Assumptions!$H$184)</f>
        <v>0</v>
      </c>
      <c r="U102" s="624">
        <f>T102*(1+Assumptions!$H$184)</f>
        <v>0</v>
      </c>
      <c r="V102" s="624">
        <f>U102*(1+Assumptions!$H$184)</f>
        <v>0</v>
      </c>
      <c r="W102" s="624">
        <f>V102*(1+Assumptions!$H$184)</f>
        <v>0</v>
      </c>
      <c r="X102" s="624">
        <f>W102*(1+Assumptions!$H$184)</f>
        <v>0</v>
      </c>
      <c r="Y102" s="624">
        <f>X102*(1+Assumptions!$H$184)</f>
        <v>0</v>
      </c>
      <c r="Z102" s="624">
        <f>Y102*(1+Assumptions!$H$184)</f>
        <v>0</v>
      </c>
      <c r="AA102" s="624">
        <f>Z102*(1+Assumptions!$H$184)</f>
        <v>0</v>
      </c>
    </row>
    <row r="103" spans="1:27" s="620" customFormat="1" hidden="1" x14ac:dyDescent="0.45">
      <c r="A103" s="796"/>
      <c r="B103" s="797"/>
      <c r="C103" s="797" t="s">
        <v>114</v>
      </c>
      <c r="D103" s="797">
        <f>Assumptions!D144</f>
        <v>0</v>
      </c>
      <c r="E103" s="798" t="s">
        <v>813</v>
      </c>
      <c r="F103" s="797"/>
      <c r="G103" s="799">
        <f>Assumptions!I182</f>
        <v>0</v>
      </c>
      <c r="H103" s="799">
        <f>G103*(1+Assumptions!$H$184)</f>
        <v>0</v>
      </c>
      <c r="I103" s="799">
        <f>H103*(1+Assumptions!$H$184)</f>
        <v>0</v>
      </c>
      <c r="J103" s="799">
        <f>I103*(1+Assumptions!$H$184)</f>
        <v>0</v>
      </c>
      <c r="K103" s="800">
        <f>J103*(1+Assumptions!$H$184)</f>
        <v>0</v>
      </c>
      <c r="L103" s="624">
        <f>K103*(1+Assumptions!$H$184)</f>
        <v>0</v>
      </c>
      <c r="M103" s="624">
        <f>L103*(1+Assumptions!$H$184)</f>
        <v>0</v>
      </c>
      <c r="N103" s="624">
        <f>M103*(1+Assumptions!$H$184)</f>
        <v>0</v>
      </c>
      <c r="O103" s="624">
        <f>N103*(1+Assumptions!$H$184)</f>
        <v>0</v>
      </c>
      <c r="P103" s="624">
        <f>O103*(1+Assumptions!$H$184)</f>
        <v>0</v>
      </c>
      <c r="Q103" s="624">
        <f>P103*(1+Assumptions!$H$184)</f>
        <v>0</v>
      </c>
      <c r="R103" s="624">
        <f>Q103*(1+Assumptions!$H$184)</f>
        <v>0</v>
      </c>
      <c r="S103" s="624">
        <f>R103*(1+Assumptions!$H$184)</f>
        <v>0</v>
      </c>
      <c r="T103" s="624">
        <f>S103*(1+Assumptions!$H$184)</f>
        <v>0</v>
      </c>
      <c r="U103" s="624">
        <f>T103*(1+Assumptions!$H$184)</f>
        <v>0</v>
      </c>
      <c r="V103" s="624">
        <f>U103*(1+Assumptions!$H$184)</f>
        <v>0</v>
      </c>
      <c r="W103" s="624">
        <f>V103*(1+Assumptions!$H$184)</f>
        <v>0</v>
      </c>
      <c r="X103" s="624">
        <f>W103*(1+Assumptions!$H$184)</f>
        <v>0</v>
      </c>
      <c r="Y103" s="624">
        <f>X103*(1+Assumptions!$H$184)</f>
        <v>0</v>
      </c>
      <c r="Z103" s="624">
        <f>Y103*(1+Assumptions!$H$184)</f>
        <v>0</v>
      </c>
      <c r="AA103" s="624">
        <f>Z103*(1+Assumptions!$H$184)</f>
        <v>0</v>
      </c>
    </row>
    <row r="104" spans="1:27" s="620" customFormat="1" hidden="1" x14ac:dyDescent="0.45">
      <c r="A104" s="796"/>
      <c r="B104" s="797"/>
      <c r="C104" s="797"/>
      <c r="D104" s="797"/>
      <c r="E104" s="798"/>
      <c r="F104" s="789"/>
      <c r="G104" s="801"/>
      <c r="H104" s="801"/>
      <c r="I104" s="801"/>
      <c r="J104" s="801"/>
      <c r="K104" s="802"/>
      <c r="L104" s="622"/>
      <c r="M104" s="622"/>
      <c r="N104" s="622"/>
      <c r="O104" s="622"/>
      <c r="P104" s="622"/>
      <c r="Q104" s="622"/>
      <c r="R104" s="622"/>
      <c r="S104" s="622"/>
      <c r="T104" s="622"/>
      <c r="U104" s="622"/>
      <c r="V104" s="622"/>
      <c r="W104" s="622"/>
      <c r="X104" s="622"/>
      <c r="Y104" s="622"/>
      <c r="Z104" s="622"/>
      <c r="AA104" s="622"/>
    </row>
    <row r="105" spans="1:27" s="620" customFormat="1" hidden="1" x14ac:dyDescent="0.45">
      <c r="A105" s="796"/>
      <c r="B105" s="797"/>
      <c r="C105" s="797" t="s">
        <v>114</v>
      </c>
      <c r="D105" s="797" t="str">
        <f>D68</f>
        <v>Landscaping</v>
      </c>
      <c r="E105" s="798" t="s">
        <v>806</v>
      </c>
      <c r="F105" s="798" t="s">
        <v>483</v>
      </c>
      <c r="G105" s="799">
        <f ca="1">G68*Assumptions!H$18+IF(COLUMN(G105)&lt;=6+Assumptions!$H109,0,OFFSET(G105,,-Assumptions!$H109))</f>
        <v>480801.33555926546</v>
      </c>
      <c r="H105" s="799">
        <f ca="1">H68*Assumptions!I$18+IF(COLUMN(H105)&lt;=6+Assumptions!$H109,0,OFFSET(H105,,-Assumptions!$H109))</f>
        <v>0</v>
      </c>
      <c r="I105" s="799">
        <f ca="1">I68*Assumptions!J$18+IF(COLUMN(I105)&lt;=6+Assumptions!$H109,0,OFFSET(I105,,-Assumptions!$H109))</f>
        <v>0</v>
      </c>
      <c r="J105" s="799">
        <f ca="1">J68*Assumptions!K$18+IF(COLUMN(J105)&lt;=6+Assumptions!$H109,0,OFFSET(J105,,-Assumptions!$H109))</f>
        <v>0</v>
      </c>
      <c r="K105" s="800">
        <f ca="1">K68*Assumptions!L$18+IF(COLUMN(K105)&lt;=6+Assumptions!$H109,0,OFFSET(K105,,-Assumptions!$H109))</f>
        <v>0</v>
      </c>
      <c r="L105" s="624">
        <f ca="1">L68*Assumptions!M$18+IF(COLUMN(L105)&lt;=6+Assumptions!$H109,0,OFFSET(L105,,-Assumptions!$H109))</f>
        <v>0</v>
      </c>
      <c r="M105" s="624">
        <f ca="1">M68*Assumptions!N$18+IF(COLUMN(M105)&lt;=6+Assumptions!$H109,0,OFFSET(M105,,-Assumptions!$H109))</f>
        <v>0</v>
      </c>
      <c r="N105" s="624">
        <f ca="1">N68*Assumptions!O$18+IF(COLUMN(N105)&lt;=6+Assumptions!$H109,0,OFFSET(N105,,-Assumptions!$H109))</f>
        <v>0</v>
      </c>
      <c r="O105" s="624">
        <f ca="1">O68*Assumptions!P$18+IF(COLUMN(O105)&lt;=6+Assumptions!$H109,0,OFFSET(O105,,-Assumptions!$H109))</f>
        <v>0</v>
      </c>
      <c r="P105" s="624">
        <f ca="1">P68*Assumptions!Q$18+IF(COLUMN(P105)&lt;=6+Assumptions!$H109,0,OFFSET(P105,,-Assumptions!$H109))</f>
        <v>0</v>
      </c>
      <c r="Q105" s="624">
        <f ca="1">Q68*Assumptions!R$18+IF(COLUMN(Q105)&lt;=6+Assumptions!$H109,0,OFFSET(Q105,,-Assumptions!$H109))</f>
        <v>0</v>
      </c>
      <c r="R105" s="624">
        <f ca="1">R68*Assumptions!S$18+IF(COLUMN(R105)&lt;=6+Assumptions!$H109,0,OFFSET(R105,,-Assumptions!$H109))</f>
        <v>0</v>
      </c>
      <c r="S105" s="624">
        <f ca="1">S68*Assumptions!T$18+IF(COLUMN(S105)&lt;=6+Assumptions!$H109,0,OFFSET(S105,,-Assumptions!$H109))</f>
        <v>0</v>
      </c>
      <c r="T105" s="624">
        <f ca="1">T68*Assumptions!U$18+IF(COLUMN(T105)&lt;=6+Assumptions!$H109,0,OFFSET(T105,,-Assumptions!$H109))</f>
        <v>0</v>
      </c>
      <c r="U105" s="624">
        <f ca="1">U68*Assumptions!V$18+IF(COLUMN(U105)&lt;=6+Assumptions!$H109,0,OFFSET(U105,,-Assumptions!$H109))</f>
        <v>0</v>
      </c>
      <c r="V105" s="624">
        <f ca="1">V68*Assumptions!W$18+IF(COLUMN(V105)&lt;=6+Assumptions!$H109,0,OFFSET(V105,,-Assumptions!$H109))</f>
        <v>0</v>
      </c>
      <c r="W105" s="624">
        <f ca="1">W68*Assumptions!X$18+IF(COLUMN(W105)&lt;=6+Assumptions!$H109,0,OFFSET(W105,,-Assumptions!$H109))</f>
        <v>0</v>
      </c>
      <c r="X105" s="624">
        <f ca="1">X68*Assumptions!Y$18+IF(COLUMN(X105)&lt;=6+Assumptions!$H109,0,OFFSET(X105,,-Assumptions!$H109))</f>
        <v>0</v>
      </c>
      <c r="Y105" s="624">
        <f ca="1">Y68*Assumptions!Z$18+IF(COLUMN(Y105)&lt;=6+Assumptions!$H109,0,OFFSET(Y105,,-Assumptions!$H109))</f>
        <v>0</v>
      </c>
      <c r="Z105" s="624">
        <f ca="1">Z68*Assumptions!AA$18+IF(COLUMN(Z105)&lt;=6+Assumptions!$H109,0,OFFSET(Z105,,-Assumptions!$H109))</f>
        <v>0</v>
      </c>
      <c r="AA105" s="624">
        <f ca="1">AA68*Assumptions!AB$18+IF(COLUMN(AA105)&lt;=6+Assumptions!$H109,0,OFFSET(AA105,,-Assumptions!$H109))</f>
        <v>0</v>
      </c>
    </row>
    <row r="106" spans="1:27" s="620" customFormat="1" hidden="1" x14ac:dyDescent="0.45">
      <c r="A106" s="796"/>
      <c r="B106" s="797"/>
      <c r="C106" s="797" t="s">
        <v>114</v>
      </c>
      <c r="D106" s="797" t="str">
        <f t="shared" ref="D106:D134" si="3">D69</f>
        <v>Building</v>
      </c>
      <c r="E106" s="798" t="s">
        <v>806</v>
      </c>
      <c r="F106" s="798" t="s">
        <v>645</v>
      </c>
      <c r="G106" s="799">
        <f ca="1">G69*Assumptions!H$18+IF(COLUMN(G106)&lt;=6+Assumptions!$H110,0,OFFSET(G106,,-Assumptions!$H110))</f>
        <v>200333.88981636061</v>
      </c>
      <c r="H106" s="799">
        <f ca="1">H69*Assumptions!I$18+IF(COLUMN(H106)&lt;=6+Assumptions!$H110,0,OFFSET(H106,,-Assumptions!$H110))</f>
        <v>0</v>
      </c>
      <c r="I106" s="799">
        <f ca="1">I69*Assumptions!J$18+IF(COLUMN(I106)&lt;=6+Assumptions!$H110,0,OFFSET(I106,,-Assumptions!$H110))</f>
        <v>0</v>
      </c>
      <c r="J106" s="799">
        <f ca="1">J69*Assumptions!K$18+IF(COLUMN(J106)&lt;=6+Assumptions!$H110,0,OFFSET(J106,,-Assumptions!$H110))</f>
        <v>0</v>
      </c>
      <c r="K106" s="800">
        <f ca="1">K69*Assumptions!L$18+IF(COLUMN(K106)&lt;=6+Assumptions!$H110,0,OFFSET(K106,,-Assumptions!$H110))</f>
        <v>0</v>
      </c>
      <c r="L106" s="624">
        <f ca="1">L69*Assumptions!M$18+IF(COLUMN(L106)&lt;=6+Assumptions!$H110,0,OFFSET(L106,,-Assumptions!$H110))</f>
        <v>0</v>
      </c>
      <c r="M106" s="624">
        <f ca="1">M69*Assumptions!N$18+IF(COLUMN(M106)&lt;=6+Assumptions!$H110,0,OFFSET(M106,,-Assumptions!$H110))</f>
        <v>0</v>
      </c>
      <c r="N106" s="624">
        <f ca="1">N69*Assumptions!O$18+IF(COLUMN(N106)&lt;=6+Assumptions!$H110,0,OFFSET(N106,,-Assumptions!$H110))</f>
        <v>0</v>
      </c>
      <c r="O106" s="624">
        <f ca="1">O69*Assumptions!P$18+IF(COLUMN(O106)&lt;=6+Assumptions!$H110,0,OFFSET(O106,,-Assumptions!$H110))</f>
        <v>0</v>
      </c>
      <c r="P106" s="624">
        <f ca="1">P69*Assumptions!Q$18+IF(COLUMN(P106)&lt;=6+Assumptions!$H110,0,OFFSET(P106,,-Assumptions!$H110))</f>
        <v>0</v>
      </c>
      <c r="Q106" s="624">
        <f ca="1">Q69*Assumptions!R$18+IF(COLUMN(Q106)&lt;=6+Assumptions!$H110,0,OFFSET(Q106,,-Assumptions!$H110))</f>
        <v>0</v>
      </c>
      <c r="R106" s="624">
        <f ca="1">R69*Assumptions!S$18+IF(COLUMN(R106)&lt;=6+Assumptions!$H110,0,OFFSET(R106,,-Assumptions!$H110))</f>
        <v>0</v>
      </c>
      <c r="S106" s="624">
        <f ca="1">S69*Assumptions!T$18+IF(COLUMN(S106)&lt;=6+Assumptions!$H110,0,OFFSET(S106,,-Assumptions!$H110))</f>
        <v>0</v>
      </c>
      <c r="T106" s="624">
        <f ca="1">T69*Assumptions!U$18+IF(COLUMN(T106)&lt;=6+Assumptions!$H110,0,OFFSET(T106,,-Assumptions!$H110))</f>
        <v>0</v>
      </c>
      <c r="U106" s="624">
        <f ca="1">U69*Assumptions!V$18+IF(COLUMN(U106)&lt;=6+Assumptions!$H110,0,OFFSET(U106,,-Assumptions!$H110))</f>
        <v>0</v>
      </c>
      <c r="V106" s="624">
        <f ca="1">V69*Assumptions!W$18+IF(COLUMN(V106)&lt;=6+Assumptions!$H110,0,OFFSET(V106,,-Assumptions!$H110))</f>
        <v>0</v>
      </c>
      <c r="W106" s="624">
        <f ca="1">W69*Assumptions!X$18+IF(COLUMN(W106)&lt;=6+Assumptions!$H110,0,OFFSET(W106,,-Assumptions!$H110))</f>
        <v>0</v>
      </c>
      <c r="X106" s="624">
        <f ca="1">X69*Assumptions!Y$18+IF(COLUMN(X106)&lt;=6+Assumptions!$H110,0,OFFSET(X106,,-Assumptions!$H110))</f>
        <v>0</v>
      </c>
      <c r="Y106" s="624">
        <f ca="1">Y69*Assumptions!Z$18+IF(COLUMN(Y106)&lt;=6+Assumptions!$H110,0,OFFSET(Y106,,-Assumptions!$H110))</f>
        <v>0</v>
      </c>
      <c r="Z106" s="624">
        <f ca="1">Z69*Assumptions!AA$18+IF(COLUMN(Z106)&lt;=6+Assumptions!$H110,0,OFFSET(Z106,,-Assumptions!$H110))</f>
        <v>0</v>
      </c>
      <c r="AA106" s="624">
        <f ca="1">AA69*Assumptions!AB$18+IF(COLUMN(AA106)&lt;=6+Assumptions!$H110,0,OFFSET(AA106,,-Assumptions!$H110))</f>
        <v>0</v>
      </c>
    </row>
    <row r="107" spans="1:27" s="620" customFormat="1" hidden="1" x14ac:dyDescent="0.45">
      <c r="A107" s="796"/>
      <c r="B107" s="797"/>
      <c r="C107" s="797" t="s">
        <v>114</v>
      </c>
      <c r="D107" s="797" t="str">
        <f t="shared" si="3"/>
        <v>Storage</v>
      </c>
      <c r="E107" s="798" t="s">
        <v>806</v>
      </c>
      <c r="F107" s="798" t="s">
        <v>645</v>
      </c>
      <c r="G107" s="799">
        <f ca="1">G70*Assumptions!H$18+IF(COLUMN(G107)&lt;=6+Assumptions!$H111,0,OFFSET(G107,,-Assumptions!$H111))</f>
        <v>56093.489148580971</v>
      </c>
      <c r="H107" s="799">
        <f ca="1">H70*Assumptions!I$18+IF(COLUMN(H107)&lt;=6+Assumptions!$H111,0,OFFSET(H107,,-Assumptions!$H111))</f>
        <v>0</v>
      </c>
      <c r="I107" s="799">
        <f ca="1">I70*Assumptions!J$18+IF(COLUMN(I107)&lt;=6+Assumptions!$H111,0,OFFSET(I107,,-Assumptions!$H111))</f>
        <v>0</v>
      </c>
      <c r="J107" s="799">
        <f ca="1">J70*Assumptions!K$18+IF(COLUMN(J107)&lt;=6+Assumptions!$H111,0,OFFSET(J107,,-Assumptions!$H111))</f>
        <v>0</v>
      </c>
      <c r="K107" s="800">
        <f ca="1">K70*Assumptions!L$18+IF(COLUMN(K107)&lt;=6+Assumptions!$H111,0,OFFSET(K107,,-Assumptions!$H111))</f>
        <v>0</v>
      </c>
      <c r="L107" s="624">
        <f ca="1">L70*Assumptions!M$18+IF(COLUMN(L107)&lt;=6+Assumptions!$H111,0,OFFSET(L107,,-Assumptions!$H111))</f>
        <v>0</v>
      </c>
      <c r="M107" s="624">
        <f ca="1">M70*Assumptions!N$18+IF(COLUMN(M107)&lt;=6+Assumptions!$H111,0,OFFSET(M107,,-Assumptions!$H111))</f>
        <v>0</v>
      </c>
      <c r="N107" s="624">
        <f ca="1">N70*Assumptions!O$18+IF(COLUMN(N107)&lt;=6+Assumptions!$H111,0,OFFSET(N107,,-Assumptions!$H111))</f>
        <v>0</v>
      </c>
      <c r="O107" s="624">
        <f ca="1">O70*Assumptions!P$18+IF(COLUMN(O107)&lt;=6+Assumptions!$H111,0,OFFSET(O107,,-Assumptions!$H111))</f>
        <v>0</v>
      </c>
      <c r="P107" s="624">
        <f ca="1">P70*Assumptions!Q$18+IF(COLUMN(P107)&lt;=6+Assumptions!$H111,0,OFFSET(P107,,-Assumptions!$H111))</f>
        <v>0</v>
      </c>
      <c r="Q107" s="624">
        <f ca="1">Q70*Assumptions!R$18+IF(COLUMN(Q107)&lt;=6+Assumptions!$H111,0,OFFSET(Q107,,-Assumptions!$H111))</f>
        <v>0</v>
      </c>
      <c r="R107" s="624">
        <f ca="1">R70*Assumptions!S$18+IF(COLUMN(R107)&lt;=6+Assumptions!$H111,0,OFFSET(R107,,-Assumptions!$H111))</f>
        <v>0</v>
      </c>
      <c r="S107" s="624">
        <f ca="1">S70*Assumptions!T$18+IF(COLUMN(S107)&lt;=6+Assumptions!$H111,0,OFFSET(S107,,-Assumptions!$H111))</f>
        <v>0</v>
      </c>
      <c r="T107" s="624">
        <f ca="1">T70*Assumptions!U$18+IF(COLUMN(T107)&lt;=6+Assumptions!$H111,0,OFFSET(T107,,-Assumptions!$H111))</f>
        <v>0</v>
      </c>
      <c r="U107" s="624">
        <f ca="1">U70*Assumptions!V$18+IF(COLUMN(U107)&lt;=6+Assumptions!$H111,0,OFFSET(U107,,-Assumptions!$H111))</f>
        <v>0</v>
      </c>
      <c r="V107" s="624">
        <f ca="1">V70*Assumptions!W$18+IF(COLUMN(V107)&lt;=6+Assumptions!$H111,0,OFFSET(V107,,-Assumptions!$H111))</f>
        <v>0</v>
      </c>
      <c r="W107" s="624">
        <f ca="1">W70*Assumptions!X$18+IF(COLUMN(W107)&lt;=6+Assumptions!$H111,0,OFFSET(W107,,-Assumptions!$H111))</f>
        <v>0</v>
      </c>
      <c r="X107" s="624">
        <f ca="1">X70*Assumptions!Y$18+IF(COLUMN(X107)&lt;=6+Assumptions!$H111,0,OFFSET(X107,,-Assumptions!$H111))</f>
        <v>0</v>
      </c>
      <c r="Y107" s="624">
        <f ca="1">Y70*Assumptions!Z$18+IF(COLUMN(Y107)&lt;=6+Assumptions!$H111,0,OFFSET(Y107,,-Assumptions!$H111))</f>
        <v>0</v>
      </c>
      <c r="Z107" s="624">
        <f ca="1">Z70*Assumptions!AA$18+IF(COLUMN(Z107)&lt;=6+Assumptions!$H111,0,OFFSET(Z107,,-Assumptions!$H111))</f>
        <v>0</v>
      </c>
      <c r="AA107" s="624">
        <f ca="1">AA70*Assumptions!AB$18+IF(COLUMN(AA107)&lt;=6+Assumptions!$H111,0,OFFSET(AA107,,-Assumptions!$H111))</f>
        <v>0</v>
      </c>
    </row>
    <row r="108" spans="1:27" s="620" customFormat="1" hidden="1" x14ac:dyDescent="0.45">
      <c r="A108" s="796"/>
      <c r="B108" s="797"/>
      <c r="C108" s="797" t="s">
        <v>114</v>
      </c>
      <c r="D108" s="797" t="str">
        <f t="shared" si="3"/>
        <v>Water System</v>
      </c>
      <c r="E108" s="798" t="s">
        <v>806</v>
      </c>
      <c r="F108" s="798" t="s">
        <v>645</v>
      </c>
      <c r="G108" s="799">
        <f ca="1">G71*Assumptions!H$18+IF(COLUMN(G108)&lt;=6+Assumptions!$H112,0,OFFSET(G108,,-Assumptions!$H112))</f>
        <v>56093.489148580971</v>
      </c>
      <c r="H108" s="799">
        <f ca="1">H71*Assumptions!I$18+IF(COLUMN(H108)&lt;=6+Assumptions!$H112,0,OFFSET(H108,,-Assumptions!$H112))</f>
        <v>0</v>
      </c>
      <c r="I108" s="799">
        <f ca="1">I71*Assumptions!J$18+IF(COLUMN(I108)&lt;=6+Assumptions!$H112,0,OFFSET(I108,,-Assumptions!$H112))</f>
        <v>0</v>
      </c>
      <c r="J108" s="799">
        <f ca="1">J71*Assumptions!K$18+IF(COLUMN(J108)&lt;=6+Assumptions!$H112,0,OFFSET(J108,,-Assumptions!$H112))</f>
        <v>0</v>
      </c>
      <c r="K108" s="800">
        <f ca="1">K71*Assumptions!L$18+IF(COLUMN(K108)&lt;=6+Assumptions!$H112,0,OFFSET(K108,,-Assumptions!$H112))</f>
        <v>0</v>
      </c>
      <c r="L108" s="624">
        <f ca="1">L71*Assumptions!M$18+IF(COLUMN(L108)&lt;=6+Assumptions!$H112,0,OFFSET(L108,,-Assumptions!$H112))</f>
        <v>0</v>
      </c>
      <c r="M108" s="624">
        <f ca="1">M71*Assumptions!N$18+IF(COLUMN(M108)&lt;=6+Assumptions!$H112,0,OFFSET(M108,,-Assumptions!$H112))</f>
        <v>0</v>
      </c>
      <c r="N108" s="624">
        <f ca="1">N71*Assumptions!O$18+IF(COLUMN(N108)&lt;=6+Assumptions!$H112,0,OFFSET(N108,,-Assumptions!$H112))</f>
        <v>0</v>
      </c>
      <c r="O108" s="624">
        <f ca="1">O71*Assumptions!P$18+IF(COLUMN(O108)&lt;=6+Assumptions!$H112,0,OFFSET(O108,,-Assumptions!$H112))</f>
        <v>0</v>
      </c>
      <c r="P108" s="624">
        <f ca="1">P71*Assumptions!Q$18+IF(COLUMN(P108)&lt;=6+Assumptions!$H112,0,OFFSET(P108,,-Assumptions!$H112))</f>
        <v>0</v>
      </c>
      <c r="Q108" s="624">
        <f ca="1">Q71*Assumptions!R$18+IF(COLUMN(Q108)&lt;=6+Assumptions!$H112,0,OFFSET(Q108,,-Assumptions!$H112))</f>
        <v>0</v>
      </c>
      <c r="R108" s="624">
        <f ca="1">R71*Assumptions!S$18+IF(COLUMN(R108)&lt;=6+Assumptions!$H112,0,OFFSET(R108,,-Assumptions!$H112))</f>
        <v>0</v>
      </c>
      <c r="S108" s="624">
        <f ca="1">S71*Assumptions!T$18+IF(COLUMN(S108)&lt;=6+Assumptions!$H112,0,OFFSET(S108,,-Assumptions!$H112))</f>
        <v>0</v>
      </c>
      <c r="T108" s="624">
        <f ca="1">T71*Assumptions!U$18+IF(COLUMN(T108)&lt;=6+Assumptions!$H112,0,OFFSET(T108,,-Assumptions!$H112))</f>
        <v>0</v>
      </c>
      <c r="U108" s="624">
        <f ca="1">U71*Assumptions!V$18+IF(COLUMN(U108)&lt;=6+Assumptions!$H112,0,OFFSET(U108,,-Assumptions!$H112))</f>
        <v>0</v>
      </c>
      <c r="V108" s="624">
        <f ca="1">V71*Assumptions!W$18+IF(COLUMN(V108)&lt;=6+Assumptions!$H112,0,OFFSET(V108,,-Assumptions!$H112))</f>
        <v>0</v>
      </c>
      <c r="W108" s="624">
        <f ca="1">W71*Assumptions!X$18+IF(COLUMN(W108)&lt;=6+Assumptions!$H112,0,OFFSET(W108,,-Assumptions!$H112))</f>
        <v>0</v>
      </c>
      <c r="X108" s="624">
        <f ca="1">X71*Assumptions!Y$18+IF(COLUMN(X108)&lt;=6+Assumptions!$H112,0,OFFSET(X108,,-Assumptions!$H112))</f>
        <v>0</v>
      </c>
      <c r="Y108" s="624">
        <f ca="1">Y71*Assumptions!Z$18+IF(COLUMN(Y108)&lt;=6+Assumptions!$H112,0,OFFSET(Y108,,-Assumptions!$H112))</f>
        <v>0</v>
      </c>
      <c r="Z108" s="624">
        <f ca="1">Z71*Assumptions!AA$18+IF(COLUMN(Z108)&lt;=6+Assumptions!$H112,0,OFFSET(Z108,,-Assumptions!$H112))</f>
        <v>0</v>
      </c>
      <c r="AA108" s="624">
        <f ca="1">AA71*Assumptions!AB$18+IF(COLUMN(AA108)&lt;=6+Assumptions!$H112,0,OFFSET(AA108,,-Assumptions!$H112))</f>
        <v>0</v>
      </c>
    </row>
    <row r="109" spans="1:27" s="620" customFormat="1" hidden="1" x14ac:dyDescent="0.45">
      <c r="A109" s="796"/>
      <c r="B109" s="797"/>
      <c r="C109" s="797" t="s">
        <v>114</v>
      </c>
      <c r="D109" s="797" t="str">
        <f t="shared" si="3"/>
        <v>Electricity</v>
      </c>
      <c r="E109" s="798" t="s">
        <v>806</v>
      </c>
      <c r="F109" s="798" t="s">
        <v>645</v>
      </c>
      <c r="G109" s="799">
        <f ca="1">G72*Assumptions!H$18+IF(COLUMN(G109)&lt;=6+Assumptions!$H113,0,OFFSET(G109,,-Assumptions!$H113))</f>
        <v>24040.066777963271</v>
      </c>
      <c r="H109" s="799">
        <f ca="1">H72*Assumptions!I$18+IF(COLUMN(H109)&lt;=6+Assumptions!$H113,0,OFFSET(H109,,-Assumptions!$H113))</f>
        <v>0</v>
      </c>
      <c r="I109" s="799">
        <f ca="1">I72*Assumptions!J$18+IF(COLUMN(I109)&lt;=6+Assumptions!$H113,0,OFFSET(I109,,-Assumptions!$H113))</f>
        <v>0</v>
      </c>
      <c r="J109" s="799">
        <f ca="1">J72*Assumptions!K$18+IF(COLUMN(J109)&lt;=6+Assumptions!$H113,0,OFFSET(J109,,-Assumptions!$H113))</f>
        <v>0</v>
      </c>
      <c r="K109" s="800">
        <f ca="1">K72*Assumptions!L$18+IF(COLUMN(K109)&lt;=6+Assumptions!$H113,0,OFFSET(K109,,-Assumptions!$H113))</f>
        <v>0</v>
      </c>
      <c r="L109" s="624">
        <f ca="1">L72*Assumptions!M$18+IF(COLUMN(L109)&lt;=6+Assumptions!$H113,0,OFFSET(L109,,-Assumptions!$H113))</f>
        <v>0</v>
      </c>
      <c r="M109" s="624">
        <f ca="1">M72*Assumptions!N$18+IF(COLUMN(M109)&lt;=6+Assumptions!$H113,0,OFFSET(M109,,-Assumptions!$H113))</f>
        <v>0</v>
      </c>
      <c r="N109" s="624">
        <f ca="1">N72*Assumptions!O$18+IF(COLUMN(N109)&lt;=6+Assumptions!$H113,0,OFFSET(N109,,-Assumptions!$H113))</f>
        <v>0</v>
      </c>
      <c r="O109" s="624">
        <f ca="1">O72*Assumptions!P$18+IF(COLUMN(O109)&lt;=6+Assumptions!$H113,0,OFFSET(O109,,-Assumptions!$H113))</f>
        <v>0</v>
      </c>
      <c r="P109" s="624">
        <f ca="1">P72*Assumptions!Q$18+IF(COLUMN(P109)&lt;=6+Assumptions!$H113,0,OFFSET(P109,,-Assumptions!$H113))</f>
        <v>0</v>
      </c>
      <c r="Q109" s="624">
        <f ca="1">Q72*Assumptions!R$18+IF(COLUMN(Q109)&lt;=6+Assumptions!$H113,0,OFFSET(Q109,,-Assumptions!$H113))</f>
        <v>0</v>
      </c>
      <c r="R109" s="624">
        <f ca="1">R72*Assumptions!S$18+IF(COLUMN(R109)&lt;=6+Assumptions!$H113,0,OFFSET(R109,,-Assumptions!$H113))</f>
        <v>0</v>
      </c>
      <c r="S109" s="624">
        <f ca="1">S72*Assumptions!T$18+IF(COLUMN(S109)&lt;=6+Assumptions!$H113,0,OFFSET(S109,,-Assumptions!$H113))</f>
        <v>0</v>
      </c>
      <c r="T109" s="624">
        <f ca="1">T72*Assumptions!U$18+IF(COLUMN(T109)&lt;=6+Assumptions!$H113,0,OFFSET(T109,,-Assumptions!$H113))</f>
        <v>0</v>
      </c>
      <c r="U109" s="624">
        <f ca="1">U72*Assumptions!V$18+IF(COLUMN(U109)&lt;=6+Assumptions!$H113,0,OFFSET(U109,,-Assumptions!$H113))</f>
        <v>0</v>
      </c>
      <c r="V109" s="624">
        <f ca="1">V72*Assumptions!W$18+IF(COLUMN(V109)&lt;=6+Assumptions!$H113,0,OFFSET(V109,,-Assumptions!$H113))</f>
        <v>0</v>
      </c>
      <c r="W109" s="624">
        <f ca="1">W72*Assumptions!X$18+IF(COLUMN(W109)&lt;=6+Assumptions!$H113,0,OFFSET(W109,,-Assumptions!$H113))</f>
        <v>0</v>
      </c>
      <c r="X109" s="624">
        <f ca="1">X72*Assumptions!Y$18+IF(COLUMN(X109)&lt;=6+Assumptions!$H113,0,OFFSET(X109,,-Assumptions!$H113))</f>
        <v>0</v>
      </c>
      <c r="Y109" s="624">
        <f ca="1">Y72*Assumptions!Z$18+IF(COLUMN(Y109)&lt;=6+Assumptions!$H113,0,OFFSET(Y109,,-Assumptions!$H113))</f>
        <v>0</v>
      </c>
      <c r="Z109" s="624">
        <f ca="1">Z72*Assumptions!AA$18+IF(COLUMN(Z109)&lt;=6+Assumptions!$H113,0,OFFSET(Z109,,-Assumptions!$H113))</f>
        <v>0</v>
      </c>
      <c r="AA109" s="624">
        <f ca="1">AA72*Assumptions!AB$18+IF(COLUMN(AA109)&lt;=6+Assumptions!$H113,0,OFFSET(AA109,,-Assumptions!$H113))</f>
        <v>0</v>
      </c>
    </row>
    <row r="110" spans="1:27" s="620" customFormat="1" hidden="1" x14ac:dyDescent="0.45">
      <c r="A110" s="796"/>
      <c r="B110" s="797"/>
      <c r="C110" s="797" t="s">
        <v>114</v>
      </c>
      <c r="D110" s="797" t="str">
        <f t="shared" si="3"/>
        <v>Waste Management</v>
      </c>
      <c r="E110" s="798" t="s">
        <v>806</v>
      </c>
      <c r="F110" s="798" t="s">
        <v>645</v>
      </c>
      <c r="G110" s="799">
        <f ca="1">G73*Assumptions!H$18+IF(COLUMN(G110)&lt;=6+Assumptions!$H114,0,OFFSET(G110,,-Assumptions!$H114))</f>
        <v>24040.066777963271</v>
      </c>
      <c r="H110" s="799">
        <f ca="1">H73*Assumptions!I$18+IF(COLUMN(H110)&lt;=6+Assumptions!$H114,0,OFFSET(H110,,-Assumptions!$H114))</f>
        <v>0</v>
      </c>
      <c r="I110" s="799">
        <f ca="1">I73*Assumptions!J$18+IF(COLUMN(I110)&lt;=6+Assumptions!$H114,0,OFFSET(I110,,-Assumptions!$H114))</f>
        <v>0</v>
      </c>
      <c r="J110" s="799">
        <f ca="1">J73*Assumptions!K$18+IF(COLUMN(J110)&lt;=6+Assumptions!$H114,0,OFFSET(J110,,-Assumptions!$H114))</f>
        <v>0</v>
      </c>
      <c r="K110" s="800">
        <f ca="1">K73*Assumptions!L$18+IF(COLUMN(K110)&lt;=6+Assumptions!$H114,0,OFFSET(K110,,-Assumptions!$H114))</f>
        <v>0</v>
      </c>
      <c r="L110" s="624">
        <f ca="1">L73*Assumptions!M$18+IF(COLUMN(L110)&lt;=6+Assumptions!$H114,0,OFFSET(L110,,-Assumptions!$H114))</f>
        <v>0</v>
      </c>
      <c r="M110" s="624">
        <f ca="1">M73*Assumptions!N$18+IF(COLUMN(M110)&lt;=6+Assumptions!$H114,0,OFFSET(M110,,-Assumptions!$H114))</f>
        <v>0</v>
      </c>
      <c r="N110" s="624">
        <f ca="1">N73*Assumptions!O$18+IF(COLUMN(N110)&lt;=6+Assumptions!$H114,0,OFFSET(N110,,-Assumptions!$H114))</f>
        <v>0</v>
      </c>
      <c r="O110" s="624">
        <f ca="1">O73*Assumptions!P$18+IF(COLUMN(O110)&lt;=6+Assumptions!$H114,0,OFFSET(O110,,-Assumptions!$H114))</f>
        <v>0</v>
      </c>
      <c r="P110" s="624">
        <f ca="1">P73*Assumptions!Q$18+IF(COLUMN(P110)&lt;=6+Assumptions!$H114,0,OFFSET(P110,,-Assumptions!$H114))</f>
        <v>0</v>
      </c>
      <c r="Q110" s="624">
        <f ca="1">Q73*Assumptions!R$18+IF(COLUMN(Q110)&lt;=6+Assumptions!$H114,0,OFFSET(Q110,,-Assumptions!$H114))</f>
        <v>0</v>
      </c>
      <c r="R110" s="624">
        <f ca="1">R73*Assumptions!S$18+IF(COLUMN(R110)&lt;=6+Assumptions!$H114,0,OFFSET(R110,,-Assumptions!$H114))</f>
        <v>0</v>
      </c>
      <c r="S110" s="624">
        <f ca="1">S73*Assumptions!T$18+IF(COLUMN(S110)&lt;=6+Assumptions!$H114,0,OFFSET(S110,,-Assumptions!$H114))</f>
        <v>0</v>
      </c>
      <c r="T110" s="624">
        <f ca="1">T73*Assumptions!U$18+IF(COLUMN(T110)&lt;=6+Assumptions!$H114,0,OFFSET(T110,,-Assumptions!$H114))</f>
        <v>0</v>
      </c>
      <c r="U110" s="624">
        <f ca="1">U73*Assumptions!V$18+IF(COLUMN(U110)&lt;=6+Assumptions!$H114,0,OFFSET(U110,,-Assumptions!$H114))</f>
        <v>0</v>
      </c>
      <c r="V110" s="624">
        <f ca="1">V73*Assumptions!W$18+IF(COLUMN(V110)&lt;=6+Assumptions!$H114,0,OFFSET(V110,,-Assumptions!$H114))</f>
        <v>0</v>
      </c>
      <c r="W110" s="624">
        <f ca="1">W73*Assumptions!X$18+IF(COLUMN(W110)&lt;=6+Assumptions!$H114,0,OFFSET(W110,,-Assumptions!$H114))</f>
        <v>0</v>
      </c>
      <c r="X110" s="624">
        <f ca="1">X73*Assumptions!Y$18+IF(COLUMN(X110)&lt;=6+Assumptions!$H114,0,OFFSET(X110,,-Assumptions!$H114))</f>
        <v>0</v>
      </c>
      <c r="Y110" s="624">
        <f ca="1">Y73*Assumptions!Z$18+IF(COLUMN(Y110)&lt;=6+Assumptions!$H114,0,OFFSET(Y110,,-Assumptions!$H114))</f>
        <v>0</v>
      </c>
      <c r="Z110" s="624">
        <f ca="1">Z73*Assumptions!AA$18+IF(COLUMN(Z110)&lt;=6+Assumptions!$H114,0,OFFSET(Z110,,-Assumptions!$H114))</f>
        <v>0</v>
      </c>
      <c r="AA110" s="624">
        <f ca="1">AA73*Assumptions!AB$18+IF(COLUMN(AA110)&lt;=6+Assumptions!$H114,0,OFFSET(AA110,,-Assumptions!$H114))</f>
        <v>0</v>
      </c>
    </row>
    <row r="111" spans="1:27" s="620" customFormat="1" hidden="1" x14ac:dyDescent="0.45">
      <c r="A111" s="796"/>
      <c r="B111" s="797"/>
      <c r="C111" s="797" t="s">
        <v>114</v>
      </c>
      <c r="D111" s="797" t="str">
        <f t="shared" si="3"/>
        <v>Dry cleaner NSD 0</v>
      </c>
      <c r="E111" s="798" t="s">
        <v>806</v>
      </c>
      <c r="F111" s="798" t="s">
        <v>645</v>
      </c>
      <c r="G111" s="799">
        <f ca="1">G74*Assumptions!H$18+IF(COLUMN(G111)&lt;=6+Assumptions!$H115,0,OFFSET(G111,,-Assumptions!$H115))</f>
        <v>144240.40066777964</v>
      </c>
      <c r="H111" s="799">
        <f ca="1">H74*Assumptions!I$18+IF(COLUMN(H111)&lt;=6+Assumptions!$H115,0,OFFSET(H111,,-Assumptions!$H115))</f>
        <v>0</v>
      </c>
      <c r="I111" s="799">
        <f ca="1">I74*Assumptions!J$18+IF(COLUMN(I111)&lt;=6+Assumptions!$H115,0,OFFSET(I111,,-Assumptions!$H115))</f>
        <v>0</v>
      </c>
      <c r="J111" s="799">
        <f ca="1">J74*Assumptions!K$18+IF(COLUMN(J111)&lt;=6+Assumptions!$H115,0,OFFSET(J111,,-Assumptions!$H115))</f>
        <v>0</v>
      </c>
      <c r="K111" s="800">
        <f ca="1">K74*Assumptions!L$18+IF(COLUMN(K111)&lt;=6+Assumptions!$H115,0,OFFSET(K111,,-Assumptions!$H115))</f>
        <v>0</v>
      </c>
      <c r="L111" s="624">
        <f ca="1">L74*Assumptions!M$18+IF(COLUMN(L111)&lt;=6+Assumptions!$H115,0,OFFSET(L111,,-Assumptions!$H115))</f>
        <v>0</v>
      </c>
      <c r="M111" s="624">
        <f ca="1">M74*Assumptions!N$18+IF(COLUMN(M111)&lt;=6+Assumptions!$H115,0,OFFSET(M111,,-Assumptions!$H115))</f>
        <v>0</v>
      </c>
      <c r="N111" s="624">
        <f ca="1">N74*Assumptions!O$18+IF(COLUMN(N111)&lt;=6+Assumptions!$H115,0,OFFSET(N111,,-Assumptions!$H115))</f>
        <v>0</v>
      </c>
      <c r="O111" s="624">
        <f ca="1">O74*Assumptions!P$18+IF(COLUMN(O111)&lt;=6+Assumptions!$H115,0,OFFSET(O111,,-Assumptions!$H115))</f>
        <v>0</v>
      </c>
      <c r="P111" s="624">
        <f ca="1">P74*Assumptions!Q$18+IF(COLUMN(P111)&lt;=6+Assumptions!$H115,0,OFFSET(P111,,-Assumptions!$H115))</f>
        <v>0</v>
      </c>
      <c r="Q111" s="624">
        <f ca="1">Q74*Assumptions!R$18+IF(COLUMN(Q111)&lt;=6+Assumptions!$H115,0,OFFSET(Q111,,-Assumptions!$H115))</f>
        <v>0</v>
      </c>
      <c r="R111" s="624">
        <f ca="1">R74*Assumptions!S$18+IF(COLUMN(R111)&lt;=6+Assumptions!$H115,0,OFFSET(R111,,-Assumptions!$H115))</f>
        <v>0</v>
      </c>
      <c r="S111" s="624">
        <f ca="1">S74*Assumptions!T$18+IF(COLUMN(S111)&lt;=6+Assumptions!$H115,0,OFFSET(S111,,-Assumptions!$H115))</f>
        <v>0</v>
      </c>
      <c r="T111" s="624">
        <f ca="1">T74*Assumptions!U$18+IF(COLUMN(T111)&lt;=6+Assumptions!$H115,0,OFFSET(T111,,-Assumptions!$H115))</f>
        <v>0</v>
      </c>
      <c r="U111" s="624">
        <f ca="1">U74*Assumptions!V$18+IF(COLUMN(U111)&lt;=6+Assumptions!$H115,0,OFFSET(U111,,-Assumptions!$H115))</f>
        <v>0</v>
      </c>
      <c r="V111" s="624">
        <f ca="1">V74*Assumptions!W$18+IF(COLUMN(V111)&lt;=6+Assumptions!$H115,0,OFFSET(V111,,-Assumptions!$H115))</f>
        <v>0</v>
      </c>
      <c r="W111" s="624">
        <f ca="1">W74*Assumptions!X$18+IF(COLUMN(W111)&lt;=6+Assumptions!$H115,0,OFFSET(W111,,-Assumptions!$H115))</f>
        <v>0</v>
      </c>
      <c r="X111" s="624">
        <f ca="1">X74*Assumptions!Y$18+IF(COLUMN(X111)&lt;=6+Assumptions!$H115,0,OFFSET(X111,,-Assumptions!$H115))</f>
        <v>0</v>
      </c>
      <c r="Y111" s="624">
        <f ca="1">Y74*Assumptions!Z$18+IF(COLUMN(Y111)&lt;=6+Assumptions!$H115,0,OFFSET(Y111,,-Assumptions!$H115))</f>
        <v>0</v>
      </c>
      <c r="Z111" s="624">
        <f ca="1">Z74*Assumptions!AA$18+IF(COLUMN(Z111)&lt;=6+Assumptions!$H115,0,OFFSET(Z111,,-Assumptions!$H115))</f>
        <v>0</v>
      </c>
      <c r="AA111" s="624">
        <f ca="1">AA74*Assumptions!AB$18+IF(COLUMN(AA111)&lt;=6+Assumptions!$H115,0,OFFSET(AA111,,-Assumptions!$H115))</f>
        <v>0</v>
      </c>
    </row>
    <row r="112" spans="1:27" s="620" customFormat="1" hidden="1" x14ac:dyDescent="0.45">
      <c r="A112" s="796"/>
      <c r="B112" s="797"/>
      <c r="C112" s="797" t="s">
        <v>114</v>
      </c>
      <c r="D112" s="797" t="str">
        <f t="shared" si="3"/>
        <v xml:space="preserve">Crusher </v>
      </c>
      <c r="E112" s="798" t="s">
        <v>806</v>
      </c>
      <c r="F112" s="798" t="s">
        <v>645</v>
      </c>
      <c r="G112" s="799">
        <f ca="1">G75*Assumptions!H$18+IF(COLUMN(G112)&lt;=6+Assumptions!$H116,0,OFFSET(G112,,-Assumptions!$H116))</f>
        <v>23607.345575959935</v>
      </c>
      <c r="H112" s="799">
        <f ca="1">H75*Assumptions!I$18+IF(COLUMN(H112)&lt;=6+Assumptions!$H116,0,OFFSET(H112,,-Assumptions!$H116))</f>
        <v>0</v>
      </c>
      <c r="I112" s="799">
        <f ca="1">I75*Assumptions!J$18+IF(COLUMN(I112)&lt;=6+Assumptions!$H116,0,OFFSET(I112,,-Assumptions!$H116))</f>
        <v>0</v>
      </c>
      <c r="J112" s="799">
        <f ca="1">J75*Assumptions!K$18+IF(COLUMN(J112)&lt;=6+Assumptions!$H116,0,OFFSET(J112,,-Assumptions!$H116))</f>
        <v>0</v>
      </c>
      <c r="K112" s="800">
        <f ca="1">K75*Assumptions!L$18+IF(COLUMN(K112)&lt;=6+Assumptions!$H116,0,OFFSET(K112,,-Assumptions!$H116))</f>
        <v>0</v>
      </c>
      <c r="L112" s="624">
        <f ca="1">L75*Assumptions!M$18+IF(COLUMN(L112)&lt;=6+Assumptions!$H116,0,OFFSET(L112,,-Assumptions!$H116))</f>
        <v>0</v>
      </c>
      <c r="M112" s="624">
        <f ca="1">M75*Assumptions!N$18+IF(COLUMN(M112)&lt;=6+Assumptions!$H116,0,OFFSET(M112,,-Assumptions!$H116))</f>
        <v>0</v>
      </c>
      <c r="N112" s="624">
        <f ca="1">N75*Assumptions!O$18+IF(COLUMN(N112)&lt;=6+Assumptions!$H116,0,OFFSET(N112,,-Assumptions!$H116))</f>
        <v>0</v>
      </c>
      <c r="O112" s="624">
        <f ca="1">O75*Assumptions!P$18+IF(COLUMN(O112)&lt;=6+Assumptions!$H116,0,OFFSET(O112,,-Assumptions!$H116))</f>
        <v>0</v>
      </c>
      <c r="P112" s="624">
        <f ca="1">P75*Assumptions!Q$18+IF(COLUMN(P112)&lt;=6+Assumptions!$H116,0,OFFSET(P112,,-Assumptions!$H116))</f>
        <v>0</v>
      </c>
      <c r="Q112" s="624">
        <f ca="1">Q75*Assumptions!R$18+IF(COLUMN(Q112)&lt;=6+Assumptions!$H116,0,OFFSET(Q112,,-Assumptions!$H116))</f>
        <v>0</v>
      </c>
      <c r="R112" s="624">
        <f ca="1">R75*Assumptions!S$18+IF(COLUMN(R112)&lt;=6+Assumptions!$H116,0,OFFSET(R112,,-Assumptions!$H116))</f>
        <v>0</v>
      </c>
      <c r="S112" s="624">
        <f ca="1">S75*Assumptions!T$18+IF(COLUMN(S112)&lt;=6+Assumptions!$H116,0,OFFSET(S112,,-Assumptions!$H116))</f>
        <v>0</v>
      </c>
      <c r="T112" s="624">
        <f ca="1">T75*Assumptions!U$18+IF(COLUMN(T112)&lt;=6+Assumptions!$H116,0,OFFSET(T112,,-Assumptions!$H116))</f>
        <v>0</v>
      </c>
      <c r="U112" s="624">
        <f ca="1">U75*Assumptions!V$18+IF(COLUMN(U112)&lt;=6+Assumptions!$H116,0,OFFSET(U112,,-Assumptions!$H116))</f>
        <v>0</v>
      </c>
      <c r="V112" s="624">
        <f ca="1">V75*Assumptions!W$18+IF(COLUMN(V112)&lt;=6+Assumptions!$H116,0,OFFSET(V112,,-Assumptions!$H116))</f>
        <v>0</v>
      </c>
      <c r="W112" s="624">
        <f ca="1">W75*Assumptions!X$18+IF(COLUMN(W112)&lt;=6+Assumptions!$H116,0,OFFSET(W112,,-Assumptions!$H116))</f>
        <v>0</v>
      </c>
      <c r="X112" s="624">
        <f ca="1">X75*Assumptions!Y$18+IF(COLUMN(X112)&lt;=6+Assumptions!$H116,0,OFFSET(X112,,-Assumptions!$H116))</f>
        <v>0</v>
      </c>
      <c r="Y112" s="624">
        <f ca="1">Y75*Assumptions!Z$18+IF(COLUMN(Y112)&lt;=6+Assumptions!$H116,0,OFFSET(Y112,,-Assumptions!$H116))</f>
        <v>0</v>
      </c>
      <c r="Z112" s="624">
        <f ca="1">Z75*Assumptions!AA$18+IF(COLUMN(Z112)&lt;=6+Assumptions!$H116,0,OFFSET(Z112,,-Assumptions!$H116))</f>
        <v>0</v>
      </c>
      <c r="AA112" s="624">
        <f ca="1">AA75*Assumptions!AB$18+IF(COLUMN(AA112)&lt;=6+Assumptions!$H116,0,OFFSET(AA112,,-Assumptions!$H116))</f>
        <v>0</v>
      </c>
    </row>
    <row r="113" spans="1:27" s="620" customFormat="1" hidden="1" x14ac:dyDescent="0.45">
      <c r="A113" s="796"/>
      <c r="B113" s="797"/>
      <c r="C113" s="797" t="s">
        <v>114</v>
      </c>
      <c r="D113" s="797" t="str">
        <f t="shared" si="3"/>
        <v>Shea nut drying/roasting unit</v>
      </c>
      <c r="E113" s="798" t="s">
        <v>806</v>
      </c>
      <c r="F113" s="798" t="s">
        <v>648</v>
      </c>
      <c r="G113" s="799">
        <f ca="1">G76*Assumptions!H$18+IF(COLUMN(G113)&lt;=6+Assumptions!$H117,0,OFFSET(G113,,-Assumptions!$H117))</f>
        <v>18098.163606010017</v>
      </c>
      <c r="H113" s="799">
        <f ca="1">H76*Assumptions!I$18+IF(COLUMN(H113)&lt;=6+Assumptions!$H117,0,OFFSET(H113,,-Assumptions!$H117))</f>
        <v>0</v>
      </c>
      <c r="I113" s="799">
        <f ca="1">I76*Assumptions!J$18+IF(COLUMN(I113)&lt;=6+Assumptions!$H117,0,OFFSET(I113,,-Assumptions!$H117))</f>
        <v>0</v>
      </c>
      <c r="J113" s="799">
        <f ca="1">J76*Assumptions!K$18+IF(COLUMN(J113)&lt;=6+Assumptions!$H117,0,OFFSET(J113,,-Assumptions!$H117))</f>
        <v>0</v>
      </c>
      <c r="K113" s="800">
        <f ca="1">K76*Assumptions!L$18+IF(COLUMN(K113)&lt;=6+Assumptions!$H117,0,OFFSET(K113,,-Assumptions!$H117))</f>
        <v>0</v>
      </c>
      <c r="L113" s="624">
        <f ca="1">L76*Assumptions!M$18+IF(COLUMN(L113)&lt;=6+Assumptions!$H117,0,OFFSET(L113,,-Assumptions!$H117))</f>
        <v>0</v>
      </c>
      <c r="M113" s="624">
        <f ca="1">M76*Assumptions!N$18+IF(COLUMN(M113)&lt;=6+Assumptions!$H117,0,OFFSET(M113,,-Assumptions!$H117))</f>
        <v>0</v>
      </c>
      <c r="N113" s="624">
        <f ca="1">N76*Assumptions!O$18+IF(COLUMN(N113)&lt;=6+Assumptions!$H117,0,OFFSET(N113,,-Assumptions!$H117))</f>
        <v>0</v>
      </c>
      <c r="O113" s="624">
        <f ca="1">O76*Assumptions!P$18+IF(COLUMN(O113)&lt;=6+Assumptions!$H117,0,OFFSET(O113,,-Assumptions!$H117))</f>
        <v>0</v>
      </c>
      <c r="P113" s="624">
        <f ca="1">P76*Assumptions!Q$18+IF(COLUMN(P113)&lt;=6+Assumptions!$H117,0,OFFSET(P113,,-Assumptions!$H117))</f>
        <v>0</v>
      </c>
      <c r="Q113" s="624">
        <f ca="1">Q76*Assumptions!R$18+IF(COLUMN(Q113)&lt;=6+Assumptions!$H117,0,OFFSET(Q113,,-Assumptions!$H117))</f>
        <v>0</v>
      </c>
      <c r="R113" s="624">
        <f ca="1">R76*Assumptions!S$18+IF(COLUMN(R113)&lt;=6+Assumptions!$H117,0,OFFSET(R113,,-Assumptions!$H117))</f>
        <v>0</v>
      </c>
      <c r="S113" s="624">
        <f ca="1">S76*Assumptions!T$18+IF(COLUMN(S113)&lt;=6+Assumptions!$H117,0,OFFSET(S113,,-Assumptions!$H117))</f>
        <v>0</v>
      </c>
      <c r="T113" s="624">
        <f ca="1">T76*Assumptions!U$18+IF(COLUMN(T113)&lt;=6+Assumptions!$H117,0,OFFSET(T113,,-Assumptions!$H117))</f>
        <v>0</v>
      </c>
      <c r="U113" s="624">
        <f ca="1">U76*Assumptions!V$18+IF(COLUMN(U113)&lt;=6+Assumptions!$H117,0,OFFSET(U113,,-Assumptions!$H117))</f>
        <v>0</v>
      </c>
      <c r="V113" s="624">
        <f ca="1">V76*Assumptions!W$18+IF(COLUMN(V113)&lt;=6+Assumptions!$H117,0,OFFSET(V113,,-Assumptions!$H117))</f>
        <v>0</v>
      </c>
      <c r="W113" s="624">
        <f ca="1">W76*Assumptions!X$18+IF(COLUMN(W113)&lt;=6+Assumptions!$H117,0,OFFSET(W113,,-Assumptions!$H117))</f>
        <v>0</v>
      </c>
      <c r="X113" s="624">
        <f ca="1">X76*Assumptions!Y$18+IF(COLUMN(X113)&lt;=6+Assumptions!$H117,0,OFFSET(X113,,-Assumptions!$H117))</f>
        <v>0</v>
      </c>
      <c r="Y113" s="624">
        <f ca="1">Y76*Assumptions!Z$18+IF(COLUMN(Y113)&lt;=6+Assumptions!$H117,0,OFFSET(Y113,,-Assumptions!$H117))</f>
        <v>0</v>
      </c>
      <c r="Z113" s="624">
        <f ca="1">Z76*Assumptions!AA$18+IF(COLUMN(Z113)&lt;=6+Assumptions!$H117,0,OFFSET(Z113,,-Assumptions!$H117))</f>
        <v>0</v>
      </c>
      <c r="AA113" s="624">
        <f ca="1">AA76*Assumptions!AB$18+IF(COLUMN(AA113)&lt;=6+Assumptions!$H117,0,OFFSET(AA113,,-Assumptions!$H117))</f>
        <v>0</v>
      </c>
    </row>
    <row r="114" spans="1:27" s="620" customFormat="1" hidden="1" x14ac:dyDescent="0.45">
      <c r="A114" s="796"/>
      <c r="B114" s="797"/>
      <c r="C114" s="797" t="s">
        <v>114</v>
      </c>
      <c r="D114" s="797" t="str">
        <f t="shared" si="3"/>
        <v>Press MBU 40</v>
      </c>
      <c r="E114" s="798" t="s">
        <v>806</v>
      </c>
      <c r="F114" s="798" t="s">
        <v>645</v>
      </c>
      <c r="G114" s="799">
        <f ca="1">G77*Assumptions!H$18+IF(COLUMN(G114)&lt;=6+Assumptions!$H118,0,OFFSET(G114,,-Assumptions!$H118))</f>
        <v>161757.5959933222</v>
      </c>
      <c r="H114" s="799">
        <f ca="1">H77*Assumptions!I$18+IF(COLUMN(H114)&lt;=6+Assumptions!$H118,0,OFFSET(H114,,-Assumptions!$H118))</f>
        <v>0</v>
      </c>
      <c r="I114" s="799">
        <f ca="1">I77*Assumptions!J$18+IF(COLUMN(I114)&lt;=6+Assumptions!$H118,0,OFFSET(I114,,-Assumptions!$H118))</f>
        <v>0</v>
      </c>
      <c r="J114" s="799">
        <f ca="1">J77*Assumptions!K$18+IF(COLUMN(J114)&lt;=6+Assumptions!$H118,0,OFFSET(J114,,-Assumptions!$H118))</f>
        <v>0</v>
      </c>
      <c r="K114" s="800">
        <f ca="1">K77*Assumptions!L$18+IF(COLUMN(K114)&lt;=6+Assumptions!$H118,0,OFFSET(K114,,-Assumptions!$H118))</f>
        <v>0</v>
      </c>
      <c r="L114" s="624">
        <f ca="1">L77*Assumptions!M$18+IF(COLUMN(L114)&lt;=6+Assumptions!$H118,0,OFFSET(L114,,-Assumptions!$H118))</f>
        <v>0</v>
      </c>
      <c r="M114" s="624">
        <f ca="1">M77*Assumptions!N$18+IF(COLUMN(M114)&lt;=6+Assumptions!$H118,0,OFFSET(M114,,-Assumptions!$H118))</f>
        <v>0</v>
      </c>
      <c r="N114" s="624">
        <f ca="1">N77*Assumptions!O$18+IF(COLUMN(N114)&lt;=6+Assumptions!$H118,0,OFFSET(N114,,-Assumptions!$H118))</f>
        <v>0</v>
      </c>
      <c r="O114" s="624">
        <f ca="1">O77*Assumptions!P$18+IF(COLUMN(O114)&lt;=6+Assumptions!$H118,0,OFFSET(O114,,-Assumptions!$H118))</f>
        <v>0</v>
      </c>
      <c r="P114" s="624">
        <f ca="1">P77*Assumptions!Q$18+IF(COLUMN(P114)&lt;=6+Assumptions!$H118,0,OFFSET(P114,,-Assumptions!$H118))</f>
        <v>0</v>
      </c>
      <c r="Q114" s="624">
        <f ca="1">Q77*Assumptions!R$18+IF(COLUMN(Q114)&lt;=6+Assumptions!$H118,0,OFFSET(Q114,,-Assumptions!$H118))</f>
        <v>0</v>
      </c>
      <c r="R114" s="624">
        <f ca="1">R77*Assumptions!S$18+IF(COLUMN(R114)&lt;=6+Assumptions!$H118,0,OFFSET(R114,,-Assumptions!$H118))</f>
        <v>0</v>
      </c>
      <c r="S114" s="624">
        <f ca="1">S77*Assumptions!T$18+IF(COLUMN(S114)&lt;=6+Assumptions!$H118,0,OFFSET(S114,,-Assumptions!$H118))</f>
        <v>0</v>
      </c>
      <c r="T114" s="624">
        <f ca="1">T77*Assumptions!U$18+IF(COLUMN(T114)&lt;=6+Assumptions!$H118,0,OFFSET(T114,,-Assumptions!$H118))</f>
        <v>0</v>
      </c>
      <c r="U114" s="624">
        <f ca="1">U77*Assumptions!V$18+IF(COLUMN(U114)&lt;=6+Assumptions!$H118,0,OFFSET(U114,,-Assumptions!$H118))</f>
        <v>0</v>
      </c>
      <c r="V114" s="624">
        <f ca="1">V77*Assumptions!W$18+IF(COLUMN(V114)&lt;=6+Assumptions!$H118,0,OFFSET(V114,,-Assumptions!$H118))</f>
        <v>0</v>
      </c>
      <c r="W114" s="624">
        <f ca="1">W77*Assumptions!X$18+IF(COLUMN(W114)&lt;=6+Assumptions!$H118,0,OFFSET(W114,,-Assumptions!$H118))</f>
        <v>0</v>
      </c>
      <c r="X114" s="624">
        <f ca="1">X77*Assumptions!Y$18+IF(COLUMN(X114)&lt;=6+Assumptions!$H118,0,OFFSET(X114,,-Assumptions!$H118))</f>
        <v>0</v>
      </c>
      <c r="Y114" s="624">
        <f ca="1">Y77*Assumptions!Z$18+IF(COLUMN(Y114)&lt;=6+Assumptions!$H118,0,OFFSET(Y114,,-Assumptions!$H118))</f>
        <v>0</v>
      </c>
      <c r="Z114" s="624">
        <f ca="1">Z77*Assumptions!AA$18+IF(COLUMN(Z114)&lt;=6+Assumptions!$H118,0,OFFSET(Z114,,-Assumptions!$H118))</f>
        <v>0</v>
      </c>
      <c r="AA114" s="624">
        <f ca="1">AA77*Assumptions!AB$18+IF(COLUMN(AA114)&lt;=6+Assumptions!$H118,0,OFFSET(AA114,,-Assumptions!$H118))</f>
        <v>0</v>
      </c>
    </row>
    <row r="115" spans="1:27" s="620" customFormat="1" hidden="1" x14ac:dyDescent="0.45">
      <c r="A115" s="796"/>
      <c r="B115" s="797"/>
      <c r="C115" s="797" t="s">
        <v>114</v>
      </c>
      <c r="D115" s="797" t="str">
        <f t="shared" si="3"/>
        <v>Thermal installation</v>
      </c>
      <c r="E115" s="798" t="s">
        <v>806</v>
      </c>
      <c r="F115" s="798" t="s">
        <v>645</v>
      </c>
      <c r="G115" s="799">
        <f ca="1">G78*Assumptions!H$18+IF(COLUMN(G115)&lt;=6+Assumptions!$H119,0,OFFSET(G115,,-Assumptions!$H119))</f>
        <v>149048.41402337229</v>
      </c>
      <c r="H115" s="799">
        <f ca="1">H78*Assumptions!I$18+IF(COLUMN(H115)&lt;=6+Assumptions!$H119,0,OFFSET(H115,,-Assumptions!$H119))</f>
        <v>0</v>
      </c>
      <c r="I115" s="799">
        <f ca="1">I78*Assumptions!J$18+IF(COLUMN(I115)&lt;=6+Assumptions!$H119,0,OFFSET(I115,,-Assumptions!$H119))</f>
        <v>0</v>
      </c>
      <c r="J115" s="799">
        <f ca="1">J78*Assumptions!K$18+IF(COLUMN(J115)&lt;=6+Assumptions!$H119,0,OFFSET(J115,,-Assumptions!$H119))</f>
        <v>0</v>
      </c>
      <c r="K115" s="800">
        <f ca="1">K78*Assumptions!L$18+IF(COLUMN(K115)&lt;=6+Assumptions!$H119,0,OFFSET(K115,,-Assumptions!$H119))</f>
        <v>0</v>
      </c>
      <c r="L115" s="624">
        <f ca="1">L78*Assumptions!M$18+IF(COLUMN(L115)&lt;=6+Assumptions!$H119,0,OFFSET(L115,,-Assumptions!$H119))</f>
        <v>0</v>
      </c>
      <c r="M115" s="624">
        <f ca="1">M78*Assumptions!N$18+IF(COLUMN(M115)&lt;=6+Assumptions!$H119,0,OFFSET(M115,,-Assumptions!$H119))</f>
        <v>0</v>
      </c>
      <c r="N115" s="624">
        <f ca="1">N78*Assumptions!O$18+IF(COLUMN(N115)&lt;=6+Assumptions!$H119,0,OFFSET(N115,,-Assumptions!$H119))</f>
        <v>0</v>
      </c>
      <c r="O115" s="624">
        <f ca="1">O78*Assumptions!P$18+IF(COLUMN(O115)&lt;=6+Assumptions!$H119,0,OFFSET(O115,,-Assumptions!$H119))</f>
        <v>0</v>
      </c>
      <c r="P115" s="624">
        <f ca="1">P78*Assumptions!Q$18+IF(COLUMN(P115)&lt;=6+Assumptions!$H119,0,OFFSET(P115,,-Assumptions!$H119))</f>
        <v>0</v>
      </c>
      <c r="Q115" s="624">
        <f ca="1">Q78*Assumptions!R$18+IF(COLUMN(Q115)&lt;=6+Assumptions!$H119,0,OFFSET(Q115,,-Assumptions!$H119))</f>
        <v>0</v>
      </c>
      <c r="R115" s="624">
        <f ca="1">R78*Assumptions!S$18+IF(COLUMN(R115)&lt;=6+Assumptions!$H119,0,OFFSET(R115,,-Assumptions!$H119))</f>
        <v>0</v>
      </c>
      <c r="S115" s="624">
        <f ca="1">S78*Assumptions!T$18+IF(COLUMN(S115)&lt;=6+Assumptions!$H119,0,OFFSET(S115,,-Assumptions!$H119))</f>
        <v>0</v>
      </c>
      <c r="T115" s="624">
        <f ca="1">T78*Assumptions!U$18+IF(COLUMN(T115)&lt;=6+Assumptions!$H119,0,OFFSET(T115,,-Assumptions!$H119))</f>
        <v>0</v>
      </c>
      <c r="U115" s="624">
        <f ca="1">U78*Assumptions!V$18+IF(COLUMN(U115)&lt;=6+Assumptions!$H119,0,OFFSET(U115,,-Assumptions!$H119))</f>
        <v>0</v>
      </c>
      <c r="V115" s="624">
        <f ca="1">V78*Assumptions!W$18+IF(COLUMN(V115)&lt;=6+Assumptions!$H119,0,OFFSET(V115,,-Assumptions!$H119))</f>
        <v>0</v>
      </c>
      <c r="W115" s="624">
        <f ca="1">W78*Assumptions!X$18+IF(COLUMN(W115)&lt;=6+Assumptions!$H119,0,OFFSET(W115,,-Assumptions!$H119))</f>
        <v>0</v>
      </c>
      <c r="X115" s="624">
        <f ca="1">X78*Assumptions!Y$18+IF(COLUMN(X115)&lt;=6+Assumptions!$H119,0,OFFSET(X115,,-Assumptions!$H119))</f>
        <v>0</v>
      </c>
      <c r="Y115" s="624">
        <f ca="1">Y78*Assumptions!Z$18+IF(COLUMN(Y115)&lt;=6+Assumptions!$H119,0,OFFSET(Y115,,-Assumptions!$H119))</f>
        <v>0</v>
      </c>
      <c r="Z115" s="624">
        <f ca="1">Z78*Assumptions!AA$18+IF(COLUMN(Z115)&lt;=6+Assumptions!$H119,0,OFFSET(Z115,,-Assumptions!$H119))</f>
        <v>0</v>
      </c>
      <c r="AA115" s="624">
        <f ca="1">AA78*Assumptions!AB$18+IF(COLUMN(AA115)&lt;=6+Assumptions!$H119,0,OFFSET(AA115,,-Assumptions!$H119))</f>
        <v>0</v>
      </c>
    </row>
    <row r="116" spans="1:27" s="620" customFormat="1" hidden="1" x14ac:dyDescent="0.45">
      <c r="A116" s="796"/>
      <c r="B116" s="797"/>
      <c r="C116" s="797" t="s">
        <v>114</v>
      </c>
      <c r="D116" s="797" t="str">
        <f t="shared" si="3"/>
        <v>Filter Kinetic</v>
      </c>
      <c r="E116" s="798" t="s">
        <v>806</v>
      </c>
      <c r="F116" s="798" t="s">
        <v>645</v>
      </c>
      <c r="G116" s="799">
        <f ca="1">G79*Assumptions!H$18+IF(COLUMN(G116)&lt;=6+Assumptions!$H120,0,OFFSET(G116,,-Assumptions!$H120))</f>
        <v>22104.841402337228</v>
      </c>
      <c r="H116" s="799">
        <f ca="1">H79*Assumptions!I$18+IF(COLUMN(H116)&lt;=6+Assumptions!$H120,0,OFFSET(H116,,-Assumptions!$H120))</f>
        <v>0</v>
      </c>
      <c r="I116" s="799">
        <f ca="1">I79*Assumptions!J$18+IF(COLUMN(I116)&lt;=6+Assumptions!$H120,0,OFFSET(I116,,-Assumptions!$H120))</f>
        <v>0</v>
      </c>
      <c r="J116" s="799">
        <f ca="1">J79*Assumptions!K$18+IF(COLUMN(J116)&lt;=6+Assumptions!$H120,0,OFFSET(J116,,-Assumptions!$H120))</f>
        <v>0</v>
      </c>
      <c r="K116" s="800">
        <f ca="1">K79*Assumptions!L$18+IF(COLUMN(K116)&lt;=6+Assumptions!$H120,0,OFFSET(K116,,-Assumptions!$H120))</f>
        <v>0</v>
      </c>
      <c r="L116" s="624">
        <f ca="1">L79*Assumptions!M$18+IF(COLUMN(L116)&lt;=6+Assumptions!$H120,0,OFFSET(L116,,-Assumptions!$H120))</f>
        <v>0</v>
      </c>
      <c r="M116" s="624">
        <f ca="1">M79*Assumptions!N$18+IF(COLUMN(M116)&lt;=6+Assumptions!$H120,0,OFFSET(M116,,-Assumptions!$H120))</f>
        <v>0</v>
      </c>
      <c r="N116" s="624">
        <f ca="1">N79*Assumptions!O$18+IF(COLUMN(N116)&lt;=6+Assumptions!$H120,0,OFFSET(N116,,-Assumptions!$H120))</f>
        <v>0</v>
      </c>
      <c r="O116" s="624">
        <f ca="1">O79*Assumptions!P$18+IF(COLUMN(O116)&lt;=6+Assumptions!$H120,0,OFFSET(O116,,-Assumptions!$H120))</f>
        <v>0</v>
      </c>
      <c r="P116" s="624">
        <f ca="1">P79*Assumptions!Q$18+IF(COLUMN(P116)&lt;=6+Assumptions!$H120,0,OFFSET(P116,,-Assumptions!$H120))</f>
        <v>0</v>
      </c>
      <c r="Q116" s="624">
        <f ca="1">Q79*Assumptions!R$18+IF(COLUMN(Q116)&lt;=6+Assumptions!$H120,0,OFFSET(Q116,,-Assumptions!$H120))</f>
        <v>0</v>
      </c>
      <c r="R116" s="624">
        <f ca="1">R79*Assumptions!S$18+IF(COLUMN(R116)&lt;=6+Assumptions!$H120,0,OFFSET(R116,,-Assumptions!$H120))</f>
        <v>0</v>
      </c>
      <c r="S116" s="624">
        <f ca="1">S79*Assumptions!T$18+IF(COLUMN(S116)&lt;=6+Assumptions!$H120,0,OFFSET(S116,,-Assumptions!$H120))</f>
        <v>0</v>
      </c>
      <c r="T116" s="624">
        <f ca="1">T79*Assumptions!U$18+IF(COLUMN(T116)&lt;=6+Assumptions!$H120,0,OFFSET(T116,,-Assumptions!$H120))</f>
        <v>0</v>
      </c>
      <c r="U116" s="624">
        <f ca="1">U79*Assumptions!V$18+IF(COLUMN(U116)&lt;=6+Assumptions!$H120,0,OFFSET(U116,,-Assumptions!$H120))</f>
        <v>0</v>
      </c>
      <c r="V116" s="624">
        <f ca="1">V79*Assumptions!W$18+IF(COLUMN(V116)&lt;=6+Assumptions!$H120,0,OFFSET(V116,,-Assumptions!$H120))</f>
        <v>0</v>
      </c>
      <c r="W116" s="624">
        <f ca="1">W79*Assumptions!X$18+IF(COLUMN(W116)&lt;=6+Assumptions!$H120,0,OFFSET(W116,,-Assumptions!$H120))</f>
        <v>0</v>
      </c>
      <c r="X116" s="624">
        <f ca="1">X79*Assumptions!Y$18+IF(COLUMN(X116)&lt;=6+Assumptions!$H120,0,OFFSET(X116,,-Assumptions!$H120))</f>
        <v>0</v>
      </c>
      <c r="Y116" s="624">
        <f ca="1">Y79*Assumptions!Z$18+IF(COLUMN(Y116)&lt;=6+Assumptions!$H120,0,OFFSET(Y116,,-Assumptions!$H120))</f>
        <v>0</v>
      </c>
      <c r="Z116" s="624">
        <f ca="1">Z79*Assumptions!AA$18+IF(COLUMN(Z116)&lt;=6+Assumptions!$H120,0,OFFSET(Z116,,-Assumptions!$H120))</f>
        <v>0</v>
      </c>
      <c r="AA116" s="624">
        <f ca="1">AA79*Assumptions!AB$18+IF(COLUMN(AA116)&lt;=6+Assumptions!$H120,0,OFFSET(AA116,,-Assumptions!$H120))</f>
        <v>0</v>
      </c>
    </row>
    <row r="117" spans="1:27" s="620" customFormat="1" hidden="1" x14ac:dyDescent="0.45">
      <c r="A117" s="796"/>
      <c r="B117" s="797"/>
      <c r="C117" s="797" t="s">
        <v>114</v>
      </c>
      <c r="D117" s="797" t="str">
        <f t="shared" si="3"/>
        <v>Packaging Filling and labelling machine</v>
      </c>
      <c r="E117" s="798" t="s">
        <v>806</v>
      </c>
      <c r="F117" s="798" t="s">
        <v>645</v>
      </c>
      <c r="G117" s="799">
        <f ca="1">G80*Assumptions!H$18+IF(COLUMN(G117)&lt;=6+Assumptions!$H121,0,OFFSET(G117,,-Assumptions!$H121))</f>
        <v>32121.535893155258</v>
      </c>
      <c r="H117" s="799">
        <f ca="1">H80*Assumptions!I$18+IF(COLUMN(H117)&lt;=6+Assumptions!$H121,0,OFFSET(H117,,-Assumptions!$H121))</f>
        <v>0</v>
      </c>
      <c r="I117" s="799">
        <f ca="1">I80*Assumptions!J$18+IF(COLUMN(I117)&lt;=6+Assumptions!$H121,0,OFFSET(I117,,-Assumptions!$H121))</f>
        <v>0</v>
      </c>
      <c r="J117" s="799">
        <f ca="1">J80*Assumptions!K$18+IF(COLUMN(J117)&lt;=6+Assumptions!$H121,0,OFFSET(J117,,-Assumptions!$H121))</f>
        <v>0</v>
      </c>
      <c r="K117" s="800">
        <f ca="1">K80*Assumptions!L$18+IF(COLUMN(K117)&lt;=6+Assumptions!$H121,0,OFFSET(K117,,-Assumptions!$H121))</f>
        <v>0</v>
      </c>
      <c r="L117" s="624">
        <f ca="1">L80*Assumptions!M$18+IF(COLUMN(L117)&lt;=6+Assumptions!$H121,0,OFFSET(L117,,-Assumptions!$H121))</f>
        <v>0</v>
      </c>
      <c r="M117" s="624">
        <f ca="1">M80*Assumptions!N$18+IF(COLUMN(M117)&lt;=6+Assumptions!$H121,0,OFFSET(M117,,-Assumptions!$H121))</f>
        <v>0</v>
      </c>
      <c r="N117" s="624">
        <f ca="1">N80*Assumptions!O$18+IF(COLUMN(N117)&lt;=6+Assumptions!$H121,0,OFFSET(N117,,-Assumptions!$H121))</f>
        <v>0</v>
      </c>
      <c r="O117" s="624">
        <f ca="1">O80*Assumptions!P$18+IF(COLUMN(O117)&lt;=6+Assumptions!$H121,0,OFFSET(O117,,-Assumptions!$H121))</f>
        <v>0</v>
      </c>
      <c r="P117" s="624">
        <f ca="1">P80*Assumptions!Q$18+IF(COLUMN(P117)&lt;=6+Assumptions!$H121,0,OFFSET(P117,,-Assumptions!$H121))</f>
        <v>0</v>
      </c>
      <c r="Q117" s="624">
        <f ca="1">Q80*Assumptions!R$18+IF(COLUMN(Q117)&lt;=6+Assumptions!$H121,0,OFFSET(Q117,,-Assumptions!$H121))</f>
        <v>0</v>
      </c>
      <c r="R117" s="624">
        <f ca="1">R80*Assumptions!S$18+IF(COLUMN(R117)&lt;=6+Assumptions!$H121,0,OFFSET(R117,,-Assumptions!$H121))</f>
        <v>0</v>
      </c>
      <c r="S117" s="624">
        <f ca="1">S80*Assumptions!T$18+IF(COLUMN(S117)&lt;=6+Assumptions!$H121,0,OFFSET(S117,,-Assumptions!$H121))</f>
        <v>0</v>
      </c>
      <c r="T117" s="624">
        <f ca="1">T80*Assumptions!U$18+IF(COLUMN(T117)&lt;=6+Assumptions!$H121,0,OFFSET(T117,,-Assumptions!$H121))</f>
        <v>0</v>
      </c>
      <c r="U117" s="624">
        <f ca="1">U80*Assumptions!V$18+IF(COLUMN(U117)&lt;=6+Assumptions!$H121,0,OFFSET(U117,,-Assumptions!$H121))</f>
        <v>0</v>
      </c>
      <c r="V117" s="624">
        <f ca="1">V80*Assumptions!W$18+IF(COLUMN(V117)&lt;=6+Assumptions!$H121,0,OFFSET(V117,,-Assumptions!$H121))</f>
        <v>0</v>
      </c>
      <c r="W117" s="624">
        <f ca="1">W80*Assumptions!X$18+IF(COLUMN(W117)&lt;=6+Assumptions!$H121,0,OFFSET(W117,,-Assumptions!$H121))</f>
        <v>0</v>
      </c>
      <c r="X117" s="624">
        <f ca="1">X80*Assumptions!Y$18+IF(COLUMN(X117)&lt;=6+Assumptions!$H121,0,OFFSET(X117,,-Assumptions!$H121))</f>
        <v>0</v>
      </c>
      <c r="Y117" s="624">
        <f ca="1">Y80*Assumptions!Z$18+IF(COLUMN(Y117)&lt;=6+Assumptions!$H121,0,OFFSET(Y117,,-Assumptions!$H121))</f>
        <v>0</v>
      </c>
      <c r="Z117" s="624">
        <f ca="1">Z80*Assumptions!AA$18+IF(COLUMN(Z117)&lt;=6+Assumptions!$H121,0,OFFSET(Z117,,-Assumptions!$H121))</f>
        <v>0</v>
      </c>
      <c r="AA117" s="624">
        <f ca="1">AA80*Assumptions!AB$18+IF(COLUMN(AA117)&lt;=6+Assumptions!$H121,0,OFFSET(AA117,,-Assumptions!$H121))</f>
        <v>0</v>
      </c>
    </row>
    <row r="118" spans="1:27" s="620" customFormat="1" hidden="1" x14ac:dyDescent="0.45">
      <c r="A118" s="796"/>
      <c r="B118" s="797"/>
      <c r="C118" s="797" t="s">
        <v>114</v>
      </c>
      <c r="D118" s="797" t="str">
        <f t="shared" si="3"/>
        <v>Packaging table</v>
      </c>
      <c r="E118" s="798" t="s">
        <v>806</v>
      </c>
      <c r="F118" s="798" t="s">
        <v>647</v>
      </c>
      <c r="G118" s="799">
        <f ca="1">G81*Assumptions!H$18+IF(COLUMN(G118)&lt;=6+Assumptions!$H122,0,OFFSET(G118,,-Assumptions!$H122))</f>
        <v>13943.238731218698</v>
      </c>
      <c r="H118" s="799">
        <f ca="1">H81*Assumptions!I$18+IF(COLUMN(H118)&lt;=6+Assumptions!$H122,0,OFFSET(H118,,-Assumptions!$H122))</f>
        <v>0</v>
      </c>
      <c r="I118" s="799">
        <f ca="1">I81*Assumptions!J$18+IF(COLUMN(I118)&lt;=6+Assumptions!$H122,0,OFFSET(I118,,-Assumptions!$H122))</f>
        <v>0</v>
      </c>
      <c r="J118" s="799">
        <f ca="1">J81*Assumptions!K$18+IF(COLUMN(J118)&lt;=6+Assumptions!$H122,0,OFFSET(J118,,-Assumptions!$H122))</f>
        <v>0</v>
      </c>
      <c r="K118" s="800">
        <f ca="1">K81*Assumptions!L$18+IF(COLUMN(K118)&lt;=6+Assumptions!$H122,0,OFFSET(K118,,-Assumptions!$H122))</f>
        <v>0</v>
      </c>
      <c r="L118" s="624">
        <f ca="1">L81*Assumptions!M$18+IF(COLUMN(L118)&lt;=6+Assumptions!$H122,0,OFFSET(L118,,-Assumptions!$H122))</f>
        <v>0</v>
      </c>
      <c r="M118" s="624">
        <f ca="1">M81*Assumptions!N$18+IF(COLUMN(M118)&lt;=6+Assumptions!$H122,0,OFFSET(M118,,-Assumptions!$H122))</f>
        <v>0</v>
      </c>
      <c r="N118" s="624">
        <f ca="1">N81*Assumptions!O$18+IF(COLUMN(N118)&lt;=6+Assumptions!$H122,0,OFFSET(N118,,-Assumptions!$H122))</f>
        <v>0</v>
      </c>
      <c r="O118" s="624">
        <f ca="1">O81*Assumptions!P$18+IF(COLUMN(O118)&lt;=6+Assumptions!$H122,0,OFFSET(O118,,-Assumptions!$H122))</f>
        <v>0</v>
      </c>
      <c r="P118" s="624">
        <f ca="1">P81*Assumptions!Q$18+IF(COLUMN(P118)&lt;=6+Assumptions!$H122,0,OFFSET(P118,,-Assumptions!$H122))</f>
        <v>0</v>
      </c>
      <c r="Q118" s="624">
        <f ca="1">Q81*Assumptions!R$18+IF(COLUMN(Q118)&lt;=6+Assumptions!$H122,0,OFFSET(Q118,,-Assumptions!$H122))</f>
        <v>0</v>
      </c>
      <c r="R118" s="624">
        <f ca="1">R81*Assumptions!S$18+IF(COLUMN(R118)&lt;=6+Assumptions!$H122,0,OFFSET(R118,,-Assumptions!$H122))</f>
        <v>0</v>
      </c>
      <c r="S118" s="624">
        <f ca="1">S81*Assumptions!T$18+IF(COLUMN(S118)&lt;=6+Assumptions!$H122,0,OFFSET(S118,,-Assumptions!$H122))</f>
        <v>0</v>
      </c>
      <c r="T118" s="624">
        <f ca="1">T81*Assumptions!U$18+IF(COLUMN(T118)&lt;=6+Assumptions!$H122,0,OFFSET(T118,,-Assumptions!$H122))</f>
        <v>0</v>
      </c>
      <c r="U118" s="624">
        <f ca="1">U81*Assumptions!V$18+IF(COLUMN(U118)&lt;=6+Assumptions!$H122,0,OFFSET(U118,,-Assumptions!$H122))</f>
        <v>0</v>
      </c>
      <c r="V118" s="624">
        <f ca="1">V81*Assumptions!W$18+IF(COLUMN(V118)&lt;=6+Assumptions!$H122,0,OFFSET(V118,,-Assumptions!$H122))</f>
        <v>0</v>
      </c>
      <c r="W118" s="624">
        <f ca="1">W81*Assumptions!X$18+IF(COLUMN(W118)&lt;=6+Assumptions!$H122,0,OFFSET(W118,,-Assumptions!$H122))</f>
        <v>0</v>
      </c>
      <c r="X118" s="624">
        <f ca="1">X81*Assumptions!Y$18+IF(COLUMN(X118)&lt;=6+Assumptions!$H122,0,OFFSET(X118,,-Assumptions!$H122))</f>
        <v>0</v>
      </c>
      <c r="Y118" s="624">
        <f ca="1">Y81*Assumptions!Z$18+IF(COLUMN(Y118)&lt;=6+Assumptions!$H122,0,OFFSET(Y118,,-Assumptions!$H122))</f>
        <v>0</v>
      </c>
      <c r="Z118" s="624">
        <f ca="1">Z81*Assumptions!AA$18+IF(COLUMN(Z118)&lt;=6+Assumptions!$H122,0,OFFSET(Z118,,-Assumptions!$H122))</f>
        <v>0</v>
      </c>
      <c r="AA118" s="624">
        <f ca="1">AA81*Assumptions!AB$18+IF(COLUMN(AA118)&lt;=6+Assumptions!$H122,0,OFFSET(AA118,,-Assumptions!$H122))</f>
        <v>0</v>
      </c>
    </row>
    <row r="119" spans="1:27" s="620" customFormat="1" hidden="1" x14ac:dyDescent="0.45">
      <c r="A119" s="796"/>
      <c r="B119" s="797"/>
      <c r="C119" s="797" t="s">
        <v>114</v>
      </c>
      <c r="D119" s="797" t="str">
        <f t="shared" si="3"/>
        <v>Production tools</v>
      </c>
      <c r="E119" s="798" t="s">
        <v>806</v>
      </c>
      <c r="F119" s="798" t="s">
        <v>482</v>
      </c>
      <c r="G119" s="799">
        <f ca="1">G82*Assumptions!H$18+IF(COLUMN(G119)&lt;=6+Assumptions!$H123,0,OFFSET(G119,,-Assumptions!$H123))</f>
        <v>32053.422370617696</v>
      </c>
      <c r="H119" s="799">
        <f ca="1">H82*Assumptions!I$18+IF(COLUMN(H119)&lt;=6+Assumptions!$H123,0,OFFSET(H119,,-Assumptions!$H123))</f>
        <v>0</v>
      </c>
      <c r="I119" s="799">
        <f ca="1">I82*Assumptions!J$18+IF(COLUMN(I119)&lt;=6+Assumptions!$H123,0,OFFSET(I119,,-Assumptions!$H123))</f>
        <v>0</v>
      </c>
      <c r="J119" s="799">
        <f ca="1">J82*Assumptions!K$18+IF(COLUMN(J119)&lt;=6+Assumptions!$H123,0,OFFSET(J119,,-Assumptions!$H123))</f>
        <v>0</v>
      </c>
      <c r="K119" s="800">
        <f ca="1">K82*Assumptions!L$18+IF(COLUMN(K119)&lt;=6+Assumptions!$H123,0,OFFSET(K119,,-Assumptions!$H123))</f>
        <v>0</v>
      </c>
      <c r="L119" s="624">
        <f ca="1">L82*Assumptions!M$18+IF(COLUMN(L119)&lt;=6+Assumptions!$H123,0,OFFSET(L119,,-Assumptions!$H123))</f>
        <v>0</v>
      </c>
      <c r="M119" s="624">
        <f ca="1">M82*Assumptions!N$18+IF(COLUMN(M119)&lt;=6+Assumptions!$H123,0,OFFSET(M119,,-Assumptions!$H123))</f>
        <v>0</v>
      </c>
      <c r="N119" s="624">
        <f ca="1">N82*Assumptions!O$18+IF(COLUMN(N119)&lt;=6+Assumptions!$H123,0,OFFSET(N119,,-Assumptions!$H123))</f>
        <v>0</v>
      </c>
      <c r="O119" s="624">
        <f ca="1">O82*Assumptions!P$18+IF(COLUMN(O119)&lt;=6+Assumptions!$H123,0,OFFSET(O119,,-Assumptions!$H123))</f>
        <v>0</v>
      </c>
      <c r="P119" s="624">
        <f ca="1">P82*Assumptions!Q$18+IF(COLUMN(P119)&lt;=6+Assumptions!$H123,0,OFFSET(P119,,-Assumptions!$H123))</f>
        <v>0</v>
      </c>
      <c r="Q119" s="624">
        <f ca="1">Q82*Assumptions!R$18+IF(COLUMN(Q119)&lt;=6+Assumptions!$H123,0,OFFSET(Q119,,-Assumptions!$H123))</f>
        <v>0</v>
      </c>
      <c r="R119" s="624">
        <f ca="1">R82*Assumptions!S$18+IF(COLUMN(R119)&lt;=6+Assumptions!$H123,0,OFFSET(R119,,-Assumptions!$H123))</f>
        <v>0</v>
      </c>
      <c r="S119" s="624">
        <f ca="1">S82*Assumptions!T$18+IF(COLUMN(S119)&lt;=6+Assumptions!$H123,0,OFFSET(S119,,-Assumptions!$H123))</f>
        <v>0</v>
      </c>
      <c r="T119" s="624">
        <f ca="1">T82*Assumptions!U$18+IF(COLUMN(T119)&lt;=6+Assumptions!$H123,0,OFFSET(T119,,-Assumptions!$H123))</f>
        <v>0</v>
      </c>
      <c r="U119" s="624">
        <f ca="1">U82*Assumptions!V$18+IF(COLUMN(U119)&lt;=6+Assumptions!$H123,0,OFFSET(U119,,-Assumptions!$H123))</f>
        <v>0</v>
      </c>
      <c r="V119" s="624">
        <f ca="1">V82*Assumptions!W$18+IF(COLUMN(V119)&lt;=6+Assumptions!$H123,0,OFFSET(V119,,-Assumptions!$H123))</f>
        <v>0</v>
      </c>
      <c r="W119" s="624">
        <f ca="1">W82*Assumptions!X$18+IF(COLUMN(W119)&lt;=6+Assumptions!$H123,0,OFFSET(W119,,-Assumptions!$H123))</f>
        <v>0</v>
      </c>
      <c r="X119" s="624">
        <f ca="1">X82*Assumptions!Y$18+IF(COLUMN(X119)&lt;=6+Assumptions!$H123,0,OFFSET(X119,,-Assumptions!$H123))</f>
        <v>0</v>
      </c>
      <c r="Y119" s="624">
        <f ca="1">Y82*Assumptions!Z$18+IF(COLUMN(Y119)&lt;=6+Assumptions!$H123,0,OFFSET(Y119,,-Assumptions!$H123))</f>
        <v>0</v>
      </c>
      <c r="Z119" s="624">
        <f ca="1">Z82*Assumptions!AA$18+IF(COLUMN(Z119)&lt;=6+Assumptions!$H123,0,OFFSET(Z119,,-Assumptions!$H123))</f>
        <v>0</v>
      </c>
      <c r="AA119" s="624">
        <f ca="1">AA82*Assumptions!AB$18+IF(COLUMN(AA119)&lt;=6+Assumptions!$H123,0,OFFSET(AA119,,-Assumptions!$H123))</f>
        <v>0</v>
      </c>
    </row>
    <row r="120" spans="1:27" s="620" customFormat="1" hidden="1" x14ac:dyDescent="0.45">
      <c r="A120" s="796"/>
      <c r="B120" s="797"/>
      <c r="C120" s="797" t="s">
        <v>114</v>
      </c>
      <c r="D120" s="797" t="str">
        <f t="shared" si="3"/>
        <v>Transport Installation and Commissioning</v>
      </c>
      <c r="E120" s="798" t="s">
        <v>806</v>
      </c>
      <c r="F120" s="798" t="s">
        <v>646</v>
      </c>
      <c r="G120" s="799">
        <f ca="1">G83*Assumptions!H$18+IF(COLUMN(G120)&lt;=6+Assumptions!$H124,0,OFFSET(G120,,-Assumptions!$H124))</f>
        <v>350839.73288814689</v>
      </c>
      <c r="H120" s="799">
        <f ca="1">H83*Assumptions!I$18+IF(COLUMN(H120)&lt;=6+Assumptions!$H124,0,OFFSET(H120,,-Assumptions!$H124))</f>
        <v>0</v>
      </c>
      <c r="I120" s="799">
        <f ca="1">I83*Assumptions!J$18+IF(COLUMN(I120)&lt;=6+Assumptions!$H124,0,OFFSET(I120,,-Assumptions!$H124))</f>
        <v>0</v>
      </c>
      <c r="J120" s="799">
        <f ca="1">J83*Assumptions!K$18+IF(COLUMN(J120)&lt;=6+Assumptions!$H124,0,OFFSET(J120,,-Assumptions!$H124))</f>
        <v>0</v>
      </c>
      <c r="K120" s="800">
        <f ca="1">K83*Assumptions!L$18+IF(COLUMN(K120)&lt;=6+Assumptions!$H124,0,OFFSET(K120,,-Assumptions!$H124))</f>
        <v>0</v>
      </c>
      <c r="L120" s="624">
        <f ca="1">L83*Assumptions!M$18+IF(COLUMN(L120)&lt;=6+Assumptions!$H124,0,OFFSET(L120,,-Assumptions!$H124))</f>
        <v>0</v>
      </c>
      <c r="M120" s="624">
        <f ca="1">M83*Assumptions!N$18+IF(COLUMN(M120)&lt;=6+Assumptions!$H124,0,OFFSET(M120,,-Assumptions!$H124))</f>
        <v>0</v>
      </c>
      <c r="N120" s="624">
        <f ca="1">N83*Assumptions!O$18+IF(COLUMN(N120)&lt;=6+Assumptions!$H124,0,OFFSET(N120,,-Assumptions!$H124))</f>
        <v>0</v>
      </c>
      <c r="O120" s="624">
        <f ca="1">O83*Assumptions!P$18+IF(COLUMN(O120)&lt;=6+Assumptions!$H124,0,OFFSET(O120,,-Assumptions!$H124))</f>
        <v>0</v>
      </c>
      <c r="P120" s="624">
        <f ca="1">P83*Assumptions!Q$18+IF(COLUMN(P120)&lt;=6+Assumptions!$H124,0,OFFSET(P120,,-Assumptions!$H124))</f>
        <v>0</v>
      </c>
      <c r="Q120" s="624">
        <f ca="1">Q83*Assumptions!R$18+IF(COLUMN(Q120)&lt;=6+Assumptions!$H124,0,OFFSET(Q120,,-Assumptions!$H124))</f>
        <v>0</v>
      </c>
      <c r="R120" s="624">
        <f ca="1">R83*Assumptions!S$18+IF(COLUMN(R120)&lt;=6+Assumptions!$H124,0,OFFSET(R120,,-Assumptions!$H124))</f>
        <v>0</v>
      </c>
      <c r="S120" s="624">
        <f ca="1">S83*Assumptions!T$18+IF(COLUMN(S120)&lt;=6+Assumptions!$H124,0,OFFSET(S120,,-Assumptions!$H124))</f>
        <v>0</v>
      </c>
      <c r="T120" s="624">
        <f ca="1">T83*Assumptions!U$18+IF(COLUMN(T120)&lt;=6+Assumptions!$H124,0,OFFSET(T120,,-Assumptions!$H124))</f>
        <v>0</v>
      </c>
      <c r="U120" s="624">
        <f ca="1">U83*Assumptions!V$18+IF(COLUMN(U120)&lt;=6+Assumptions!$H124,0,OFFSET(U120,,-Assumptions!$H124))</f>
        <v>0</v>
      </c>
      <c r="V120" s="624">
        <f ca="1">V83*Assumptions!W$18+IF(COLUMN(V120)&lt;=6+Assumptions!$H124,0,OFFSET(V120,,-Assumptions!$H124))</f>
        <v>0</v>
      </c>
      <c r="W120" s="624">
        <f ca="1">W83*Assumptions!X$18+IF(COLUMN(W120)&lt;=6+Assumptions!$H124,0,OFFSET(W120,,-Assumptions!$H124))</f>
        <v>0</v>
      </c>
      <c r="X120" s="624">
        <f ca="1">X83*Assumptions!Y$18+IF(COLUMN(X120)&lt;=6+Assumptions!$H124,0,OFFSET(X120,,-Assumptions!$H124))</f>
        <v>0</v>
      </c>
      <c r="Y120" s="624">
        <f ca="1">Y83*Assumptions!Z$18+IF(COLUMN(Y120)&lt;=6+Assumptions!$H124,0,OFFSET(Y120,,-Assumptions!$H124))</f>
        <v>0</v>
      </c>
      <c r="Z120" s="624">
        <f ca="1">Z83*Assumptions!AA$18+IF(COLUMN(Z120)&lt;=6+Assumptions!$H124,0,OFFSET(Z120,,-Assumptions!$H124))</f>
        <v>0</v>
      </c>
      <c r="AA120" s="624">
        <f ca="1">AA83*Assumptions!AB$18+IF(COLUMN(AA120)&lt;=6+Assumptions!$H124,0,OFFSET(AA120,,-Assumptions!$H124))</f>
        <v>0</v>
      </c>
    </row>
    <row r="121" spans="1:27" s="620" customFormat="1" hidden="1" x14ac:dyDescent="0.45">
      <c r="A121" s="796"/>
      <c r="B121" s="797"/>
      <c r="C121" s="797" t="s">
        <v>114</v>
      </c>
      <c r="D121" s="797" t="str">
        <f t="shared" si="3"/>
        <v>Vehicles</v>
      </c>
      <c r="E121" s="798" t="s">
        <v>806</v>
      </c>
      <c r="F121" s="798" t="s">
        <v>645</v>
      </c>
      <c r="G121" s="799">
        <f ca="1">G84*Assumptions!H$18+IF(COLUMN(G121)&lt;=6+Assumptions!$H125,0,OFFSET(G121,,-Assumptions!$H125))</f>
        <v>46477.462437395661</v>
      </c>
      <c r="H121" s="799">
        <f ca="1">H84*Assumptions!I$18+IF(COLUMN(H121)&lt;=6+Assumptions!$H125,0,OFFSET(H121,,-Assumptions!$H125))</f>
        <v>0</v>
      </c>
      <c r="I121" s="799">
        <f ca="1">I84*Assumptions!J$18+IF(COLUMN(I121)&lt;=6+Assumptions!$H125,0,OFFSET(I121,,-Assumptions!$H125))</f>
        <v>0</v>
      </c>
      <c r="J121" s="799">
        <f ca="1">J84*Assumptions!K$18+IF(COLUMN(J121)&lt;=6+Assumptions!$H125,0,OFFSET(J121,,-Assumptions!$H125))</f>
        <v>0</v>
      </c>
      <c r="K121" s="800">
        <f ca="1">K84*Assumptions!L$18+IF(COLUMN(K121)&lt;=6+Assumptions!$H125,0,OFFSET(K121,,-Assumptions!$H125))</f>
        <v>0</v>
      </c>
      <c r="L121" s="624">
        <f ca="1">L84*Assumptions!M$18+IF(COLUMN(L121)&lt;=6+Assumptions!$H125,0,OFFSET(L121,,-Assumptions!$H125))</f>
        <v>0</v>
      </c>
      <c r="M121" s="624">
        <f ca="1">M84*Assumptions!N$18+IF(COLUMN(M121)&lt;=6+Assumptions!$H125,0,OFFSET(M121,,-Assumptions!$H125))</f>
        <v>0</v>
      </c>
      <c r="N121" s="624">
        <f ca="1">N84*Assumptions!O$18+IF(COLUMN(N121)&lt;=6+Assumptions!$H125,0,OFFSET(N121,,-Assumptions!$H125))</f>
        <v>0</v>
      </c>
      <c r="O121" s="624">
        <f ca="1">O84*Assumptions!P$18+IF(COLUMN(O121)&lt;=6+Assumptions!$H125,0,OFFSET(O121,,-Assumptions!$H125))</f>
        <v>0</v>
      </c>
      <c r="P121" s="624">
        <f ca="1">P84*Assumptions!Q$18+IF(COLUMN(P121)&lt;=6+Assumptions!$H125,0,OFFSET(P121,,-Assumptions!$H125))</f>
        <v>0</v>
      </c>
      <c r="Q121" s="624">
        <f ca="1">Q84*Assumptions!R$18+IF(COLUMN(Q121)&lt;=6+Assumptions!$H125,0,OFFSET(Q121,,-Assumptions!$H125))</f>
        <v>0</v>
      </c>
      <c r="R121" s="624">
        <f ca="1">R84*Assumptions!S$18+IF(COLUMN(R121)&lt;=6+Assumptions!$H125,0,OFFSET(R121,,-Assumptions!$H125))</f>
        <v>0</v>
      </c>
      <c r="S121" s="624">
        <f ca="1">S84*Assumptions!T$18+IF(COLUMN(S121)&lt;=6+Assumptions!$H125,0,OFFSET(S121,,-Assumptions!$H125))</f>
        <v>0</v>
      </c>
      <c r="T121" s="624">
        <f ca="1">T84*Assumptions!U$18+IF(COLUMN(T121)&lt;=6+Assumptions!$H125,0,OFFSET(T121,,-Assumptions!$H125))</f>
        <v>0</v>
      </c>
      <c r="U121" s="624">
        <f ca="1">U84*Assumptions!V$18+IF(COLUMN(U121)&lt;=6+Assumptions!$H125,0,OFFSET(U121,,-Assumptions!$H125))</f>
        <v>0</v>
      </c>
      <c r="V121" s="624">
        <f ca="1">V84*Assumptions!W$18+IF(COLUMN(V121)&lt;=6+Assumptions!$H125,0,OFFSET(V121,,-Assumptions!$H125))</f>
        <v>0</v>
      </c>
      <c r="W121" s="624">
        <f ca="1">W84*Assumptions!X$18+IF(COLUMN(W121)&lt;=6+Assumptions!$H125,0,OFFSET(W121,,-Assumptions!$H125))</f>
        <v>0</v>
      </c>
      <c r="X121" s="624">
        <f ca="1">X84*Assumptions!Y$18+IF(COLUMN(X121)&lt;=6+Assumptions!$H125,0,OFFSET(X121,,-Assumptions!$H125))</f>
        <v>0</v>
      </c>
      <c r="Y121" s="624">
        <f ca="1">Y84*Assumptions!Z$18+IF(COLUMN(Y121)&lt;=6+Assumptions!$H125,0,OFFSET(Y121,,-Assumptions!$H125))</f>
        <v>0</v>
      </c>
      <c r="Z121" s="624">
        <f ca="1">Z84*Assumptions!AA$18+IF(COLUMN(Z121)&lt;=6+Assumptions!$H125,0,OFFSET(Z121,,-Assumptions!$H125))</f>
        <v>0</v>
      </c>
      <c r="AA121" s="624">
        <f ca="1">AA84*Assumptions!AB$18+IF(COLUMN(AA121)&lt;=6+Assumptions!$H125,0,OFFSET(AA121,,-Assumptions!$H125))</f>
        <v>0</v>
      </c>
    </row>
    <row r="122" spans="1:27" s="620" customFormat="1" hidden="1" x14ac:dyDescent="0.45">
      <c r="A122" s="796"/>
      <c r="B122" s="797"/>
      <c r="C122" s="797" t="s">
        <v>114</v>
      </c>
      <c r="D122" s="797">
        <f t="shared" si="3"/>
        <v>0</v>
      </c>
      <c r="E122" s="798" t="s">
        <v>806</v>
      </c>
      <c r="F122" s="798" t="s">
        <v>482</v>
      </c>
      <c r="G122" s="799">
        <f ca="1">G85*Assumptions!H$18+IF(COLUMN(G122)&lt;=6+Assumptions!$H126,0,OFFSET(G122,,-Assumptions!$H126))</f>
        <v>0</v>
      </c>
      <c r="H122" s="799">
        <f ca="1">H85*Assumptions!I$18+IF(COLUMN(H122)&lt;=6+Assumptions!$H126,0,OFFSET(H122,,-Assumptions!$H126))</f>
        <v>0</v>
      </c>
      <c r="I122" s="799">
        <f ca="1">I85*Assumptions!J$18+IF(COLUMN(I122)&lt;=6+Assumptions!$H126,0,OFFSET(I122,,-Assumptions!$H126))</f>
        <v>0</v>
      </c>
      <c r="J122" s="799">
        <f ca="1">J85*Assumptions!K$18+IF(COLUMN(J122)&lt;=6+Assumptions!$H126,0,OFFSET(J122,,-Assumptions!$H126))</f>
        <v>0</v>
      </c>
      <c r="K122" s="800">
        <f ca="1">K85*Assumptions!L$18+IF(COLUMN(K122)&lt;=6+Assumptions!$H126,0,OFFSET(K122,,-Assumptions!$H126))</f>
        <v>0</v>
      </c>
      <c r="L122" s="624">
        <f ca="1">L85*Assumptions!M$18+IF(COLUMN(L122)&lt;=6+Assumptions!$H126,0,OFFSET(L122,,-Assumptions!$H126))</f>
        <v>0</v>
      </c>
      <c r="M122" s="624">
        <f ca="1">M85*Assumptions!N$18+IF(COLUMN(M122)&lt;=6+Assumptions!$H126,0,OFFSET(M122,,-Assumptions!$H126))</f>
        <v>0</v>
      </c>
      <c r="N122" s="624">
        <f ca="1">N85*Assumptions!O$18+IF(COLUMN(N122)&lt;=6+Assumptions!$H126,0,OFFSET(N122,,-Assumptions!$H126))</f>
        <v>0</v>
      </c>
      <c r="O122" s="624">
        <f ca="1">O85*Assumptions!P$18+IF(COLUMN(O122)&lt;=6+Assumptions!$H126,0,OFFSET(O122,,-Assumptions!$H126))</f>
        <v>0</v>
      </c>
      <c r="P122" s="624">
        <f ca="1">P85*Assumptions!Q$18+IF(COLUMN(P122)&lt;=6+Assumptions!$H126,0,OFFSET(P122,,-Assumptions!$H126))</f>
        <v>0</v>
      </c>
      <c r="Q122" s="624">
        <f ca="1">Q85*Assumptions!R$18+IF(COLUMN(Q122)&lt;=6+Assumptions!$H126,0,OFFSET(Q122,,-Assumptions!$H126))</f>
        <v>0</v>
      </c>
      <c r="R122" s="624">
        <f ca="1">R85*Assumptions!S$18+IF(COLUMN(R122)&lt;=6+Assumptions!$H126,0,OFFSET(R122,,-Assumptions!$H126))</f>
        <v>0</v>
      </c>
      <c r="S122" s="624">
        <f ca="1">S85*Assumptions!T$18+IF(COLUMN(S122)&lt;=6+Assumptions!$H126,0,OFFSET(S122,,-Assumptions!$H126))</f>
        <v>0</v>
      </c>
      <c r="T122" s="624">
        <f ca="1">T85*Assumptions!U$18+IF(COLUMN(T122)&lt;=6+Assumptions!$H126,0,OFFSET(T122,,-Assumptions!$H126))</f>
        <v>0</v>
      </c>
      <c r="U122" s="624">
        <f ca="1">U85*Assumptions!V$18+IF(COLUMN(U122)&lt;=6+Assumptions!$H126,0,OFFSET(U122,,-Assumptions!$H126))</f>
        <v>0</v>
      </c>
      <c r="V122" s="624">
        <f ca="1">V85*Assumptions!W$18+IF(COLUMN(V122)&lt;=6+Assumptions!$H126,0,OFFSET(V122,,-Assumptions!$H126))</f>
        <v>0</v>
      </c>
      <c r="W122" s="624">
        <f ca="1">W85*Assumptions!X$18+IF(COLUMN(W122)&lt;=6+Assumptions!$H126,0,OFFSET(W122,,-Assumptions!$H126))</f>
        <v>0</v>
      </c>
      <c r="X122" s="624">
        <f ca="1">X85*Assumptions!Y$18+IF(COLUMN(X122)&lt;=6+Assumptions!$H126,0,OFFSET(X122,,-Assumptions!$H126))</f>
        <v>0</v>
      </c>
      <c r="Y122" s="624">
        <f ca="1">Y85*Assumptions!Z$18+IF(COLUMN(Y122)&lt;=6+Assumptions!$H126,0,OFFSET(Y122,,-Assumptions!$H126))</f>
        <v>0</v>
      </c>
      <c r="Z122" s="624">
        <f ca="1">Z85*Assumptions!AA$18+IF(COLUMN(Z122)&lt;=6+Assumptions!$H126,0,OFFSET(Z122,,-Assumptions!$H126))</f>
        <v>0</v>
      </c>
      <c r="AA122" s="624">
        <f ca="1">AA85*Assumptions!AB$18+IF(COLUMN(AA122)&lt;=6+Assumptions!$H126,0,OFFSET(AA122,,-Assumptions!$H126))</f>
        <v>0</v>
      </c>
    </row>
    <row r="123" spans="1:27" s="620" customFormat="1" hidden="1" x14ac:dyDescent="0.45">
      <c r="A123" s="796"/>
      <c r="B123" s="797"/>
      <c r="C123" s="797" t="s">
        <v>114</v>
      </c>
      <c r="D123" s="797" t="str">
        <f t="shared" si="3"/>
        <v>Centralised capex</v>
      </c>
      <c r="E123" s="798" t="s">
        <v>806</v>
      </c>
      <c r="F123" s="798" t="s">
        <v>482</v>
      </c>
      <c r="G123" s="799">
        <f ca="1">G86*Assumptions!H$18+IF(COLUMN(G123)&lt;=6+Assumptions!$H127,0,OFFSET(G123,,-Assumptions!$H127))</f>
        <v>480400.66777963273</v>
      </c>
      <c r="H123" s="799">
        <f ca="1">H86*Assumptions!I$18+IF(COLUMN(H123)&lt;=6+Assumptions!$H127,0,OFFSET(H123,,-Assumptions!$H127))</f>
        <v>0</v>
      </c>
      <c r="I123" s="799">
        <f ca="1">I86*Assumptions!J$18+IF(COLUMN(I123)&lt;=6+Assumptions!$H127,0,OFFSET(I123,,-Assumptions!$H127))</f>
        <v>0</v>
      </c>
      <c r="J123" s="799">
        <f ca="1">J86*Assumptions!K$18+IF(COLUMN(J123)&lt;=6+Assumptions!$H127,0,OFFSET(J123,,-Assumptions!$H127))</f>
        <v>0</v>
      </c>
      <c r="K123" s="800">
        <f ca="1">K86*Assumptions!L$18+IF(COLUMN(K123)&lt;=6+Assumptions!$H127,0,OFFSET(K123,,-Assumptions!$H127))</f>
        <v>0</v>
      </c>
      <c r="L123" s="624">
        <f ca="1">L86*Assumptions!M$18+IF(COLUMN(L123)&lt;=6+Assumptions!$H127,0,OFFSET(L123,,-Assumptions!$H127))</f>
        <v>0</v>
      </c>
      <c r="M123" s="624">
        <f ca="1">M86*Assumptions!N$18+IF(COLUMN(M123)&lt;=6+Assumptions!$H127,0,OFFSET(M123,,-Assumptions!$H127))</f>
        <v>0</v>
      </c>
      <c r="N123" s="624">
        <f ca="1">N86*Assumptions!O$18+IF(COLUMN(N123)&lt;=6+Assumptions!$H127,0,OFFSET(N123,,-Assumptions!$H127))</f>
        <v>0</v>
      </c>
      <c r="O123" s="624">
        <f ca="1">O86*Assumptions!P$18+IF(COLUMN(O123)&lt;=6+Assumptions!$H127,0,OFFSET(O123,,-Assumptions!$H127))</f>
        <v>0</v>
      </c>
      <c r="P123" s="624">
        <f ca="1">P86*Assumptions!Q$18+IF(COLUMN(P123)&lt;=6+Assumptions!$H127,0,OFFSET(P123,,-Assumptions!$H127))</f>
        <v>0</v>
      </c>
      <c r="Q123" s="624">
        <f ca="1">Q86*Assumptions!R$18+IF(COLUMN(Q123)&lt;=6+Assumptions!$H127,0,OFFSET(Q123,,-Assumptions!$H127))</f>
        <v>0</v>
      </c>
      <c r="R123" s="624">
        <f ca="1">R86*Assumptions!S$18+IF(COLUMN(R123)&lt;=6+Assumptions!$H127,0,OFFSET(R123,,-Assumptions!$H127))</f>
        <v>0</v>
      </c>
      <c r="S123" s="624">
        <f ca="1">S86*Assumptions!T$18+IF(COLUMN(S123)&lt;=6+Assumptions!$H127,0,OFFSET(S123,,-Assumptions!$H127))</f>
        <v>0</v>
      </c>
      <c r="T123" s="624">
        <f ca="1">T86*Assumptions!U$18+IF(COLUMN(T123)&lt;=6+Assumptions!$H127,0,OFFSET(T123,,-Assumptions!$H127))</f>
        <v>0</v>
      </c>
      <c r="U123" s="624">
        <f ca="1">U86*Assumptions!V$18+IF(COLUMN(U123)&lt;=6+Assumptions!$H127,0,OFFSET(U123,,-Assumptions!$H127))</f>
        <v>0</v>
      </c>
      <c r="V123" s="624">
        <f ca="1">V86*Assumptions!W$18+IF(COLUMN(V123)&lt;=6+Assumptions!$H127,0,OFFSET(V123,,-Assumptions!$H127))</f>
        <v>0</v>
      </c>
      <c r="W123" s="624">
        <f ca="1">W86*Assumptions!X$18+IF(COLUMN(W123)&lt;=6+Assumptions!$H127,0,OFFSET(W123,,-Assumptions!$H127))</f>
        <v>0</v>
      </c>
      <c r="X123" s="624">
        <f ca="1">X86*Assumptions!Y$18+IF(COLUMN(X123)&lt;=6+Assumptions!$H127,0,OFFSET(X123,,-Assumptions!$H127))</f>
        <v>0</v>
      </c>
      <c r="Y123" s="624">
        <f ca="1">Y86*Assumptions!Z$18+IF(COLUMN(Y123)&lt;=6+Assumptions!$H127,0,OFFSET(Y123,,-Assumptions!$H127))</f>
        <v>0</v>
      </c>
      <c r="Z123" s="624">
        <f ca="1">Z86*Assumptions!AA$18+IF(COLUMN(Z123)&lt;=6+Assumptions!$H127,0,OFFSET(Z123,,-Assumptions!$H127))</f>
        <v>0</v>
      </c>
      <c r="AA123" s="624">
        <f ca="1">AA86*Assumptions!AB$18+IF(COLUMN(AA123)&lt;=6+Assumptions!$H127,0,OFFSET(AA123,,-Assumptions!$H127))</f>
        <v>0</v>
      </c>
    </row>
    <row r="124" spans="1:27" s="620" customFormat="1" hidden="1" x14ac:dyDescent="0.45">
      <c r="A124" s="796"/>
      <c r="B124" s="797"/>
      <c r="C124" s="797" t="s">
        <v>114</v>
      </c>
      <c r="D124" s="797">
        <f t="shared" si="3"/>
        <v>0</v>
      </c>
      <c r="E124" s="798" t="s">
        <v>806</v>
      </c>
      <c r="F124" s="798" t="s">
        <v>645</v>
      </c>
      <c r="G124" s="799">
        <f ca="1">G87*Assumptions!H$18+IF(COLUMN(G124)&lt;=6+Assumptions!$H128,0,OFFSET(G124,,-Assumptions!$H128))</f>
        <v>0</v>
      </c>
      <c r="H124" s="799">
        <f ca="1">H87*Assumptions!I$18+IF(COLUMN(H124)&lt;=6+Assumptions!$H128,0,OFFSET(H124,,-Assumptions!$H128))</f>
        <v>0</v>
      </c>
      <c r="I124" s="799">
        <f ca="1">I87*Assumptions!J$18+IF(COLUMN(I124)&lt;=6+Assumptions!$H128,0,OFFSET(I124,,-Assumptions!$H128))</f>
        <v>0</v>
      </c>
      <c r="J124" s="799">
        <f ca="1">J87*Assumptions!K$18+IF(COLUMN(J124)&lt;=6+Assumptions!$H128,0,OFFSET(J124,,-Assumptions!$H128))</f>
        <v>0</v>
      </c>
      <c r="K124" s="800">
        <f ca="1">K87*Assumptions!L$18+IF(COLUMN(K124)&lt;=6+Assumptions!$H128,0,OFFSET(K124,,-Assumptions!$H128))</f>
        <v>0</v>
      </c>
      <c r="L124" s="624">
        <f ca="1">L87*Assumptions!M$18+IF(COLUMN(L124)&lt;=6+Assumptions!$H128,0,OFFSET(L124,,-Assumptions!$H128))</f>
        <v>0</v>
      </c>
      <c r="M124" s="624">
        <f ca="1">M87*Assumptions!N$18+IF(COLUMN(M124)&lt;=6+Assumptions!$H128,0,OFFSET(M124,,-Assumptions!$H128))</f>
        <v>0</v>
      </c>
      <c r="N124" s="624">
        <f ca="1">N87*Assumptions!O$18+IF(COLUMN(N124)&lt;=6+Assumptions!$H128,0,OFFSET(N124,,-Assumptions!$H128))</f>
        <v>0</v>
      </c>
      <c r="O124" s="624">
        <f ca="1">O87*Assumptions!P$18+IF(COLUMN(O124)&lt;=6+Assumptions!$H128,0,OFFSET(O124,,-Assumptions!$H128))</f>
        <v>0</v>
      </c>
      <c r="P124" s="624">
        <f ca="1">P87*Assumptions!Q$18+IF(COLUMN(P124)&lt;=6+Assumptions!$H128,0,OFFSET(P124,,-Assumptions!$H128))</f>
        <v>0</v>
      </c>
      <c r="Q124" s="624">
        <f ca="1">Q87*Assumptions!R$18+IF(COLUMN(Q124)&lt;=6+Assumptions!$H128,0,OFFSET(Q124,,-Assumptions!$H128))</f>
        <v>0</v>
      </c>
      <c r="R124" s="624">
        <f ca="1">R87*Assumptions!S$18+IF(COLUMN(R124)&lt;=6+Assumptions!$H128,0,OFFSET(R124,,-Assumptions!$H128))</f>
        <v>0</v>
      </c>
      <c r="S124" s="624">
        <f ca="1">S87*Assumptions!T$18+IF(COLUMN(S124)&lt;=6+Assumptions!$H128,0,OFFSET(S124,,-Assumptions!$H128))</f>
        <v>0</v>
      </c>
      <c r="T124" s="624">
        <f ca="1">T87*Assumptions!U$18+IF(COLUMN(T124)&lt;=6+Assumptions!$H128,0,OFFSET(T124,,-Assumptions!$H128))</f>
        <v>0</v>
      </c>
      <c r="U124" s="624">
        <f ca="1">U87*Assumptions!V$18+IF(COLUMN(U124)&lt;=6+Assumptions!$H128,0,OFFSET(U124,,-Assumptions!$H128))</f>
        <v>0</v>
      </c>
      <c r="V124" s="624">
        <f ca="1">V87*Assumptions!W$18+IF(COLUMN(V124)&lt;=6+Assumptions!$H128,0,OFFSET(V124,,-Assumptions!$H128))</f>
        <v>0</v>
      </c>
      <c r="W124" s="624">
        <f ca="1">W87*Assumptions!X$18+IF(COLUMN(W124)&lt;=6+Assumptions!$H128,0,OFFSET(W124,,-Assumptions!$H128))</f>
        <v>0</v>
      </c>
      <c r="X124" s="624">
        <f ca="1">X87*Assumptions!Y$18+IF(COLUMN(X124)&lt;=6+Assumptions!$H128,0,OFFSET(X124,,-Assumptions!$H128))</f>
        <v>0</v>
      </c>
      <c r="Y124" s="624">
        <f ca="1">Y87*Assumptions!Z$18+IF(COLUMN(Y124)&lt;=6+Assumptions!$H128,0,OFFSET(Y124,,-Assumptions!$H128))</f>
        <v>0</v>
      </c>
      <c r="Z124" s="624">
        <f ca="1">Z87*Assumptions!AA$18+IF(COLUMN(Z124)&lt;=6+Assumptions!$H128,0,OFFSET(Z124,,-Assumptions!$H128))</f>
        <v>0</v>
      </c>
      <c r="AA124" s="624">
        <f ca="1">AA87*Assumptions!AB$18+IF(COLUMN(AA124)&lt;=6+Assumptions!$H128,0,OFFSET(AA124,,-Assumptions!$H128))</f>
        <v>0</v>
      </c>
    </row>
    <row r="125" spans="1:27" s="620" customFormat="1" hidden="1" x14ac:dyDescent="0.45">
      <c r="A125" s="796"/>
      <c r="B125" s="797"/>
      <c r="C125" s="797" t="s">
        <v>114</v>
      </c>
      <c r="D125" s="797">
        <f t="shared" si="3"/>
        <v>0</v>
      </c>
      <c r="E125" s="798" t="s">
        <v>806</v>
      </c>
      <c r="F125" s="789"/>
      <c r="G125" s="799">
        <f ca="1">G88*Assumptions!H$18+IF(COLUMN(G125)&lt;=6+Assumptions!$H129,0,OFFSET(G125,,-Assumptions!$H129))</f>
        <v>0</v>
      </c>
      <c r="H125" s="799">
        <f ca="1">H88*Assumptions!I$18+IF(COLUMN(H125)&lt;=6+Assumptions!$H129,0,OFFSET(H125,,-Assumptions!$H129))</f>
        <v>0</v>
      </c>
      <c r="I125" s="799">
        <f ca="1">I88*Assumptions!J$18+IF(COLUMN(I125)&lt;=6+Assumptions!$H129,0,OFFSET(I125,,-Assumptions!$H129))</f>
        <v>0</v>
      </c>
      <c r="J125" s="799">
        <f ca="1">J88*Assumptions!K$18+IF(COLUMN(J125)&lt;=6+Assumptions!$H129,0,OFFSET(J125,,-Assumptions!$H129))</f>
        <v>0</v>
      </c>
      <c r="K125" s="800">
        <f ca="1">K88*Assumptions!L$18+IF(COLUMN(K125)&lt;=6+Assumptions!$H129,0,OFFSET(K125,,-Assumptions!$H129))</f>
        <v>0</v>
      </c>
      <c r="L125" s="624">
        <f ca="1">L88*Assumptions!M$18+IF(COLUMN(L125)&lt;=6+Assumptions!$H129,0,OFFSET(L125,,-Assumptions!$H129))</f>
        <v>0</v>
      </c>
      <c r="M125" s="624">
        <f ca="1">M88*Assumptions!N$18+IF(COLUMN(M125)&lt;=6+Assumptions!$H129,0,OFFSET(M125,,-Assumptions!$H129))</f>
        <v>0</v>
      </c>
      <c r="N125" s="624">
        <f ca="1">N88*Assumptions!O$18+IF(COLUMN(N125)&lt;=6+Assumptions!$H129,0,OFFSET(N125,,-Assumptions!$H129))</f>
        <v>0</v>
      </c>
      <c r="O125" s="624">
        <f ca="1">O88*Assumptions!P$18+IF(COLUMN(O125)&lt;=6+Assumptions!$H129,0,OFFSET(O125,,-Assumptions!$H129))</f>
        <v>0</v>
      </c>
      <c r="P125" s="624">
        <f ca="1">P88*Assumptions!Q$18+IF(COLUMN(P125)&lt;=6+Assumptions!$H129,0,OFFSET(P125,,-Assumptions!$H129))</f>
        <v>0</v>
      </c>
      <c r="Q125" s="624">
        <f ca="1">Q88*Assumptions!R$18+IF(COLUMN(Q125)&lt;=6+Assumptions!$H129,0,OFFSET(Q125,,-Assumptions!$H129))</f>
        <v>0</v>
      </c>
      <c r="R125" s="624">
        <f ca="1">R88*Assumptions!S$18+IF(COLUMN(R125)&lt;=6+Assumptions!$H129,0,OFFSET(R125,,-Assumptions!$H129))</f>
        <v>0</v>
      </c>
      <c r="S125" s="624">
        <f ca="1">S88*Assumptions!T$18+IF(COLUMN(S125)&lt;=6+Assumptions!$H129,0,OFFSET(S125,,-Assumptions!$H129))</f>
        <v>0</v>
      </c>
      <c r="T125" s="624">
        <f ca="1">T88*Assumptions!U$18+IF(COLUMN(T125)&lt;=6+Assumptions!$H129,0,OFFSET(T125,,-Assumptions!$H129))</f>
        <v>0</v>
      </c>
      <c r="U125" s="624">
        <f ca="1">U88*Assumptions!V$18+IF(COLUMN(U125)&lt;=6+Assumptions!$H129,0,OFFSET(U125,,-Assumptions!$H129))</f>
        <v>0</v>
      </c>
      <c r="V125" s="624">
        <f ca="1">V88*Assumptions!W$18+IF(COLUMN(V125)&lt;=6+Assumptions!$H129,0,OFFSET(V125,,-Assumptions!$H129))</f>
        <v>0</v>
      </c>
      <c r="W125" s="624">
        <f ca="1">W88*Assumptions!X$18+IF(COLUMN(W125)&lt;=6+Assumptions!$H129,0,OFFSET(W125,,-Assumptions!$H129))</f>
        <v>0</v>
      </c>
      <c r="X125" s="624">
        <f ca="1">X88*Assumptions!Y$18+IF(COLUMN(X125)&lt;=6+Assumptions!$H129,0,OFFSET(X125,,-Assumptions!$H129))</f>
        <v>0</v>
      </c>
      <c r="Y125" s="624">
        <f ca="1">Y88*Assumptions!Z$18+IF(COLUMN(Y125)&lt;=6+Assumptions!$H129,0,OFFSET(Y125,,-Assumptions!$H129))</f>
        <v>0</v>
      </c>
      <c r="Z125" s="624">
        <f ca="1">Z88*Assumptions!AA$18+IF(COLUMN(Z125)&lt;=6+Assumptions!$H129,0,OFFSET(Z125,,-Assumptions!$H129))</f>
        <v>0</v>
      </c>
      <c r="AA125" s="624">
        <f ca="1">AA88*Assumptions!AB$18+IF(COLUMN(AA125)&lt;=6+Assumptions!$H129,0,OFFSET(AA125,,-Assumptions!$H129))</f>
        <v>0</v>
      </c>
    </row>
    <row r="126" spans="1:27" s="620" customFormat="1" hidden="1" x14ac:dyDescent="0.45">
      <c r="A126" s="796"/>
      <c r="B126" s="797"/>
      <c r="C126" s="797" t="s">
        <v>114</v>
      </c>
      <c r="D126" s="797">
        <f t="shared" si="3"/>
        <v>0</v>
      </c>
      <c r="E126" s="798" t="s">
        <v>806</v>
      </c>
      <c r="F126" s="789"/>
      <c r="G126" s="799">
        <f ca="1">G89*Assumptions!H$18+IF(COLUMN(G126)&lt;=6+Assumptions!$H130,0,OFFSET(G126,,-Assumptions!$H130))</f>
        <v>0</v>
      </c>
      <c r="H126" s="799">
        <f ca="1">H89*Assumptions!I$18+IF(COLUMN(H126)&lt;=6+Assumptions!$H130,0,OFFSET(H126,,-Assumptions!$H130))</f>
        <v>0</v>
      </c>
      <c r="I126" s="799">
        <f ca="1">I89*Assumptions!J$18+IF(COLUMN(I126)&lt;=6+Assumptions!$H130,0,OFFSET(I126,,-Assumptions!$H130))</f>
        <v>0</v>
      </c>
      <c r="J126" s="799">
        <f ca="1">J89*Assumptions!K$18+IF(COLUMN(J126)&lt;=6+Assumptions!$H130,0,OFFSET(J126,,-Assumptions!$H130))</f>
        <v>0</v>
      </c>
      <c r="K126" s="800">
        <f ca="1">K89*Assumptions!L$18+IF(COLUMN(K126)&lt;=6+Assumptions!$H130,0,OFFSET(K126,,-Assumptions!$H130))</f>
        <v>0</v>
      </c>
      <c r="L126" s="624">
        <f ca="1">L89*Assumptions!M$18+IF(COLUMN(L126)&lt;=6+Assumptions!$H130,0,OFFSET(L126,,-Assumptions!$H130))</f>
        <v>0</v>
      </c>
      <c r="M126" s="624">
        <f ca="1">M89*Assumptions!N$18+IF(COLUMN(M126)&lt;=6+Assumptions!$H130,0,OFFSET(M126,,-Assumptions!$H130))</f>
        <v>0</v>
      </c>
      <c r="N126" s="624">
        <f ca="1">N89*Assumptions!O$18+IF(COLUMN(N126)&lt;=6+Assumptions!$H130,0,OFFSET(N126,,-Assumptions!$H130))</f>
        <v>0</v>
      </c>
      <c r="O126" s="624">
        <f ca="1">O89*Assumptions!P$18+IF(COLUMN(O126)&lt;=6+Assumptions!$H130,0,OFFSET(O126,,-Assumptions!$H130))</f>
        <v>0</v>
      </c>
      <c r="P126" s="624">
        <f ca="1">P89*Assumptions!Q$18+IF(COLUMN(P126)&lt;=6+Assumptions!$H130,0,OFFSET(P126,,-Assumptions!$H130))</f>
        <v>0</v>
      </c>
      <c r="Q126" s="624">
        <f ca="1">Q89*Assumptions!R$18+IF(COLUMN(Q126)&lt;=6+Assumptions!$H130,0,OFFSET(Q126,,-Assumptions!$H130))</f>
        <v>0</v>
      </c>
      <c r="R126" s="624">
        <f ca="1">R89*Assumptions!S$18+IF(COLUMN(R126)&lt;=6+Assumptions!$H130,0,OFFSET(R126,,-Assumptions!$H130))</f>
        <v>0</v>
      </c>
      <c r="S126" s="624">
        <f ca="1">S89*Assumptions!T$18+IF(COLUMN(S126)&lt;=6+Assumptions!$H130,0,OFFSET(S126,,-Assumptions!$H130))</f>
        <v>0</v>
      </c>
      <c r="T126" s="624">
        <f ca="1">T89*Assumptions!U$18+IF(COLUMN(T126)&lt;=6+Assumptions!$H130,0,OFFSET(T126,,-Assumptions!$H130))</f>
        <v>0</v>
      </c>
      <c r="U126" s="624">
        <f ca="1">U89*Assumptions!V$18+IF(COLUMN(U126)&lt;=6+Assumptions!$H130,0,OFFSET(U126,,-Assumptions!$H130))</f>
        <v>0</v>
      </c>
      <c r="V126" s="624">
        <f ca="1">V89*Assumptions!W$18+IF(COLUMN(V126)&lt;=6+Assumptions!$H130,0,OFFSET(V126,,-Assumptions!$H130))</f>
        <v>0</v>
      </c>
      <c r="W126" s="624">
        <f ca="1">W89*Assumptions!X$18+IF(COLUMN(W126)&lt;=6+Assumptions!$H130,0,OFFSET(W126,,-Assumptions!$H130))</f>
        <v>0</v>
      </c>
      <c r="X126" s="624">
        <f ca="1">X89*Assumptions!Y$18+IF(COLUMN(X126)&lt;=6+Assumptions!$H130,0,OFFSET(X126,,-Assumptions!$H130))</f>
        <v>0</v>
      </c>
      <c r="Y126" s="624">
        <f ca="1">Y89*Assumptions!Z$18+IF(COLUMN(Y126)&lt;=6+Assumptions!$H130,0,OFFSET(Y126,,-Assumptions!$H130))</f>
        <v>0</v>
      </c>
      <c r="Z126" s="624">
        <f ca="1">Z89*Assumptions!AA$18+IF(COLUMN(Z126)&lt;=6+Assumptions!$H130,0,OFFSET(Z126,,-Assumptions!$H130))</f>
        <v>0</v>
      </c>
      <c r="AA126" s="624">
        <f ca="1">AA89*Assumptions!AB$18+IF(COLUMN(AA126)&lt;=6+Assumptions!$H130,0,OFFSET(AA126,,-Assumptions!$H130))</f>
        <v>0</v>
      </c>
    </row>
    <row r="127" spans="1:27" s="620" customFormat="1" hidden="1" x14ac:dyDescent="0.45">
      <c r="A127" s="796"/>
      <c r="B127" s="797"/>
      <c r="C127" s="797" t="s">
        <v>114</v>
      </c>
      <c r="D127" s="797">
        <f t="shared" si="3"/>
        <v>0</v>
      </c>
      <c r="E127" s="798" t="s">
        <v>806</v>
      </c>
      <c r="F127" s="789"/>
      <c r="G127" s="799">
        <f ca="1">G90*Assumptions!H$18+IF(COLUMN(G127)&lt;=6+Assumptions!$H131,0,OFFSET(G127,,-Assumptions!$H131))</f>
        <v>0</v>
      </c>
      <c r="H127" s="799">
        <f ca="1">H90*Assumptions!I$18+IF(COLUMN(H127)&lt;=6+Assumptions!$H131,0,OFFSET(H127,,-Assumptions!$H131))</f>
        <v>0</v>
      </c>
      <c r="I127" s="799">
        <f ca="1">I90*Assumptions!J$18+IF(COLUMN(I127)&lt;=6+Assumptions!$H131,0,OFFSET(I127,,-Assumptions!$H131))</f>
        <v>0</v>
      </c>
      <c r="J127" s="799">
        <f ca="1">J90*Assumptions!K$18+IF(COLUMN(J127)&lt;=6+Assumptions!$H131,0,OFFSET(J127,,-Assumptions!$H131))</f>
        <v>0</v>
      </c>
      <c r="K127" s="800">
        <f ca="1">K90*Assumptions!L$18+IF(COLUMN(K127)&lt;=6+Assumptions!$H131,0,OFFSET(K127,,-Assumptions!$H131))</f>
        <v>0</v>
      </c>
      <c r="L127" s="624">
        <f ca="1">L90*Assumptions!M$18+IF(COLUMN(L127)&lt;=6+Assumptions!$H131,0,OFFSET(L127,,-Assumptions!$H131))</f>
        <v>0</v>
      </c>
      <c r="M127" s="624">
        <f ca="1">M90*Assumptions!N$18+IF(COLUMN(M127)&lt;=6+Assumptions!$H131,0,OFFSET(M127,,-Assumptions!$H131))</f>
        <v>0</v>
      </c>
      <c r="N127" s="624">
        <f ca="1">N90*Assumptions!O$18+IF(COLUMN(N127)&lt;=6+Assumptions!$H131,0,OFFSET(N127,,-Assumptions!$H131))</f>
        <v>0</v>
      </c>
      <c r="O127" s="624">
        <f ca="1">O90*Assumptions!P$18+IF(COLUMN(O127)&lt;=6+Assumptions!$H131,0,OFFSET(O127,,-Assumptions!$H131))</f>
        <v>0</v>
      </c>
      <c r="P127" s="624">
        <f ca="1">P90*Assumptions!Q$18+IF(COLUMN(P127)&lt;=6+Assumptions!$H131,0,OFFSET(P127,,-Assumptions!$H131))</f>
        <v>0</v>
      </c>
      <c r="Q127" s="624">
        <f ca="1">Q90*Assumptions!R$18+IF(COLUMN(Q127)&lt;=6+Assumptions!$H131,0,OFFSET(Q127,,-Assumptions!$H131))</f>
        <v>0</v>
      </c>
      <c r="R127" s="624">
        <f ca="1">R90*Assumptions!S$18+IF(COLUMN(R127)&lt;=6+Assumptions!$H131,0,OFFSET(R127,,-Assumptions!$H131))</f>
        <v>0</v>
      </c>
      <c r="S127" s="624">
        <f ca="1">S90*Assumptions!T$18+IF(COLUMN(S127)&lt;=6+Assumptions!$H131,0,OFFSET(S127,,-Assumptions!$H131))</f>
        <v>0</v>
      </c>
      <c r="T127" s="624">
        <f ca="1">T90*Assumptions!U$18+IF(COLUMN(T127)&lt;=6+Assumptions!$H131,0,OFFSET(T127,,-Assumptions!$H131))</f>
        <v>0</v>
      </c>
      <c r="U127" s="624">
        <f ca="1">U90*Assumptions!V$18+IF(COLUMN(U127)&lt;=6+Assumptions!$H131,0,OFFSET(U127,,-Assumptions!$H131))</f>
        <v>0</v>
      </c>
      <c r="V127" s="624">
        <f ca="1">V90*Assumptions!W$18+IF(COLUMN(V127)&lt;=6+Assumptions!$H131,0,OFFSET(V127,,-Assumptions!$H131))</f>
        <v>0</v>
      </c>
      <c r="W127" s="624">
        <f ca="1">W90*Assumptions!X$18+IF(COLUMN(W127)&lt;=6+Assumptions!$H131,0,OFFSET(W127,,-Assumptions!$H131))</f>
        <v>0</v>
      </c>
      <c r="X127" s="624">
        <f ca="1">X90*Assumptions!Y$18+IF(COLUMN(X127)&lt;=6+Assumptions!$H131,0,OFFSET(X127,,-Assumptions!$H131))</f>
        <v>0</v>
      </c>
      <c r="Y127" s="624">
        <f ca="1">Y90*Assumptions!Z$18+IF(COLUMN(Y127)&lt;=6+Assumptions!$H131,0,OFFSET(Y127,,-Assumptions!$H131))</f>
        <v>0</v>
      </c>
      <c r="Z127" s="624">
        <f ca="1">Z90*Assumptions!AA$18+IF(COLUMN(Z127)&lt;=6+Assumptions!$H131,0,OFFSET(Z127,,-Assumptions!$H131))</f>
        <v>0</v>
      </c>
      <c r="AA127" s="624">
        <f ca="1">AA90*Assumptions!AB$18+IF(COLUMN(AA127)&lt;=6+Assumptions!$H131,0,OFFSET(AA127,,-Assumptions!$H131))</f>
        <v>0</v>
      </c>
    </row>
    <row r="128" spans="1:27" s="620" customFormat="1" hidden="1" x14ac:dyDescent="0.45">
      <c r="A128" s="796"/>
      <c r="B128" s="797"/>
      <c r="C128" s="797" t="s">
        <v>114</v>
      </c>
      <c r="D128" s="797">
        <f t="shared" si="3"/>
        <v>0</v>
      </c>
      <c r="E128" s="798" t="s">
        <v>806</v>
      </c>
      <c r="F128" s="789"/>
      <c r="G128" s="799">
        <f ca="1">G91*Assumptions!H$18+IF(COLUMN(G128)&lt;=6+Assumptions!$H132,0,OFFSET(G128,,-Assumptions!$H132))</f>
        <v>0</v>
      </c>
      <c r="H128" s="799">
        <f ca="1">H91*Assumptions!I$18+IF(COLUMN(H128)&lt;=6+Assumptions!$H132,0,OFFSET(H128,,-Assumptions!$H132))</f>
        <v>0</v>
      </c>
      <c r="I128" s="799">
        <f ca="1">I91*Assumptions!J$18+IF(COLUMN(I128)&lt;=6+Assumptions!$H132,0,OFFSET(I128,,-Assumptions!$H132))</f>
        <v>0</v>
      </c>
      <c r="J128" s="799">
        <f ca="1">J91*Assumptions!K$18+IF(COLUMN(J128)&lt;=6+Assumptions!$H132,0,OFFSET(J128,,-Assumptions!$H132))</f>
        <v>0</v>
      </c>
      <c r="K128" s="800">
        <f ca="1">K91*Assumptions!L$18+IF(COLUMN(K128)&lt;=6+Assumptions!$H132,0,OFFSET(K128,,-Assumptions!$H132))</f>
        <v>0</v>
      </c>
      <c r="L128" s="624">
        <f ca="1">L91*Assumptions!M$18+IF(COLUMN(L128)&lt;=6+Assumptions!$H132,0,OFFSET(L128,,-Assumptions!$H132))</f>
        <v>0</v>
      </c>
      <c r="M128" s="624">
        <f ca="1">M91*Assumptions!N$18+IF(COLUMN(M128)&lt;=6+Assumptions!$H132,0,OFFSET(M128,,-Assumptions!$H132))</f>
        <v>0</v>
      </c>
      <c r="N128" s="624">
        <f ca="1">N91*Assumptions!O$18+IF(COLUMN(N128)&lt;=6+Assumptions!$H132,0,OFFSET(N128,,-Assumptions!$H132))</f>
        <v>0</v>
      </c>
      <c r="O128" s="624">
        <f ca="1">O91*Assumptions!P$18+IF(COLUMN(O128)&lt;=6+Assumptions!$H132,0,OFFSET(O128,,-Assumptions!$H132))</f>
        <v>0</v>
      </c>
      <c r="P128" s="624">
        <f ca="1">P91*Assumptions!Q$18+IF(COLUMN(P128)&lt;=6+Assumptions!$H132,0,OFFSET(P128,,-Assumptions!$H132))</f>
        <v>0</v>
      </c>
      <c r="Q128" s="624">
        <f ca="1">Q91*Assumptions!R$18+IF(COLUMN(Q128)&lt;=6+Assumptions!$H132,0,OFFSET(Q128,,-Assumptions!$H132))</f>
        <v>0</v>
      </c>
      <c r="R128" s="624">
        <f ca="1">R91*Assumptions!S$18+IF(COLUMN(R128)&lt;=6+Assumptions!$H132,0,OFFSET(R128,,-Assumptions!$H132))</f>
        <v>0</v>
      </c>
      <c r="S128" s="624">
        <f ca="1">S91*Assumptions!T$18+IF(COLUMN(S128)&lt;=6+Assumptions!$H132,0,OFFSET(S128,,-Assumptions!$H132))</f>
        <v>0</v>
      </c>
      <c r="T128" s="624">
        <f ca="1">T91*Assumptions!U$18+IF(COLUMN(T128)&lt;=6+Assumptions!$H132,0,OFFSET(T128,,-Assumptions!$H132))</f>
        <v>0</v>
      </c>
      <c r="U128" s="624">
        <f ca="1">U91*Assumptions!V$18+IF(COLUMN(U128)&lt;=6+Assumptions!$H132,0,OFFSET(U128,,-Assumptions!$H132))</f>
        <v>0</v>
      </c>
      <c r="V128" s="624">
        <f ca="1">V91*Assumptions!W$18+IF(COLUMN(V128)&lt;=6+Assumptions!$H132,0,OFFSET(V128,,-Assumptions!$H132))</f>
        <v>0</v>
      </c>
      <c r="W128" s="624">
        <f ca="1">W91*Assumptions!X$18+IF(COLUMN(W128)&lt;=6+Assumptions!$H132,0,OFFSET(W128,,-Assumptions!$H132))</f>
        <v>0</v>
      </c>
      <c r="X128" s="624">
        <f ca="1">X91*Assumptions!Y$18+IF(COLUMN(X128)&lt;=6+Assumptions!$H132,0,OFFSET(X128,,-Assumptions!$H132))</f>
        <v>0</v>
      </c>
      <c r="Y128" s="624">
        <f ca="1">Y91*Assumptions!Z$18+IF(COLUMN(Y128)&lt;=6+Assumptions!$H132,0,OFFSET(Y128,,-Assumptions!$H132))</f>
        <v>0</v>
      </c>
      <c r="Z128" s="624">
        <f ca="1">Z91*Assumptions!AA$18+IF(COLUMN(Z128)&lt;=6+Assumptions!$H132,0,OFFSET(Z128,,-Assumptions!$H132))</f>
        <v>0</v>
      </c>
      <c r="AA128" s="624">
        <f ca="1">AA91*Assumptions!AB$18+IF(COLUMN(AA128)&lt;=6+Assumptions!$H132,0,OFFSET(AA128,,-Assumptions!$H132))</f>
        <v>0</v>
      </c>
    </row>
    <row r="129" spans="1:27" s="620" customFormat="1" hidden="1" x14ac:dyDescent="0.45">
      <c r="A129" s="796"/>
      <c r="B129" s="797"/>
      <c r="C129" s="797" t="s">
        <v>114</v>
      </c>
      <c r="D129" s="797">
        <f t="shared" si="3"/>
        <v>0</v>
      </c>
      <c r="E129" s="798" t="s">
        <v>806</v>
      </c>
      <c r="F129" s="789"/>
      <c r="G129" s="799">
        <f ca="1">G92*Assumptions!H$18+IF(COLUMN(G129)&lt;=6+Assumptions!$H133,0,OFFSET(G129,,-Assumptions!$H133))</f>
        <v>0</v>
      </c>
      <c r="H129" s="799">
        <f ca="1">H92*Assumptions!I$18+IF(COLUMN(H129)&lt;=6+Assumptions!$H133,0,OFFSET(H129,,-Assumptions!$H133))</f>
        <v>0</v>
      </c>
      <c r="I129" s="799">
        <f ca="1">I92*Assumptions!J$18+IF(COLUMN(I129)&lt;=6+Assumptions!$H133,0,OFFSET(I129,,-Assumptions!$H133))</f>
        <v>0</v>
      </c>
      <c r="J129" s="799">
        <f ca="1">J92*Assumptions!K$18+IF(COLUMN(J129)&lt;=6+Assumptions!$H133,0,OFFSET(J129,,-Assumptions!$H133))</f>
        <v>0</v>
      </c>
      <c r="K129" s="800">
        <f ca="1">K92*Assumptions!L$18+IF(COLUMN(K129)&lt;=6+Assumptions!$H133,0,OFFSET(K129,,-Assumptions!$H133))</f>
        <v>0</v>
      </c>
      <c r="L129" s="624">
        <f ca="1">L92*Assumptions!M$18+IF(COLUMN(L129)&lt;=6+Assumptions!$H133,0,OFFSET(L129,,-Assumptions!$H133))</f>
        <v>0</v>
      </c>
      <c r="M129" s="624">
        <f ca="1">M92*Assumptions!N$18+IF(COLUMN(M129)&lt;=6+Assumptions!$H133,0,OFFSET(M129,,-Assumptions!$H133))</f>
        <v>0</v>
      </c>
      <c r="N129" s="624">
        <f ca="1">N92*Assumptions!O$18+IF(COLUMN(N129)&lt;=6+Assumptions!$H133,0,OFFSET(N129,,-Assumptions!$H133))</f>
        <v>0</v>
      </c>
      <c r="O129" s="624">
        <f ca="1">O92*Assumptions!P$18+IF(COLUMN(O129)&lt;=6+Assumptions!$H133,0,OFFSET(O129,,-Assumptions!$H133))</f>
        <v>0</v>
      </c>
      <c r="P129" s="624">
        <f ca="1">P92*Assumptions!Q$18+IF(COLUMN(P129)&lt;=6+Assumptions!$H133,0,OFFSET(P129,,-Assumptions!$H133))</f>
        <v>0</v>
      </c>
      <c r="Q129" s="624">
        <f ca="1">Q92*Assumptions!R$18+IF(COLUMN(Q129)&lt;=6+Assumptions!$H133,0,OFFSET(Q129,,-Assumptions!$H133))</f>
        <v>0</v>
      </c>
      <c r="R129" s="624">
        <f ca="1">R92*Assumptions!S$18+IF(COLUMN(R129)&lt;=6+Assumptions!$H133,0,OFFSET(R129,,-Assumptions!$H133))</f>
        <v>0</v>
      </c>
      <c r="S129" s="624">
        <f ca="1">S92*Assumptions!T$18+IF(COLUMN(S129)&lt;=6+Assumptions!$H133,0,OFFSET(S129,,-Assumptions!$H133))</f>
        <v>0</v>
      </c>
      <c r="T129" s="624">
        <f ca="1">T92*Assumptions!U$18+IF(COLUMN(T129)&lt;=6+Assumptions!$H133,0,OFFSET(T129,,-Assumptions!$H133))</f>
        <v>0</v>
      </c>
      <c r="U129" s="624">
        <f ca="1">U92*Assumptions!V$18+IF(COLUMN(U129)&lt;=6+Assumptions!$H133,0,OFFSET(U129,,-Assumptions!$H133))</f>
        <v>0</v>
      </c>
      <c r="V129" s="624">
        <f ca="1">V92*Assumptions!W$18+IF(COLUMN(V129)&lt;=6+Assumptions!$H133,0,OFFSET(V129,,-Assumptions!$H133))</f>
        <v>0</v>
      </c>
      <c r="W129" s="624">
        <f ca="1">W92*Assumptions!X$18+IF(COLUMN(W129)&lt;=6+Assumptions!$H133,0,OFFSET(W129,,-Assumptions!$H133))</f>
        <v>0</v>
      </c>
      <c r="X129" s="624">
        <f ca="1">X92*Assumptions!Y$18+IF(COLUMN(X129)&lt;=6+Assumptions!$H133,0,OFFSET(X129,,-Assumptions!$H133))</f>
        <v>0</v>
      </c>
      <c r="Y129" s="624">
        <f ca="1">Y92*Assumptions!Z$18+IF(COLUMN(Y129)&lt;=6+Assumptions!$H133,0,OFFSET(Y129,,-Assumptions!$H133))</f>
        <v>0</v>
      </c>
      <c r="Z129" s="624">
        <f ca="1">Z92*Assumptions!AA$18+IF(COLUMN(Z129)&lt;=6+Assumptions!$H133,0,OFFSET(Z129,,-Assumptions!$H133))</f>
        <v>0</v>
      </c>
      <c r="AA129" s="624">
        <f ca="1">AA92*Assumptions!AB$18+IF(COLUMN(AA129)&lt;=6+Assumptions!$H133,0,OFFSET(AA129,,-Assumptions!$H133))</f>
        <v>0</v>
      </c>
    </row>
    <row r="130" spans="1:27" s="620" customFormat="1" hidden="1" x14ac:dyDescent="0.45">
      <c r="A130" s="796"/>
      <c r="B130" s="797"/>
      <c r="C130" s="797" t="s">
        <v>114</v>
      </c>
      <c r="D130" s="797">
        <f t="shared" si="3"/>
        <v>0</v>
      </c>
      <c r="E130" s="798" t="s">
        <v>806</v>
      </c>
      <c r="F130" s="789"/>
      <c r="G130" s="799">
        <f ca="1">G93*Assumptions!H$18+IF(COLUMN(G130)&lt;=6+Assumptions!$H134,0,OFFSET(G130,,-Assumptions!$H134))</f>
        <v>0</v>
      </c>
      <c r="H130" s="799">
        <f ca="1">H93*Assumptions!I$18+IF(COLUMN(H130)&lt;=6+Assumptions!$H134,0,OFFSET(H130,,-Assumptions!$H134))</f>
        <v>0</v>
      </c>
      <c r="I130" s="799">
        <f ca="1">I93*Assumptions!J$18+IF(COLUMN(I130)&lt;=6+Assumptions!$H134,0,OFFSET(I130,,-Assumptions!$H134))</f>
        <v>0</v>
      </c>
      <c r="J130" s="799">
        <f ca="1">J93*Assumptions!K$18+IF(COLUMN(J130)&lt;=6+Assumptions!$H134,0,OFFSET(J130,,-Assumptions!$H134))</f>
        <v>0</v>
      </c>
      <c r="K130" s="800">
        <f ca="1">K93*Assumptions!L$18+IF(COLUMN(K130)&lt;=6+Assumptions!$H134,0,OFFSET(K130,,-Assumptions!$H134))</f>
        <v>0</v>
      </c>
      <c r="L130" s="624">
        <f ca="1">L93*Assumptions!M$18+IF(COLUMN(L130)&lt;=6+Assumptions!$H134,0,OFFSET(L130,,-Assumptions!$H134))</f>
        <v>0</v>
      </c>
      <c r="M130" s="624">
        <f ca="1">M93*Assumptions!N$18+IF(COLUMN(M130)&lt;=6+Assumptions!$H134,0,OFFSET(M130,,-Assumptions!$H134))</f>
        <v>0</v>
      </c>
      <c r="N130" s="624">
        <f ca="1">N93*Assumptions!O$18+IF(COLUMN(N130)&lt;=6+Assumptions!$H134,0,OFFSET(N130,,-Assumptions!$H134))</f>
        <v>0</v>
      </c>
      <c r="O130" s="624">
        <f ca="1">O93*Assumptions!P$18+IF(COLUMN(O130)&lt;=6+Assumptions!$H134,0,OFFSET(O130,,-Assumptions!$H134))</f>
        <v>0</v>
      </c>
      <c r="P130" s="624">
        <f ca="1">P93*Assumptions!Q$18+IF(COLUMN(P130)&lt;=6+Assumptions!$H134,0,OFFSET(P130,,-Assumptions!$H134))</f>
        <v>0</v>
      </c>
      <c r="Q130" s="624">
        <f ca="1">Q93*Assumptions!R$18+IF(COLUMN(Q130)&lt;=6+Assumptions!$H134,0,OFFSET(Q130,,-Assumptions!$H134))</f>
        <v>0</v>
      </c>
      <c r="R130" s="624">
        <f ca="1">R93*Assumptions!S$18+IF(COLUMN(R130)&lt;=6+Assumptions!$H134,0,OFFSET(R130,,-Assumptions!$H134))</f>
        <v>0</v>
      </c>
      <c r="S130" s="624">
        <f ca="1">S93*Assumptions!T$18+IF(COLUMN(S130)&lt;=6+Assumptions!$H134,0,OFFSET(S130,,-Assumptions!$H134))</f>
        <v>0</v>
      </c>
      <c r="T130" s="624">
        <f ca="1">T93*Assumptions!U$18+IF(COLUMN(T130)&lt;=6+Assumptions!$H134,0,OFFSET(T130,,-Assumptions!$H134))</f>
        <v>0</v>
      </c>
      <c r="U130" s="624">
        <f ca="1">U93*Assumptions!V$18+IF(COLUMN(U130)&lt;=6+Assumptions!$H134,0,OFFSET(U130,,-Assumptions!$H134))</f>
        <v>0</v>
      </c>
      <c r="V130" s="624">
        <f ca="1">V93*Assumptions!W$18+IF(COLUMN(V130)&lt;=6+Assumptions!$H134,0,OFFSET(V130,,-Assumptions!$H134))</f>
        <v>0</v>
      </c>
      <c r="W130" s="624">
        <f ca="1">W93*Assumptions!X$18+IF(COLUMN(W130)&lt;=6+Assumptions!$H134,0,OFFSET(W130,,-Assumptions!$H134))</f>
        <v>0</v>
      </c>
      <c r="X130" s="624">
        <f ca="1">X93*Assumptions!Y$18+IF(COLUMN(X130)&lt;=6+Assumptions!$H134,0,OFFSET(X130,,-Assumptions!$H134))</f>
        <v>0</v>
      </c>
      <c r="Y130" s="624">
        <f ca="1">Y93*Assumptions!Z$18+IF(COLUMN(Y130)&lt;=6+Assumptions!$H134,0,OFFSET(Y130,,-Assumptions!$H134))</f>
        <v>0</v>
      </c>
      <c r="Z130" s="624">
        <f ca="1">Z93*Assumptions!AA$18+IF(COLUMN(Z130)&lt;=6+Assumptions!$H134,0,OFFSET(Z130,,-Assumptions!$H134))</f>
        <v>0</v>
      </c>
      <c r="AA130" s="624">
        <f ca="1">AA93*Assumptions!AB$18+IF(COLUMN(AA130)&lt;=6+Assumptions!$H134,0,OFFSET(AA130,,-Assumptions!$H134))</f>
        <v>0</v>
      </c>
    </row>
    <row r="131" spans="1:27" s="620" customFormat="1" hidden="1" x14ac:dyDescent="0.45">
      <c r="A131" s="796"/>
      <c r="B131" s="797"/>
      <c r="C131" s="797" t="s">
        <v>114</v>
      </c>
      <c r="D131" s="797">
        <f>D94</f>
        <v>0</v>
      </c>
      <c r="E131" s="798" t="s">
        <v>806</v>
      </c>
      <c r="F131" s="789"/>
      <c r="G131" s="799">
        <f ca="1">G94*Assumptions!H$18+IF(COLUMN(G131)&lt;=6+Assumptions!$H135,0,OFFSET(G131,,-Assumptions!$H135))</f>
        <v>0</v>
      </c>
      <c r="H131" s="799">
        <f ca="1">H94*Assumptions!I$18+IF(COLUMN(H131)&lt;=6+Assumptions!$H135,0,OFFSET(H131,,-Assumptions!$H135))</f>
        <v>0</v>
      </c>
      <c r="I131" s="799">
        <f ca="1">I94*Assumptions!J$18+IF(COLUMN(I131)&lt;=6+Assumptions!$H135,0,OFFSET(I131,,-Assumptions!$H135))</f>
        <v>0</v>
      </c>
      <c r="J131" s="799">
        <f ca="1">J94*Assumptions!K$18+IF(COLUMN(J131)&lt;=6+Assumptions!$H135,0,OFFSET(J131,,-Assumptions!$H135))</f>
        <v>0</v>
      </c>
      <c r="K131" s="800">
        <f ca="1">K94*Assumptions!L$18+IF(COLUMN(K131)&lt;=6+Assumptions!$H135,0,OFFSET(K131,,-Assumptions!$H135))</f>
        <v>0</v>
      </c>
      <c r="L131" s="624">
        <f ca="1">L94*Assumptions!M$18+IF(COLUMN(L131)&lt;=6+Assumptions!$H135,0,OFFSET(L131,,-Assumptions!$H135))</f>
        <v>0</v>
      </c>
      <c r="M131" s="624">
        <f ca="1">M94*Assumptions!N$18+IF(COLUMN(M131)&lt;=6+Assumptions!$H135,0,OFFSET(M131,,-Assumptions!$H135))</f>
        <v>0</v>
      </c>
      <c r="N131" s="624">
        <f ca="1">N94*Assumptions!O$18+IF(COLUMN(N131)&lt;=6+Assumptions!$H135,0,OFFSET(N131,,-Assumptions!$H135))</f>
        <v>0</v>
      </c>
      <c r="O131" s="624">
        <f ca="1">O94*Assumptions!P$18+IF(COLUMN(O131)&lt;=6+Assumptions!$H135,0,OFFSET(O131,,-Assumptions!$H135))</f>
        <v>0</v>
      </c>
      <c r="P131" s="624">
        <f ca="1">P94*Assumptions!Q$18+IF(COLUMN(P131)&lt;=6+Assumptions!$H135,0,OFFSET(P131,,-Assumptions!$H135))</f>
        <v>0</v>
      </c>
      <c r="Q131" s="624">
        <f ca="1">Q94*Assumptions!R$18+IF(COLUMN(Q131)&lt;=6+Assumptions!$H135,0,OFFSET(Q131,,-Assumptions!$H135))</f>
        <v>0</v>
      </c>
      <c r="R131" s="624">
        <f ca="1">R94*Assumptions!S$18+IF(COLUMN(R131)&lt;=6+Assumptions!$H135,0,OFFSET(R131,,-Assumptions!$H135))</f>
        <v>0</v>
      </c>
      <c r="S131" s="624">
        <f ca="1">S94*Assumptions!T$18+IF(COLUMN(S131)&lt;=6+Assumptions!$H135,0,OFFSET(S131,,-Assumptions!$H135))</f>
        <v>0</v>
      </c>
      <c r="T131" s="624">
        <f ca="1">T94*Assumptions!U$18+IF(COLUMN(T131)&lt;=6+Assumptions!$H135,0,OFFSET(T131,,-Assumptions!$H135))</f>
        <v>0</v>
      </c>
      <c r="U131" s="624">
        <f ca="1">U94*Assumptions!V$18+IF(COLUMN(U131)&lt;=6+Assumptions!$H135,0,OFFSET(U131,,-Assumptions!$H135))</f>
        <v>0</v>
      </c>
      <c r="V131" s="624">
        <f ca="1">V94*Assumptions!W$18+IF(COLUMN(V131)&lt;=6+Assumptions!$H135,0,OFFSET(V131,,-Assumptions!$H135))</f>
        <v>0</v>
      </c>
      <c r="W131" s="624">
        <f ca="1">W94*Assumptions!X$18+IF(COLUMN(W131)&lt;=6+Assumptions!$H135,0,OFFSET(W131,,-Assumptions!$H135))</f>
        <v>0</v>
      </c>
      <c r="X131" s="624">
        <f ca="1">X94*Assumptions!Y$18+IF(COLUMN(X131)&lt;=6+Assumptions!$H135,0,OFFSET(X131,,-Assumptions!$H135))</f>
        <v>0</v>
      </c>
      <c r="Y131" s="624">
        <f ca="1">Y94*Assumptions!Z$18+IF(COLUMN(Y131)&lt;=6+Assumptions!$H135,0,OFFSET(Y131,,-Assumptions!$H135))</f>
        <v>0</v>
      </c>
      <c r="Z131" s="624">
        <f ca="1">Z94*Assumptions!AA$18+IF(COLUMN(Z131)&lt;=6+Assumptions!$H135,0,OFFSET(Z131,,-Assumptions!$H135))</f>
        <v>0</v>
      </c>
      <c r="AA131" s="624">
        <f ca="1">AA94*Assumptions!AB$18+IF(COLUMN(AA131)&lt;=6+Assumptions!$H135,0,OFFSET(AA131,,-Assumptions!$H135))</f>
        <v>0</v>
      </c>
    </row>
    <row r="132" spans="1:27" s="620" customFormat="1" hidden="1" x14ac:dyDescent="0.45">
      <c r="A132" s="796"/>
      <c r="B132" s="797"/>
      <c r="C132" s="797" t="s">
        <v>114</v>
      </c>
      <c r="D132" s="797">
        <f t="shared" si="3"/>
        <v>0</v>
      </c>
      <c r="E132" s="798" t="s">
        <v>806</v>
      </c>
      <c r="F132" s="789"/>
      <c r="G132" s="799">
        <f ca="1">G95*Assumptions!H$18+IF(COLUMN(G132)&lt;=6+Assumptions!$H136,0,OFFSET(G132,,-Assumptions!$H136))</f>
        <v>0</v>
      </c>
      <c r="H132" s="799">
        <f ca="1">H95*Assumptions!I$18+IF(COLUMN(H132)&lt;=6+Assumptions!$H136,0,OFFSET(H132,,-Assumptions!$H136))</f>
        <v>0</v>
      </c>
      <c r="I132" s="799">
        <f ca="1">I95*Assumptions!J$18+IF(COLUMN(I132)&lt;=6+Assumptions!$H136,0,OFFSET(I132,,-Assumptions!$H136))</f>
        <v>0</v>
      </c>
      <c r="J132" s="799">
        <f ca="1">J95*Assumptions!K$18+IF(COLUMN(J132)&lt;=6+Assumptions!$H136,0,OFFSET(J132,,-Assumptions!$H136))</f>
        <v>0</v>
      </c>
      <c r="K132" s="800">
        <f ca="1">K95*Assumptions!L$18+IF(COLUMN(K132)&lt;=6+Assumptions!$H136,0,OFFSET(K132,,-Assumptions!$H136))</f>
        <v>0</v>
      </c>
      <c r="L132" s="624">
        <f ca="1">L95*Assumptions!M$18+IF(COLUMN(L132)&lt;=6+Assumptions!$H136,0,OFFSET(L132,,-Assumptions!$H136))</f>
        <v>0</v>
      </c>
      <c r="M132" s="624">
        <f ca="1">M95*Assumptions!N$18+IF(COLUMN(M132)&lt;=6+Assumptions!$H136,0,OFFSET(M132,,-Assumptions!$H136))</f>
        <v>0</v>
      </c>
      <c r="N132" s="624">
        <f ca="1">N95*Assumptions!O$18+IF(COLUMN(N132)&lt;=6+Assumptions!$H136,0,OFFSET(N132,,-Assumptions!$H136))</f>
        <v>0</v>
      </c>
      <c r="O132" s="624">
        <f ca="1">O95*Assumptions!P$18+IF(COLUMN(O132)&lt;=6+Assumptions!$H136,0,OFFSET(O132,,-Assumptions!$H136))</f>
        <v>0</v>
      </c>
      <c r="P132" s="624">
        <f ca="1">P95*Assumptions!Q$18+IF(COLUMN(P132)&lt;=6+Assumptions!$H136,0,OFFSET(P132,,-Assumptions!$H136))</f>
        <v>0</v>
      </c>
      <c r="Q132" s="624">
        <f ca="1">Q95*Assumptions!R$18+IF(COLUMN(Q132)&lt;=6+Assumptions!$H136,0,OFFSET(Q132,,-Assumptions!$H136))</f>
        <v>0</v>
      </c>
      <c r="R132" s="624">
        <f ca="1">R95*Assumptions!S$18+IF(COLUMN(R132)&lt;=6+Assumptions!$H136,0,OFFSET(R132,,-Assumptions!$H136))</f>
        <v>0</v>
      </c>
      <c r="S132" s="624">
        <f ca="1">S95*Assumptions!T$18+IF(COLUMN(S132)&lt;=6+Assumptions!$H136,0,OFFSET(S132,,-Assumptions!$H136))</f>
        <v>0</v>
      </c>
      <c r="T132" s="624">
        <f ca="1">T95*Assumptions!U$18+IF(COLUMN(T132)&lt;=6+Assumptions!$H136,0,OFFSET(T132,,-Assumptions!$H136))</f>
        <v>0</v>
      </c>
      <c r="U132" s="624">
        <f ca="1">U95*Assumptions!V$18+IF(COLUMN(U132)&lt;=6+Assumptions!$H136,0,OFFSET(U132,,-Assumptions!$H136))</f>
        <v>0</v>
      </c>
      <c r="V132" s="624">
        <f ca="1">V95*Assumptions!W$18+IF(COLUMN(V132)&lt;=6+Assumptions!$H136,0,OFFSET(V132,,-Assumptions!$H136))</f>
        <v>0</v>
      </c>
      <c r="W132" s="624">
        <f ca="1">W95*Assumptions!X$18+IF(COLUMN(W132)&lt;=6+Assumptions!$H136,0,OFFSET(W132,,-Assumptions!$H136))</f>
        <v>0</v>
      </c>
      <c r="X132" s="624">
        <f ca="1">X95*Assumptions!Y$18+IF(COLUMN(X132)&lt;=6+Assumptions!$H136,0,OFFSET(X132,,-Assumptions!$H136))</f>
        <v>0</v>
      </c>
      <c r="Y132" s="624">
        <f ca="1">Y95*Assumptions!Z$18+IF(COLUMN(Y132)&lt;=6+Assumptions!$H136,0,OFFSET(Y132,,-Assumptions!$H136))</f>
        <v>0</v>
      </c>
      <c r="Z132" s="624">
        <f ca="1">Z95*Assumptions!AA$18+IF(COLUMN(Z132)&lt;=6+Assumptions!$H136,0,OFFSET(Z132,,-Assumptions!$H136))</f>
        <v>0</v>
      </c>
      <c r="AA132" s="624">
        <f ca="1">AA95*Assumptions!AB$18+IF(COLUMN(AA132)&lt;=6+Assumptions!$H136,0,OFFSET(AA132,,-Assumptions!$H136))</f>
        <v>0</v>
      </c>
    </row>
    <row r="133" spans="1:27" s="620" customFormat="1" hidden="1" x14ac:dyDescent="0.45">
      <c r="A133" s="796"/>
      <c r="B133" s="797"/>
      <c r="C133" s="797" t="s">
        <v>114</v>
      </c>
      <c r="D133" s="797">
        <f t="shared" si="3"/>
        <v>0</v>
      </c>
      <c r="E133" s="798" t="s">
        <v>806</v>
      </c>
      <c r="F133" s="789"/>
      <c r="G133" s="799">
        <f ca="1">G96*Assumptions!H$18+IF(COLUMN(G133)&lt;=6+Assumptions!$H137,0,OFFSET(G133,,-Assumptions!$H137))</f>
        <v>0</v>
      </c>
      <c r="H133" s="799">
        <f ca="1">H96*Assumptions!I$18+IF(COLUMN(H133)&lt;=6+Assumptions!$H137,0,OFFSET(H133,,-Assumptions!$H137))</f>
        <v>0</v>
      </c>
      <c r="I133" s="799">
        <f ca="1">I96*Assumptions!J$18+IF(COLUMN(I133)&lt;=6+Assumptions!$H137,0,OFFSET(I133,,-Assumptions!$H137))</f>
        <v>0</v>
      </c>
      <c r="J133" s="799">
        <f ca="1">J96*Assumptions!K$18+IF(COLUMN(J133)&lt;=6+Assumptions!$H137,0,OFFSET(J133,,-Assumptions!$H137))</f>
        <v>0</v>
      </c>
      <c r="K133" s="800">
        <f ca="1">K96*Assumptions!L$18+IF(COLUMN(K133)&lt;=6+Assumptions!$H137,0,OFFSET(K133,,-Assumptions!$H137))</f>
        <v>0</v>
      </c>
      <c r="L133" s="624">
        <f ca="1">L96*Assumptions!M$18+IF(COLUMN(L133)&lt;=6+Assumptions!$H137,0,OFFSET(L133,,-Assumptions!$H137))</f>
        <v>0</v>
      </c>
      <c r="M133" s="624">
        <f ca="1">M96*Assumptions!N$18+IF(COLUMN(M133)&lt;=6+Assumptions!$H137,0,OFFSET(M133,,-Assumptions!$H137))</f>
        <v>0</v>
      </c>
      <c r="N133" s="624">
        <f ca="1">N96*Assumptions!O$18+IF(COLUMN(N133)&lt;=6+Assumptions!$H137,0,OFFSET(N133,,-Assumptions!$H137))</f>
        <v>0</v>
      </c>
      <c r="O133" s="624">
        <f ca="1">O96*Assumptions!P$18+IF(COLUMN(O133)&lt;=6+Assumptions!$H137,0,OFFSET(O133,,-Assumptions!$H137))</f>
        <v>0</v>
      </c>
      <c r="P133" s="624">
        <f ca="1">P96*Assumptions!Q$18+IF(COLUMN(P133)&lt;=6+Assumptions!$H137,0,OFFSET(P133,,-Assumptions!$H137))</f>
        <v>0</v>
      </c>
      <c r="Q133" s="624">
        <f ca="1">Q96*Assumptions!R$18+IF(COLUMN(Q133)&lt;=6+Assumptions!$H137,0,OFFSET(Q133,,-Assumptions!$H137))</f>
        <v>0</v>
      </c>
      <c r="R133" s="624">
        <f ca="1">R96*Assumptions!S$18+IF(COLUMN(R133)&lt;=6+Assumptions!$H137,0,OFFSET(R133,,-Assumptions!$H137))</f>
        <v>0</v>
      </c>
      <c r="S133" s="624">
        <f ca="1">S96*Assumptions!T$18+IF(COLUMN(S133)&lt;=6+Assumptions!$H137,0,OFFSET(S133,,-Assumptions!$H137))</f>
        <v>0</v>
      </c>
      <c r="T133" s="624">
        <f ca="1">T96*Assumptions!U$18+IF(COLUMN(T133)&lt;=6+Assumptions!$H137,0,OFFSET(T133,,-Assumptions!$H137))</f>
        <v>0</v>
      </c>
      <c r="U133" s="624">
        <f ca="1">U96*Assumptions!V$18+IF(COLUMN(U133)&lt;=6+Assumptions!$H137,0,OFFSET(U133,,-Assumptions!$H137))</f>
        <v>0</v>
      </c>
      <c r="V133" s="624">
        <f ca="1">V96*Assumptions!W$18+IF(COLUMN(V133)&lt;=6+Assumptions!$H137,0,OFFSET(V133,,-Assumptions!$H137))</f>
        <v>0</v>
      </c>
      <c r="W133" s="624">
        <f ca="1">W96*Assumptions!X$18+IF(COLUMN(W133)&lt;=6+Assumptions!$H137,0,OFFSET(W133,,-Assumptions!$H137))</f>
        <v>0</v>
      </c>
      <c r="X133" s="624">
        <f ca="1">X96*Assumptions!Y$18+IF(COLUMN(X133)&lt;=6+Assumptions!$H137,0,OFFSET(X133,,-Assumptions!$H137))</f>
        <v>0</v>
      </c>
      <c r="Y133" s="624">
        <f ca="1">Y96*Assumptions!Z$18+IF(COLUMN(Y133)&lt;=6+Assumptions!$H137,0,OFFSET(Y133,,-Assumptions!$H137))</f>
        <v>0</v>
      </c>
      <c r="Z133" s="624">
        <f ca="1">Z96*Assumptions!AA$18+IF(COLUMN(Z133)&lt;=6+Assumptions!$H137,0,OFFSET(Z133,,-Assumptions!$H137))</f>
        <v>0</v>
      </c>
      <c r="AA133" s="624">
        <f ca="1">AA96*Assumptions!AB$18+IF(COLUMN(AA133)&lt;=6+Assumptions!$H137,0,OFFSET(AA133,,-Assumptions!$H137))</f>
        <v>0</v>
      </c>
    </row>
    <row r="134" spans="1:27" s="620" customFormat="1" hidden="1" x14ac:dyDescent="0.45">
      <c r="A134" s="796"/>
      <c r="B134" s="797"/>
      <c r="C134" s="797" t="s">
        <v>114</v>
      </c>
      <c r="D134" s="797">
        <f t="shared" si="3"/>
        <v>0</v>
      </c>
      <c r="E134" s="798" t="s">
        <v>806</v>
      </c>
      <c r="F134" s="789"/>
      <c r="G134" s="799">
        <f ca="1">G97*Assumptions!H$18+IF(COLUMN(G134)&lt;=6+Assumptions!$H138,0,OFFSET(G134,,-Assumptions!$H138))</f>
        <v>0</v>
      </c>
      <c r="H134" s="799">
        <f ca="1">H97*Assumptions!I$18+IF(COLUMN(H134)&lt;=6+Assumptions!$H138,0,OFFSET(H134,,-Assumptions!$H138))</f>
        <v>0</v>
      </c>
      <c r="I134" s="799">
        <f ca="1">I97*Assumptions!J$18+IF(COLUMN(I134)&lt;=6+Assumptions!$H138,0,OFFSET(I134,,-Assumptions!$H138))</f>
        <v>0</v>
      </c>
      <c r="J134" s="799">
        <f ca="1">J97*Assumptions!K$18+IF(COLUMN(J134)&lt;=6+Assumptions!$H138,0,OFFSET(J134,,-Assumptions!$H138))</f>
        <v>0</v>
      </c>
      <c r="K134" s="800">
        <f ca="1">K97*Assumptions!L$18+IF(COLUMN(K134)&lt;=6+Assumptions!$H138,0,OFFSET(K134,,-Assumptions!$H138))</f>
        <v>0</v>
      </c>
      <c r="L134" s="624">
        <f ca="1">L97*Assumptions!M$18+IF(COLUMN(L134)&lt;=6+Assumptions!$H138,0,OFFSET(L134,,-Assumptions!$H138))</f>
        <v>0</v>
      </c>
      <c r="M134" s="624">
        <f ca="1">M97*Assumptions!N$18+IF(COLUMN(M134)&lt;=6+Assumptions!$H138,0,OFFSET(M134,,-Assumptions!$H138))</f>
        <v>0</v>
      </c>
      <c r="N134" s="624">
        <f ca="1">N97*Assumptions!O$18+IF(COLUMN(N134)&lt;=6+Assumptions!$H138,0,OFFSET(N134,,-Assumptions!$H138))</f>
        <v>0</v>
      </c>
      <c r="O134" s="624">
        <f ca="1">O97*Assumptions!P$18+IF(COLUMN(O134)&lt;=6+Assumptions!$H138,0,OFFSET(O134,,-Assumptions!$H138))</f>
        <v>0</v>
      </c>
      <c r="P134" s="624">
        <f ca="1">P97*Assumptions!Q$18+IF(COLUMN(P134)&lt;=6+Assumptions!$H138,0,OFFSET(P134,,-Assumptions!$H138))</f>
        <v>0</v>
      </c>
      <c r="Q134" s="624">
        <f ca="1">Q97*Assumptions!R$18+IF(COLUMN(Q134)&lt;=6+Assumptions!$H138,0,OFFSET(Q134,,-Assumptions!$H138))</f>
        <v>0</v>
      </c>
      <c r="R134" s="624">
        <f ca="1">R97*Assumptions!S$18+IF(COLUMN(R134)&lt;=6+Assumptions!$H138,0,OFFSET(R134,,-Assumptions!$H138))</f>
        <v>0</v>
      </c>
      <c r="S134" s="624">
        <f ca="1">S97*Assumptions!T$18+IF(COLUMN(S134)&lt;=6+Assumptions!$H138,0,OFFSET(S134,,-Assumptions!$H138))</f>
        <v>0</v>
      </c>
      <c r="T134" s="624">
        <f ca="1">T97*Assumptions!U$18+IF(COLUMN(T134)&lt;=6+Assumptions!$H138,0,OFFSET(T134,,-Assumptions!$H138))</f>
        <v>0</v>
      </c>
      <c r="U134" s="624">
        <f ca="1">U97*Assumptions!V$18+IF(COLUMN(U134)&lt;=6+Assumptions!$H138,0,OFFSET(U134,,-Assumptions!$H138))</f>
        <v>0</v>
      </c>
      <c r="V134" s="624">
        <f ca="1">V97*Assumptions!W$18+IF(COLUMN(V134)&lt;=6+Assumptions!$H138,0,OFFSET(V134,,-Assumptions!$H138))</f>
        <v>0</v>
      </c>
      <c r="W134" s="624">
        <f ca="1">W97*Assumptions!X$18+IF(COLUMN(W134)&lt;=6+Assumptions!$H138,0,OFFSET(W134,,-Assumptions!$H138))</f>
        <v>0</v>
      </c>
      <c r="X134" s="624">
        <f ca="1">X97*Assumptions!Y$18+IF(COLUMN(X134)&lt;=6+Assumptions!$H138,0,OFFSET(X134,,-Assumptions!$H138))</f>
        <v>0</v>
      </c>
      <c r="Y134" s="624">
        <f ca="1">Y97*Assumptions!Z$18+IF(COLUMN(Y134)&lt;=6+Assumptions!$H138,0,OFFSET(Y134,,-Assumptions!$H138))</f>
        <v>0</v>
      </c>
      <c r="Z134" s="624">
        <f ca="1">Z97*Assumptions!AA$18+IF(COLUMN(Z134)&lt;=6+Assumptions!$H138,0,OFFSET(Z134,,-Assumptions!$H138))</f>
        <v>0</v>
      </c>
      <c r="AA134" s="624">
        <f ca="1">AA97*Assumptions!AB$18+IF(COLUMN(AA134)&lt;=6+Assumptions!$H138,0,OFFSET(AA134,,-Assumptions!$H138))</f>
        <v>0</v>
      </c>
    </row>
    <row r="135" spans="1:27" s="620" customFormat="1" hidden="1" x14ac:dyDescent="0.45">
      <c r="A135" s="796"/>
      <c r="B135" s="797"/>
      <c r="C135" s="797" t="s">
        <v>114</v>
      </c>
      <c r="D135" s="797">
        <f t="shared" ref="D135:D140" si="4">D98</f>
        <v>0</v>
      </c>
      <c r="E135" s="798" t="s">
        <v>806</v>
      </c>
      <c r="F135" s="789"/>
      <c r="G135" s="799">
        <f ca="1">G98*Assumptions!H$18+IF(COLUMN(G135)&lt;=6+Assumptions!$H139,0,OFFSET(G135,,-Assumptions!$H139))</f>
        <v>0</v>
      </c>
      <c r="H135" s="799">
        <f ca="1">H98*Assumptions!I$18+IF(COLUMN(H135)&lt;=6+Assumptions!$H139,0,OFFSET(H135,,-Assumptions!$H139))</f>
        <v>0</v>
      </c>
      <c r="I135" s="799">
        <f ca="1">I98*Assumptions!J$18+IF(COLUMN(I135)&lt;=6+Assumptions!$H139,0,OFFSET(I135,,-Assumptions!$H139))</f>
        <v>0</v>
      </c>
      <c r="J135" s="799">
        <f ca="1">J98*Assumptions!K$18+IF(COLUMN(J135)&lt;=6+Assumptions!$H139,0,OFFSET(J135,,-Assumptions!$H139))</f>
        <v>0</v>
      </c>
      <c r="K135" s="800">
        <f ca="1">K98*Assumptions!L$18+IF(COLUMN(K135)&lt;=6+Assumptions!$H139,0,OFFSET(K135,,-Assumptions!$H139))</f>
        <v>0</v>
      </c>
      <c r="L135" s="624">
        <f ca="1">L98*Assumptions!M$18+IF(COLUMN(L135)&lt;=6+Assumptions!$H139,0,OFFSET(L135,,-Assumptions!$H139))</f>
        <v>0</v>
      </c>
      <c r="M135" s="624">
        <f ca="1">M98*Assumptions!N$18+IF(COLUMN(M135)&lt;=6+Assumptions!$H139,0,OFFSET(M135,,-Assumptions!$H139))</f>
        <v>0</v>
      </c>
      <c r="N135" s="624">
        <f ca="1">N98*Assumptions!O$18+IF(COLUMN(N135)&lt;=6+Assumptions!$H139,0,OFFSET(N135,,-Assumptions!$H139))</f>
        <v>0</v>
      </c>
      <c r="O135" s="624">
        <f ca="1">O98*Assumptions!P$18+IF(COLUMN(O135)&lt;=6+Assumptions!$H139,0,OFFSET(O135,,-Assumptions!$H139))</f>
        <v>0</v>
      </c>
      <c r="P135" s="624">
        <f ca="1">P98*Assumptions!Q$18+IF(COLUMN(P135)&lt;=6+Assumptions!$H139,0,OFFSET(P135,,-Assumptions!$H139))</f>
        <v>0</v>
      </c>
      <c r="Q135" s="624">
        <f ca="1">Q98*Assumptions!R$18+IF(COLUMN(Q135)&lt;=6+Assumptions!$H139,0,OFFSET(Q135,,-Assumptions!$H139))</f>
        <v>0</v>
      </c>
      <c r="R135" s="624">
        <f ca="1">R98*Assumptions!S$18+IF(COLUMN(R135)&lt;=6+Assumptions!$H139,0,OFFSET(R135,,-Assumptions!$H139))</f>
        <v>0</v>
      </c>
      <c r="S135" s="624">
        <f ca="1">S98*Assumptions!T$18+IF(COLUMN(S135)&lt;=6+Assumptions!$H139,0,OFFSET(S135,,-Assumptions!$H139))</f>
        <v>0</v>
      </c>
      <c r="T135" s="624">
        <f ca="1">T98*Assumptions!U$18+IF(COLUMN(T135)&lt;=6+Assumptions!$H139,0,OFFSET(T135,,-Assumptions!$H139))</f>
        <v>0</v>
      </c>
      <c r="U135" s="624">
        <f ca="1">U98*Assumptions!V$18+IF(COLUMN(U135)&lt;=6+Assumptions!$H139,0,OFFSET(U135,,-Assumptions!$H139))</f>
        <v>0</v>
      </c>
      <c r="V135" s="624">
        <f ca="1">V98*Assumptions!W$18+IF(COLUMN(V135)&lt;=6+Assumptions!$H139,0,OFFSET(V135,,-Assumptions!$H139))</f>
        <v>0</v>
      </c>
      <c r="W135" s="624">
        <f ca="1">W98*Assumptions!X$18+IF(COLUMN(W135)&lt;=6+Assumptions!$H139,0,OFFSET(W135,,-Assumptions!$H139))</f>
        <v>0</v>
      </c>
      <c r="X135" s="624">
        <f ca="1">X98*Assumptions!Y$18+IF(COLUMN(X135)&lt;=6+Assumptions!$H139,0,OFFSET(X135,,-Assumptions!$H139))</f>
        <v>0</v>
      </c>
      <c r="Y135" s="624">
        <f ca="1">Y98*Assumptions!Z$18+IF(COLUMN(Y135)&lt;=6+Assumptions!$H139,0,OFFSET(Y135,,-Assumptions!$H139))</f>
        <v>0</v>
      </c>
      <c r="Z135" s="624">
        <f ca="1">Z98*Assumptions!AA$18+IF(COLUMN(Z135)&lt;=6+Assumptions!$H139,0,OFFSET(Z135,,-Assumptions!$H139))</f>
        <v>0</v>
      </c>
      <c r="AA135" s="624">
        <f ca="1">AA98*Assumptions!AB$18+IF(COLUMN(AA135)&lt;=6+Assumptions!$H139,0,OFFSET(AA135,,-Assumptions!$H139))</f>
        <v>0</v>
      </c>
    </row>
    <row r="136" spans="1:27" s="620" customFormat="1" hidden="1" x14ac:dyDescent="0.45">
      <c r="A136" s="796"/>
      <c r="B136" s="797"/>
      <c r="C136" s="797" t="s">
        <v>114</v>
      </c>
      <c r="D136" s="797">
        <f t="shared" si="4"/>
        <v>0</v>
      </c>
      <c r="E136" s="798" t="s">
        <v>806</v>
      </c>
      <c r="F136" s="789"/>
      <c r="G136" s="799">
        <f ca="1">G99*Assumptions!H$18+IF(COLUMN(G136)&lt;=6+Assumptions!$H140,0,OFFSET(G136,,-Assumptions!$H140))</f>
        <v>0</v>
      </c>
      <c r="H136" s="799">
        <f ca="1">H99*Assumptions!I$18+IF(COLUMN(H136)&lt;=6+Assumptions!$H140,0,OFFSET(H136,,-Assumptions!$H140))</f>
        <v>0</v>
      </c>
      <c r="I136" s="799">
        <f ca="1">I99*Assumptions!J$18+IF(COLUMN(I136)&lt;=6+Assumptions!$H140,0,OFFSET(I136,,-Assumptions!$H140))</f>
        <v>0</v>
      </c>
      <c r="J136" s="799">
        <f ca="1">J99*Assumptions!K$18+IF(COLUMN(J136)&lt;=6+Assumptions!$H140,0,OFFSET(J136,,-Assumptions!$H140))</f>
        <v>0</v>
      </c>
      <c r="K136" s="800">
        <f ca="1">K99*Assumptions!L$18+IF(COLUMN(K136)&lt;=6+Assumptions!$H140,0,OFFSET(K136,,-Assumptions!$H140))</f>
        <v>0</v>
      </c>
      <c r="L136" s="624">
        <f ca="1">L99*Assumptions!M$18+IF(COLUMN(L136)&lt;=6+Assumptions!$H140,0,OFFSET(L136,,-Assumptions!$H140))</f>
        <v>0</v>
      </c>
      <c r="M136" s="624">
        <f ca="1">M99*Assumptions!N$18+IF(COLUMN(M136)&lt;=6+Assumptions!$H140,0,OFFSET(M136,,-Assumptions!$H140))</f>
        <v>0</v>
      </c>
      <c r="N136" s="624">
        <f ca="1">N99*Assumptions!O$18+IF(COLUMN(N136)&lt;=6+Assumptions!$H140,0,OFFSET(N136,,-Assumptions!$H140))</f>
        <v>0</v>
      </c>
      <c r="O136" s="624">
        <f ca="1">O99*Assumptions!P$18+IF(COLUMN(O136)&lt;=6+Assumptions!$H140,0,OFFSET(O136,,-Assumptions!$H140))</f>
        <v>0</v>
      </c>
      <c r="P136" s="624">
        <f ca="1">P99*Assumptions!Q$18+IF(COLUMN(P136)&lt;=6+Assumptions!$H140,0,OFFSET(P136,,-Assumptions!$H140))</f>
        <v>0</v>
      </c>
      <c r="Q136" s="624">
        <f ca="1">Q99*Assumptions!R$18+IF(COLUMN(Q136)&lt;=6+Assumptions!$H140,0,OFFSET(Q136,,-Assumptions!$H140))</f>
        <v>0</v>
      </c>
      <c r="R136" s="624">
        <f ca="1">R99*Assumptions!S$18+IF(COLUMN(R136)&lt;=6+Assumptions!$H140,0,OFFSET(R136,,-Assumptions!$H140))</f>
        <v>0</v>
      </c>
      <c r="S136" s="624">
        <f ca="1">S99*Assumptions!T$18+IF(COLUMN(S136)&lt;=6+Assumptions!$H140,0,OFFSET(S136,,-Assumptions!$H140))</f>
        <v>0</v>
      </c>
      <c r="T136" s="624">
        <f ca="1">T99*Assumptions!U$18+IF(COLUMN(T136)&lt;=6+Assumptions!$H140,0,OFFSET(T136,,-Assumptions!$H140))</f>
        <v>0</v>
      </c>
      <c r="U136" s="624">
        <f ca="1">U99*Assumptions!V$18+IF(COLUMN(U136)&lt;=6+Assumptions!$H140,0,OFFSET(U136,,-Assumptions!$H140))</f>
        <v>0</v>
      </c>
      <c r="V136" s="624">
        <f ca="1">V99*Assumptions!W$18+IF(COLUMN(V136)&lt;=6+Assumptions!$H140,0,OFFSET(V136,,-Assumptions!$H140))</f>
        <v>0</v>
      </c>
      <c r="W136" s="624">
        <f ca="1">W99*Assumptions!X$18+IF(COLUMN(W136)&lt;=6+Assumptions!$H140,0,OFFSET(W136,,-Assumptions!$H140))</f>
        <v>0</v>
      </c>
      <c r="X136" s="624">
        <f ca="1">X99*Assumptions!Y$18+IF(COLUMN(X136)&lt;=6+Assumptions!$H140,0,OFFSET(X136,,-Assumptions!$H140))</f>
        <v>0</v>
      </c>
      <c r="Y136" s="624">
        <f ca="1">Y99*Assumptions!Z$18+IF(COLUMN(Y136)&lt;=6+Assumptions!$H140,0,OFFSET(Y136,,-Assumptions!$H140))</f>
        <v>0</v>
      </c>
      <c r="Z136" s="624">
        <f ca="1">Z99*Assumptions!AA$18+IF(COLUMN(Z136)&lt;=6+Assumptions!$H140,0,OFFSET(Z136,,-Assumptions!$H140))</f>
        <v>0</v>
      </c>
      <c r="AA136" s="624">
        <f ca="1">AA99*Assumptions!AB$18+IF(COLUMN(AA136)&lt;=6+Assumptions!$H140,0,OFFSET(AA136,,-Assumptions!$H140))</f>
        <v>0</v>
      </c>
    </row>
    <row r="137" spans="1:27" s="620" customFormat="1" hidden="1" x14ac:dyDescent="0.45">
      <c r="A137" s="796"/>
      <c r="B137" s="797"/>
      <c r="C137" s="797" t="s">
        <v>114</v>
      </c>
      <c r="D137" s="797">
        <f t="shared" si="4"/>
        <v>0</v>
      </c>
      <c r="E137" s="798" t="s">
        <v>806</v>
      </c>
      <c r="F137" s="789"/>
      <c r="G137" s="799">
        <f ca="1">G100*Assumptions!H$18+IF(COLUMN(G137)&lt;=6+Assumptions!$H141,0,OFFSET(G137,,-Assumptions!$H141))</f>
        <v>0</v>
      </c>
      <c r="H137" s="799">
        <f ca="1">H100*Assumptions!I$18+IF(COLUMN(H137)&lt;=6+Assumptions!$H141,0,OFFSET(H137,,-Assumptions!$H141))</f>
        <v>0</v>
      </c>
      <c r="I137" s="799">
        <f ca="1">I100*Assumptions!J$18+IF(COLUMN(I137)&lt;=6+Assumptions!$H141,0,OFFSET(I137,,-Assumptions!$H141))</f>
        <v>0</v>
      </c>
      <c r="J137" s="799">
        <f ca="1">J100*Assumptions!K$18+IF(COLUMN(J137)&lt;=6+Assumptions!$H141,0,OFFSET(J137,,-Assumptions!$H141))</f>
        <v>0</v>
      </c>
      <c r="K137" s="800">
        <f ca="1">K100*Assumptions!L$18+IF(COLUMN(K137)&lt;=6+Assumptions!$H141,0,OFFSET(K137,,-Assumptions!$H141))</f>
        <v>0</v>
      </c>
      <c r="L137" s="624">
        <f ca="1">L100*Assumptions!M$18+IF(COLUMN(L137)&lt;=6+Assumptions!$H141,0,OFFSET(L137,,-Assumptions!$H141))</f>
        <v>0</v>
      </c>
      <c r="M137" s="624">
        <f ca="1">M100*Assumptions!N$18+IF(COLUMN(M137)&lt;=6+Assumptions!$H141,0,OFFSET(M137,,-Assumptions!$H141))</f>
        <v>0</v>
      </c>
      <c r="N137" s="624">
        <f ca="1">N100*Assumptions!O$18+IF(COLUMN(N137)&lt;=6+Assumptions!$H141,0,OFFSET(N137,,-Assumptions!$H141))</f>
        <v>0</v>
      </c>
      <c r="O137" s="624">
        <f ca="1">O100*Assumptions!P$18+IF(COLUMN(O137)&lt;=6+Assumptions!$H141,0,OFFSET(O137,,-Assumptions!$H141))</f>
        <v>0</v>
      </c>
      <c r="P137" s="624">
        <f ca="1">P100*Assumptions!Q$18+IF(COLUMN(P137)&lt;=6+Assumptions!$H141,0,OFFSET(P137,,-Assumptions!$H141))</f>
        <v>0</v>
      </c>
      <c r="Q137" s="624">
        <f ca="1">Q100*Assumptions!R$18+IF(COLUMN(Q137)&lt;=6+Assumptions!$H141,0,OFFSET(Q137,,-Assumptions!$H141))</f>
        <v>0</v>
      </c>
      <c r="R137" s="624">
        <f ca="1">R100*Assumptions!S$18+IF(COLUMN(R137)&lt;=6+Assumptions!$H141,0,OFFSET(R137,,-Assumptions!$H141))</f>
        <v>0</v>
      </c>
      <c r="S137" s="624">
        <f ca="1">S100*Assumptions!T$18+IF(COLUMN(S137)&lt;=6+Assumptions!$H141,0,OFFSET(S137,,-Assumptions!$H141))</f>
        <v>0</v>
      </c>
      <c r="T137" s="624">
        <f ca="1">T100*Assumptions!U$18+IF(COLUMN(T137)&lt;=6+Assumptions!$H141,0,OFFSET(T137,,-Assumptions!$H141))</f>
        <v>0</v>
      </c>
      <c r="U137" s="624">
        <f ca="1">U100*Assumptions!V$18+IF(COLUMN(U137)&lt;=6+Assumptions!$H141,0,OFFSET(U137,,-Assumptions!$H141))</f>
        <v>0</v>
      </c>
      <c r="V137" s="624">
        <f ca="1">V100*Assumptions!W$18+IF(COLUMN(V137)&lt;=6+Assumptions!$H141,0,OFFSET(V137,,-Assumptions!$H141))</f>
        <v>0</v>
      </c>
      <c r="W137" s="624">
        <f ca="1">W100*Assumptions!X$18+IF(COLUMN(W137)&lt;=6+Assumptions!$H141,0,OFFSET(W137,,-Assumptions!$H141))</f>
        <v>0</v>
      </c>
      <c r="X137" s="624">
        <f ca="1">X100*Assumptions!Y$18+IF(COLUMN(X137)&lt;=6+Assumptions!$H141,0,OFFSET(X137,,-Assumptions!$H141))</f>
        <v>0</v>
      </c>
      <c r="Y137" s="624">
        <f ca="1">Y100*Assumptions!Z$18+IF(COLUMN(Y137)&lt;=6+Assumptions!$H141,0,OFFSET(Y137,,-Assumptions!$H141))</f>
        <v>0</v>
      </c>
      <c r="Z137" s="624">
        <f ca="1">Z100*Assumptions!AA$18+IF(COLUMN(Z137)&lt;=6+Assumptions!$H141,0,OFFSET(Z137,,-Assumptions!$H141))</f>
        <v>0</v>
      </c>
      <c r="AA137" s="624">
        <f ca="1">AA100*Assumptions!AB$18+IF(COLUMN(AA137)&lt;=6+Assumptions!$H141,0,OFFSET(AA137,,-Assumptions!$H141))</f>
        <v>0</v>
      </c>
    </row>
    <row r="138" spans="1:27" s="620" customFormat="1" hidden="1" x14ac:dyDescent="0.45">
      <c r="A138" s="796"/>
      <c r="B138" s="797"/>
      <c r="C138" s="797" t="s">
        <v>114</v>
      </c>
      <c r="D138" s="797">
        <f t="shared" si="4"/>
        <v>0</v>
      </c>
      <c r="E138" s="798" t="s">
        <v>806</v>
      </c>
      <c r="F138" s="789"/>
      <c r="G138" s="799">
        <f ca="1">G101*Assumptions!H$18+IF(COLUMN(G138)&lt;=6+Assumptions!$H142,0,OFFSET(G138,,-Assumptions!$H142))</f>
        <v>0</v>
      </c>
      <c r="H138" s="799">
        <f ca="1">H101*Assumptions!I$18+IF(COLUMN(H138)&lt;=6+Assumptions!$H142,0,OFFSET(H138,,-Assumptions!$H142))</f>
        <v>0</v>
      </c>
      <c r="I138" s="799">
        <f ca="1">I101*Assumptions!J$18+IF(COLUMN(I138)&lt;=6+Assumptions!$H142,0,OFFSET(I138,,-Assumptions!$H142))</f>
        <v>0</v>
      </c>
      <c r="J138" s="799">
        <f ca="1">J101*Assumptions!K$18+IF(COLUMN(J138)&lt;=6+Assumptions!$H142,0,OFFSET(J138,,-Assumptions!$H142))</f>
        <v>0</v>
      </c>
      <c r="K138" s="800">
        <f ca="1">K101*Assumptions!L$18+IF(COLUMN(K138)&lt;=6+Assumptions!$H142,0,OFFSET(K138,,-Assumptions!$H142))</f>
        <v>0</v>
      </c>
      <c r="L138" s="624">
        <f ca="1">L101*Assumptions!M$18+IF(COLUMN(L138)&lt;=6+Assumptions!$H142,0,OFFSET(L138,,-Assumptions!$H142))</f>
        <v>0</v>
      </c>
      <c r="M138" s="624">
        <f ca="1">M101*Assumptions!N$18+IF(COLUMN(M138)&lt;=6+Assumptions!$H142,0,OFFSET(M138,,-Assumptions!$H142))</f>
        <v>0</v>
      </c>
      <c r="N138" s="624">
        <f ca="1">N101*Assumptions!O$18+IF(COLUMN(N138)&lt;=6+Assumptions!$H142,0,OFFSET(N138,,-Assumptions!$H142))</f>
        <v>0</v>
      </c>
      <c r="O138" s="624">
        <f ca="1">O101*Assumptions!P$18+IF(COLUMN(O138)&lt;=6+Assumptions!$H142,0,OFFSET(O138,,-Assumptions!$H142))</f>
        <v>0</v>
      </c>
      <c r="P138" s="624">
        <f ca="1">P101*Assumptions!Q$18+IF(COLUMN(P138)&lt;=6+Assumptions!$H142,0,OFFSET(P138,,-Assumptions!$H142))</f>
        <v>0</v>
      </c>
      <c r="Q138" s="624">
        <f ca="1">Q101*Assumptions!R$18+IF(COLUMN(Q138)&lt;=6+Assumptions!$H142,0,OFFSET(Q138,,-Assumptions!$H142))</f>
        <v>0</v>
      </c>
      <c r="R138" s="624">
        <f ca="1">R101*Assumptions!S$18+IF(COLUMN(R138)&lt;=6+Assumptions!$H142,0,OFFSET(R138,,-Assumptions!$H142))</f>
        <v>0</v>
      </c>
      <c r="S138" s="624">
        <f ca="1">S101*Assumptions!T$18+IF(COLUMN(S138)&lt;=6+Assumptions!$H142,0,OFFSET(S138,,-Assumptions!$H142))</f>
        <v>0</v>
      </c>
      <c r="T138" s="624">
        <f ca="1">T101*Assumptions!U$18+IF(COLUMN(T138)&lt;=6+Assumptions!$H142,0,OFFSET(T138,,-Assumptions!$H142))</f>
        <v>0</v>
      </c>
      <c r="U138" s="624">
        <f ca="1">U101*Assumptions!V$18+IF(COLUMN(U138)&lt;=6+Assumptions!$H142,0,OFFSET(U138,,-Assumptions!$H142))</f>
        <v>0</v>
      </c>
      <c r="V138" s="624">
        <f ca="1">V101*Assumptions!W$18+IF(COLUMN(V138)&lt;=6+Assumptions!$H142,0,OFFSET(V138,,-Assumptions!$H142))</f>
        <v>0</v>
      </c>
      <c r="W138" s="624">
        <f ca="1">W101*Assumptions!X$18+IF(COLUMN(W138)&lt;=6+Assumptions!$H142,0,OFFSET(W138,,-Assumptions!$H142))</f>
        <v>0</v>
      </c>
      <c r="X138" s="624">
        <f ca="1">X101*Assumptions!Y$18+IF(COLUMN(X138)&lt;=6+Assumptions!$H142,0,OFFSET(X138,,-Assumptions!$H142))</f>
        <v>0</v>
      </c>
      <c r="Y138" s="624">
        <f ca="1">Y101*Assumptions!Z$18+IF(COLUMN(Y138)&lt;=6+Assumptions!$H142,0,OFFSET(Y138,,-Assumptions!$H142))</f>
        <v>0</v>
      </c>
      <c r="Z138" s="624">
        <f ca="1">Z101*Assumptions!AA$18+IF(COLUMN(Z138)&lt;=6+Assumptions!$H142,0,OFFSET(Z138,,-Assumptions!$H142))</f>
        <v>0</v>
      </c>
      <c r="AA138" s="624">
        <f ca="1">AA101*Assumptions!AB$18+IF(COLUMN(AA138)&lt;=6+Assumptions!$H142,0,OFFSET(AA138,,-Assumptions!$H142))</f>
        <v>0</v>
      </c>
    </row>
    <row r="139" spans="1:27" s="620" customFormat="1" hidden="1" x14ac:dyDescent="0.45">
      <c r="A139" s="796"/>
      <c r="B139" s="797"/>
      <c r="C139" s="797" t="s">
        <v>114</v>
      </c>
      <c r="D139" s="797">
        <f t="shared" si="4"/>
        <v>0</v>
      </c>
      <c r="E139" s="798" t="s">
        <v>806</v>
      </c>
      <c r="F139" s="789"/>
      <c r="G139" s="799">
        <f ca="1">G102*Assumptions!H$18+IF(COLUMN(G139)&lt;=6+Assumptions!$H143,0,OFFSET(G139,,-Assumptions!$H143))</f>
        <v>0</v>
      </c>
      <c r="H139" s="799">
        <f ca="1">H102*Assumptions!I$18+IF(COLUMN(H139)&lt;=6+Assumptions!$H143,0,OFFSET(H139,,-Assumptions!$H143))</f>
        <v>0</v>
      </c>
      <c r="I139" s="799">
        <f ca="1">I102*Assumptions!J$18+IF(COLUMN(I139)&lt;=6+Assumptions!$H143,0,OFFSET(I139,,-Assumptions!$H143))</f>
        <v>0</v>
      </c>
      <c r="J139" s="799">
        <f ca="1">J102*Assumptions!K$18+IF(COLUMN(J139)&lt;=6+Assumptions!$H143,0,OFFSET(J139,,-Assumptions!$H143))</f>
        <v>0</v>
      </c>
      <c r="K139" s="800">
        <f ca="1">K102*Assumptions!L$18+IF(COLUMN(K139)&lt;=6+Assumptions!$H143,0,OFFSET(K139,,-Assumptions!$H143))</f>
        <v>0</v>
      </c>
      <c r="L139" s="624">
        <f ca="1">L102*Assumptions!M$18+IF(COLUMN(L139)&lt;=6+Assumptions!$H143,0,OFFSET(L139,,-Assumptions!$H143))</f>
        <v>0</v>
      </c>
      <c r="M139" s="624">
        <f ca="1">M102*Assumptions!N$18+IF(COLUMN(M139)&lt;=6+Assumptions!$H143,0,OFFSET(M139,,-Assumptions!$H143))</f>
        <v>0</v>
      </c>
      <c r="N139" s="624">
        <f ca="1">N102*Assumptions!O$18+IF(COLUMN(N139)&lt;=6+Assumptions!$H143,0,OFFSET(N139,,-Assumptions!$H143))</f>
        <v>0</v>
      </c>
      <c r="O139" s="624">
        <f ca="1">O102*Assumptions!P$18+IF(COLUMN(O139)&lt;=6+Assumptions!$H143,0,OFFSET(O139,,-Assumptions!$H143))</f>
        <v>0</v>
      </c>
      <c r="P139" s="624">
        <f ca="1">P102*Assumptions!Q$18+IF(COLUMN(P139)&lt;=6+Assumptions!$H143,0,OFFSET(P139,,-Assumptions!$H143))</f>
        <v>0</v>
      </c>
      <c r="Q139" s="624">
        <f ca="1">Q102*Assumptions!R$18+IF(COLUMN(Q139)&lt;=6+Assumptions!$H143,0,OFFSET(Q139,,-Assumptions!$H143))</f>
        <v>0</v>
      </c>
      <c r="R139" s="624">
        <f ca="1">R102*Assumptions!S$18+IF(COLUMN(R139)&lt;=6+Assumptions!$H143,0,OFFSET(R139,,-Assumptions!$H143))</f>
        <v>0</v>
      </c>
      <c r="S139" s="624">
        <f ca="1">S102*Assumptions!T$18+IF(COLUMN(S139)&lt;=6+Assumptions!$H143,0,OFFSET(S139,,-Assumptions!$H143))</f>
        <v>0</v>
      </c>
      <c r="T139" s="624">
        <f ca="1">T102*Assumptions!U$18+IF(COLUMN(T139)&lt;=6+Assumptions!$H143,0,OFFSET(T139,,-Assumptions!$H143))</f>
        <v>0</v>
      </c>
      <c r="U139" s="624">
        <f ca="1">U102*Assumptions!V$18+IF(COLUMN(U139)&lt;=6+Assumptions!$H143,0,OFFSET(U139,,-Assumptions!$H143))</f>
        <v>0</v>
      </c>
      <c r="V139" s="624">
        <f ca="1">V102*Assumptions!W$18+IF(COLUMN(V139)&lt;=6+Assumptions!$H143,0,OFFSET(V139,,-Assumptions!$H143))</f>
        <v>0</v>
      </c>
      <c r="W139" s="624">
        <f ca="1">W102*Assumptions!X$18+IF(COLUMN(W139)&lt;=6+Assumptions!$H143,0,OFFSET(W139,,-Assumptions!$H143))</f>
        <v>0</v>
      </c>
      <c r="X139" s="624">
        <f ca="1">X102*Assumptions!Y$18+IF(COLUMN(X139)&lt;=6+Assumptions!$H143,0,OFFSET(X139,,-Assumptions!$H143))</f>
        <v>0</v>
      </c>
      <c r="Y139" s="624">
        <f ca="1">Y102*Assumptions!Z$18+IF(COLUMN(Y139)&lt;=6+Assumptions!$H143,0,OFFSET(Y139,,-Assumptions!$H143))</f>
        <v>0</v>
      </c>
      <c r="Z139" s="624">
        <f ca="1">Z102*Assumptions!AA$18+IF(COLUMN(Z139)&lt;=6+Assumptions!$H143,0,OFFSET(Z139,,-Assumptions!$H143))</f>
        <v>0</v>
      </c>
      <c r="AA139" s="624">
        <f ca="1">AA102*Assumptions!AB$18+IF(COLUMN(AA139)&lt;=6+Assumptions!$H143,0,OFFSET(AA139,,-Assumptions!$H143))</f>
        <v>0</v>
      </c>
    </row>
    <row r="140" spans="1:27" s="620" customFormat="1" hidden="1" x14ac:dyDescent="0.45">
      <c r="A140" s="796"/>
      <c r="B140" s="797"/>
      <c r="C140" s="797" t="s">
        <v>114</v>
      </c>
      <c r="D140" s="797">
        <f t="shared" si="4"/>
        <v>0</v>
      </c>
      <c r="E140" s="798" t="s">
        <v>806</v>
      </c>
      <c r="F140" s="789"/>
      <c r="G140" s="799">
        <f ca="1">G103*Assumptions!H$18+IF(COLUMN(G140)&lt;=6+Assumptions!$H144,0,OFFSET(G140,,-Assumptions!$H144))</f>
        <v>0</v>
      </c>
      <c r="H140" s="799">
        <f ca="1">H103*Assumptions!I$18+IF(COLUMN(H140)&lt;=6+Assumptions!$H144,0,OFFSET(H140,,-Assumptions!$H144))</f>
        <v>0</v>
      </c>
      <c r="I140" s="799">
        <f ca="1">I103*Assumptions!J$18+IF(COLUMN(I140)&lt;=6+Assumptions!$H144,0,OFFSET(I140,,-Assumptions!$H144))</f>
        <v>0</v>
      </c>
      <c r="J140" s="799">
        <f ca="1">J103*Assumptions!K$18+IF(COLUMN(J140)&lt;=6+Assumptions!$H144,0,OFFSET(J140,,-Assumptions!$H144))</f>
        <v>0</v>
      </c>
      <c r="K140" s="800">
        <f ca="1">K103*Assumptions!L$18+IF(COLUMN(K140)&lt;=6+Assumptions!$H144,0,OFFSET(K140,,-Assumptions!$H144))</f>
        <v>0</v>
      </c>
      <c r="L140" s="624">
        <f ca="1">L103*Assumptions!M$18+IF(COLUMN(L140)&lt;=6+Assumptions!$H144,0,OFFSET(L140,,-Assumptions!$H144))</f>
        <v>0</v>
      </c>
      <c r="M140" s="624">
        <f ca="1">M103*Assumptions!N$18+IF(COLUMN(M140)&lt;=6+Assumptions!$H144,0,OFFSET(M140,,-Assumptions!$H144))</f>
        <v>0</v>
      </c>
      <c r="N140" s="624">
        <f ca="1">N103*Assumptions!O$18+IF(COLUMN(N140)&lt;=6+Assumptions!$H144,0,OFFSET(N140,,-Assumptions!$H144))</f>
        <v>0</v>
      </c>
      <c r="O140" s="624">
        <f ca="1">O103*Assumptions!P$18+IF(COLUMN(O140)&lt;=6+Assumptions!$H144,0,OFFSET(O140,,-Assumptions!$H144))</f>
        <v>0</v>
      </c>
      <c r="P140" s="624">
        <f ca="1">P103*Assumptions!Q$18+IF(COLUMN(P140)&lt;=6+Assumptions!$H144,0,OFFSET(P140,,-Assumptions!$H144))</f>
        <v>0</v>
      </c>
      <c r="Q140" s="624">
        <f ca="1">Q103*Assumptions!R$18+IF(COLUMN(Q140)&lt;=6+Assumptions!$H144,0,OFFSET(Q140,,-Assumptions!$H144))</f>
        <v>0</v>
      </c>
      <c r="R140" s="624">
        <f ca="1">R103*Assumptions!S$18+IF(COLUMN(R140)&lt;=6+Assumptions!$H144,0,OFFSET(R140,,-Assumptions!$H144))</f>
        <v>0</v>
      </c>
      <c r="S140" s="624">
        <f ca="1">S103*Assumptions!T$18+IF(COLUMN(S140)&lt;=6+Assumptions!$H144,0,OFFSET(S140,,-Assumptions!$H144))</f>
        <v>0</v>
      </c>
      <c r="T140" s="624">
        <f ca="1">T103*Assumptions!U$18+IF(COLUMN(T140)&lt;=6+Assumptions!$H144,0,OFFSET(T140,,-Assumptions!$H144))</f>
        <v>0</v>
      </c>
      <c r="U140" s="624">
        <f ca="1">U103*Assumptions!V$18+IF(COLUMN(U140)&lt;=6+Assumptions!$H144,0,OFFSET(U140,,-Assumptions!$H144))</f>
        <v>0</v>
      </c>
      <c r="V140" s="624">
        <f ca="1">V103*Assumptions!W$18+IF(COLUMN(V140)&lt;=6+Assumptions!$H144,0,OFFSET(V140,,-Assumptions!$H144))</f>
        <v>0</v>
      </c>
      <c r="W140" s="624">
        <f ca="1">W103*Assumptions!X$18+IF(COLUMN(W140)&lt;=6+Assumptions!$H144,0,OFFSET(W140,,-Assumptions!$H144))</f>
        <v>0</v>
      </c>
      <c r="X140" s="624">
        <f ca="1">X103*Assumptions!Y$18+IF(COLUMN(X140)&lt;=6+Assumptions!$H144,0,OFFSET(X140,,-Assumptions!$H144))</f>
        <v>0</v>
      </c>
      <c r="Y140" s="624">
        <f ca="1">Y103*Assumptions!Z$18+IF(COLUMN(Y140)&lt;=6+Assumptions!$H144,0,OFFSET(Y140,,-Assumptions!$H144))</f>
        <v>0</v>
      </c>
      <c r="Z140" s="624">
        <f ca="1">Z103*Assumptions!AA$18+IF(COLUMN(Z140)&lt;=6+Assumptions!$H144,0,OFFSET(Z140,,-Assumptions!$H144))</f>
        <v>0</v>
      </c>
      <c r="AA140" s="624">
        <f ca="1">AA103*Assumptions!AB$18+IF(COLUMN(AA140)&lt;=6+Assumptions!$H144,0,OFFSET(AA140,,-Assumptions!$H144))</f>
        <v>0</v>
      </c>
    </row>
    <row r="141" spans="1:27" s="620" customFormat="1" hidden="1" x14ac:dyDescent="0.45">
      <c r="A141" s="803"/>
      <c r="B141" s="797"/>
      <c r="C141" s="797"/>
      <c r="D141" s="797"/>
      <c r="E141" s="804"/>
      <c r="F141" s="805"/>
      <c r="G141" s="806" t="s">
        <v>22</v>
      </c>
      <c r="H141" s="806" t="s">
        <v>22</v>
      </c>
      <c r="I141" s="806" t="s">
        <v>22</v>
      </c>
      <c r="J141" s="806" t="s">
        <v>22</v>
      </c>
      <c r="K141" s="807" t="s">
        <v>22</v>
      </c>
      <c r="L141" s="621" t="s">
        <v>22</v>
      </c>
      <c r="M141" s="621" t="s">
        <v>22</v>
      </c>
      <c r="N141" s="621" t="s">
        <v>22</v>
      </c>
      <c r="O141" s="621" t="s">
        <v>22</v>
      </c>
      <c r="P141" s="621" t="s">
        <v>22</v>
      </c>
      <c r="Q141" s="621" t="s">
        <v>22</v>
      </c>
      <c r="R141" s="621" t="s">
        <v>22</v>
      </c>
      <c r="S141" s="621" t="s">
        <v>22</v>
      </c>
      <c r="T141" s="621" t="s">
        <v>22</v>
      </c>
      <c r="U141" s="621" t="s">
        <v>22</v>
      </c>
      <c r="V141" s="621" t="s">
        <v>22</v>
      </c>
      <c r="W141" s="621" t="s">
        <v>22</v>
      </c>
      <c r="X141" s="621" t="s">
        <v>22</v>
      </c>
      <c r="Y141" s="621" t="s">
        <v>22</v>
      </c>
      <c r="Z141" s="621" t="s">
        <v>22</v>
      </c>
      <c r="AA141" s="621" t="s">
        <v>22</v>
      </c>
    </row>
    <row r="142" spans="1:27" s="620" customFormat="1" hidden="1" x14ac:dyDescent="0.45">
      <c r="A142" s="796"/>
      <c r="B142" s="797"/>
      <c r="C142" s="797"/>
      <c r="D142" s="797" t="s">
        <v>515</v>
      </c>
      <c r="E142" s="798" t="s">
        <v>806</v>
      </c>
      <c r="F142" s="789"/>
      <c r="G142" s="799">
        <f ca="1">SUM(G105:G141)</f>
        <v>2316095.1585976626</v>
      </c>
      <c r="H142" s="799">
        <f t="shared" ref="H142:AA142" ca="1" si="5">SUM(H105:H141)</f>
        <v>0</v>
      </c>
      <c r="I142" s="799">
        <f t="shared" ca="1" si="5"/>
        <v>0</v>
      </c>
      <c r="J142" s="799">
        <f t="shared" ca="1" si="5"/>
        <v>0</v>
      </c>
      <c r="K142" s="800">
        <f t="shared" ca="1" si="5"/>
        <v>0</v>
      </c>
      <c r="L142" s="624">
        <f t="shared" ca="1" si="5"/>
        <v>0</v>
      </c>
      <c r="M142" s="624">
        <f t="shared" ca="1" si="5"/>
        <v>0</v>
      </c>
      <c r="N142" s="624">
        <f t="shared" ca="1" si="5"/>
        <v>0</v>
      </c>
      <c r="O142" s="624">
        <f t="shared" ca="1" si="5"/>
        <v>0</v>
      </c>
      <c r="P142" s="624">
        <f t="shared" ca="1" si="5"/>
        <v>0</v>
      </c>
      <c r="Q142" s="624">
        <f t="shared" ca="1" si="5"/>
        <v>0</v>
      </c>
      <c r="R142" s="624">
        <f t="shared" ca="1" si="5"/>
        <v>0</v>
      </c>
      <c r="S142" s="624">
        <f t="shared" ca="1" si="5"/>
        <v>0</v>
      </c>
      <c r="T142" s="624">
        <f t="shared" ca="1" si="5"/>
        <v>0</v>
      </c>
      <c r="U142" s="624">
        <f t="shared" ca="1" si="5"/>
        <v>0</v>
      </c>
      <c r="V142" s="624">
        <f t="shared" ca="1" si="5"/>
        <v>0</v>
      </c>
      <c r="W142" s="624">
        <f t="shared" ca="1" si="5"/>
        <v>0</v>
      </c>
      <c r="X142" s="624">
        <f t="shared" ca="1" si="5"/>
        <v>0</v>
      </c>
      <c r="Y142" s="624">
        <f t="shared" ca="1" si="5"/>
        <v>0</v>
      </c>
      <c r="Z142" s="624">
        <f t="shared" ca="1" si="5"/>
        <v>0</v>
      </c>
      <c r="AA142" s="624">
        <f t="shared" ca="1" si="5"/>
        <v>0</v>
      </c>
    </row>
    <row r="143" spans="1:27" s="620" customFormat="1" hidden="1" x14ac:dyDescent="0.45">
      <c r="A143" s="803"/>
      <c r="B143" s="797"/>
      <c r="C143" s="797"/>
      <c r="D143" s="797"/>
      <c r="E143" s="804"/>
      <c r="F143" s="805"/>
      <c r="G143" s="806" t="s">
        <v>22</v>
      </c>
      <c r="H143" s="806" t="s">
        <v>22</v>
      </c>
      <c r="I143" s="806" t="s">
        <v>22</v>
      </c>
      <c r="J143" s="806" t="s">
        <v>22</v>
      </c>
      <c r="K143" s="807" t="s">
        <v>22</v>
      </c>
      <c r="L143" s="621" t="s">
        <v>22</v>
      </c>
      <c r="M143" s="621" t="s">
        <v>22</v>
      </c>
      <c r="N143" s="621" t="s">
        <v>22</v>
      </c>
      <c r="O143" s="621" t="s">
        <v>22</v>
      </c>
      <c r="P143" s="621" t="s">
        <v>22</v>
      </c>
      <c r="Q143" s="621" t="s">
        <v>22</v>
      </c>
      <c r="R143" s="621" t="s">
        <v>22</v>
      </c>
      <c r="S143" s="621" t="s">
        <v>22</v>
      </c>
      <c r="T143" s="621" t="s">
        <v>22</v>
      </c>
      <c r="U143" s="621" t="s">
        <v>22</v>
      </c>
      <c r="V143" s="621" t="s">
        <v>22</v>
      </c>
      <c r="W143" s="621" t="s">
        <v>22</v>
      </c>
      <c r="X143" s="621" t="s">
        <v>22</v>
      </c>
      <c r="Y143" s="621" t="s">
        <v>22</v>
      </c>
      <c r="Z143" s="621" t="s">
        <v>22</v>
      </c>
      <c r="AA143" s="621" t="s">
        <v>22</v>
      </c>
    </row>
    <row r="144" spans="1:27" s="620" customFormat="1" hidden="1" x14ac:dyDescent="0.45">
      <c r="A144" s="796"/>
      <c r="B144" s="797"/>
      <c r="C144" s="797"/>
      <c r="D144" s="797" t="s">
        <v>110</v>
      </c>
      <c r="E144" s="798" t="s">
        <v>806</v>
      </c>
      <c r="F144" s="789"/>
      <c r="G144" s="799">
        <f ca="1">G142+G65</f>
        <v>5717078.3639399</v>
      </c>
      <c r="H144" s="799">
        <f t="shared" ref="H144:AA144" ca="1" si="6">H142+H65</f>
        <v>0</v>
      </c>
      <c r="I144" s="799">
        <f t="shared" ca="1" si="6"/>
        <v>0</v>
      </c>
      <c r="J144" s="799">
        <f t="shared" ca="1" si="6"/>
        <v>0</v>
      </c>
      <c r="K144" s="800">
        <f t="shared" ca="1" si="6"/>
        <v>0</v>
      </c>
      <c r="L144" s="624">
        <f t="shared" ca="1" si="6"/>
        <v>0</v>
      </c>
      <c r="M144" s="624">
        <f t="shared" ca="1" si="6"/>
        <v>0</v>
      </c>
      <c r="N144" s="624">
        <f t="shared" ca="1" si="6"/>
        <v>0</v>
      </c>
      <c r="O144" s="624">
        <f t="shared" ca="1" si="6"/>
        <v>0</v>
      </c>
      <c r="P144" s="624">
        <f t="shared" ca="1" si="6"/>
        <v>0</v>
      </c>
      <c r="Q144" s="624">
        <f t="shared" ca="1" si="6"/>
        <v>0</v>
      </c>
      <c r="R144" s="624">
        <f t="shared" ca="1" si="6"/>
        <v>0</v>
      </c>
      <c r="S144" s="624">
        <f t="shared" ca="1" si="6"/>
        <v>0</v>
      </c>
      <c r="T144" s="624">
        <f t="shared" ca="1" si="6"/>
        <v>0</v>
      </c>
      <c r="U144" s="624">
        <f t="shared" ca="1" si="6"/>
        <v>0</v>
      </c>
      <c r="V144" s="624">
        <f t="shared" ca="1" si="6"/>
        <v>0</v>
      </c>
      <c r="W144" s="624">
        <f t="shared" ca="1" si="6"/>
        <v>0</v>
      </c>
      <c r="X144" s="624">
        <f t="shared" ca="1" si="6"/>
        <v>0</v>
      </c>
      <c r="Y144" s="624">
        <f t="shared" ca="1" si="6"/>
        <v>0</v>
      </c>
      <c r="Z144" s="624">
        <f t="shared" ca="1" si="6"/>
        <v>0</v>
      </c>
      <c r="AA144" s="624">
        <f t="shared" ca="1" si="6"/>
        <v>0</v>
      </c>
    </row>
    <row r="145" spans="1:27" s="620" customFormat="1" hidden="1" x14ac:dyDescent="0.45">
      <c r="A145" s="796"/>
      <c r="B145" s="797"/>
      <c r="C145" s="797"/>
      <c r="D145" s="797"/>
      <c r="E145" s="797"/>
      <c r="F145" s="797"/>
      <c r="G145" s="801"/>
      <c r="H145" s="801"/>
      <c r="I145" s="801"/>
      <c r="J145" s="801"/>
      <c r="K145" s="802"/>
      <c r="L145" s="622"/>
      <c r="M145" s="622"/>
      <c r="N145" s="622"/>
      <c r="O145" s="622"/>
      <c r="P145" s="622"/>
      <c r="Q145" s="622"/>
      <c r="R145" s="622"/>
      <c r="S145" s="622"/>
      <c r="T145" s="622"/>
      <c r="U145" s="622"/>
      <c r="V145" s="622"/>
      <c r="W145" s="622"/>
      <c r="X145" s="622"/>
      <c r="Y145" s="622"/>
      <c r="Z145" s="622"/>
      <c r="AA145" s="622"/>
    </row>
    <row r="146" spans="1:27" s="620" customFormat="1" hidden="1" x14ac:dyDescent="0.45">
      <c r="A146" s="796"/>
      <c r="B146" s="797" t="s">
        <v>539</v>
      </c>
      <c r="C146" s="797"/>
      <c r="D146" s="797"/>
      <c r="E146" s="797"/>
      <c r="F146" s="789"/>
      <c r="G146" s="801"/>
      <c r="H146" s="801"/>
      <c r="I146" s="801"/>
      <c r="J146" s="801"/>
      <c r="K146" s="802"/>
      <c r="L146" s="622"/>
      <c r="M146" s="622"/>
      <c r="N146" s="622"/>
      <c r="O146" s="622"/>
      <c r="P146" s="622"/>
      <c r="Q146" s="622"/>
      <c r="R146" s="622"/>
      <c r="S146" s="622"/>
      <c r="T146" s="622"/>
      <c r="U146" s="622"/>
      <c r="V146" s="622"/>
      <c r="W146" s="622"/>
      <c r="X146" s="622"/>
      <c r="Y146" s="622"/>
      <c r="Z146" s="622"/>
      <c r="AA146" s="622"/>
    </row>
    <row r="147" spans="1:27" s="620" customFormat="1" hidden="1" x14ac:dyDescent="0.45">
      <c r="A147" s="796"/>
      <c r="B147" s="797"/>
      <c r="C147" s="797" t="s">
        <v>114</v>
      </c>
      <c r="D147" s="797" t="s">
        <v>510</v>
      </c>
      <c r="E147" s="798" t="s">
        <v>812</v>
      </c>
      <c r="F147" s="789"/>
      <c r="G147" s="799">
        <f>Assumptions!I187</f>
        <v>8502.4580133555937</v>
      </c>
      <c r="H147" s="799">
        <f>G147*(1+Assumptions!$H$189)</f>
        <v>8672.5071736227055</v>
      </c>
      <c r="I147" s="799">
        <f>H147*(1+Assumptions!$H$189)</f>
        <v>8845.9573170951589</v>
      </c>
      <c r="J147" s="799">
        <f>I147*(1+Assumptions!$H$189)</f>
        <v>9022.8764634370618</v>
      </c>
      <c r="K147" s="800">
        <f>J147*(1+Assumptions!$H$189)</f>
        <v>9203.3339927058041</v>
      </c>
      <c r="L147" s="624">
        <f>K147*(1+Assumptions!$H$189)</f>
        <v>9387.4006725599211</v>
      </c>
      <c r="M147" s="624">
        <f>L147*(1+Assumptions!$H$189)</f>
        <v>9575.1486860111199</v>
      </c>
      <c r="N147" s="624">
        <f>M147*(1+Assumptions!$H$189)</f>
        <v>9766.6516597313421</v>
      </c>
      <c r="O147" s="624">
        <f>N147*(1+Assumptions!$H$189)</f>
        <v>9961.9846929259693</v>
      </c>
      <c r="P147" s="624">
        <f>O147*(1+Assumptions!$H$189)</f>
        <v>10161.224386784488</v>
      </c>
      <c r="Q147" s="624">
        <f>P147*(1+Assumptions!$H$189)</f>
        <v>10364.448874520178</v>
      </c>
      <c r="R147" s="624">
        <f>Q147*(1+Assumptions!$H$189)</f>
        <v>10571.737852010581</v>
      </c>
      <c r="S147" s="624">
        <f>R147*(1+Assumptions!$H$189)</f>
        <v>10783.172609050793</v>
      </c>
      <c r="T147" s="624">
        <f>S147*(1+Assumptions!$H$189)</f>
        <v>10998.836061231808</v>
      </c>
      <c r="U147" s="624">
        <f>T147*(1+Assumptions!$H$189)</f>
        <v>11218.812782456445</v>
      </c>
      <c r="V147" s="624">
        <f>U147*(1+Assumptions!$H$189)</f>
        <v>11443.189038105575</v>
      </c>
      <c r="W147" s="624">
        <f>V147*(1+Assumptions!$H$189)</f>
        <v>11672.052818867687</v>
      </c>
      <c r="X147" s="624">
        <f>W147*(1+Assumptions!$H$189)</f>
        <v>11905.493875245042</v>
      </c>
      <c r="Y147" s="624">
        <f>X147*(1+Assumptions!$H$189)</f>
        <v>12143.603752749943</v>
      </c>
      <c r="Z147" s="624">
        <f>Y147*(1+Assumptions!$H$189)</f>
        <v>12386.475827804941</v>
      </c>
      <c r="AA147" s="624">
        <f>Z147*(1+Assumptions!$H$189)</f>
        <v>12634.20534436104</v>
      </c>
    </row>
    <row r="148" spans="1:27" s="620" customFormat="1" hidden="1" x14ac:dyDescent="0.45">
      <c r="A148" s="796"/>
      <c r="B148" s="797"/>
      <c r="C148" s="797" t="s">
        <v>114</v>
      </c>
      <c r="D148" s="797" t="s">
        <v>511</v>
      </c>
      <c r="E148" s="798" t="s">
        <v>806</v>
      </c>
      <c r="F148" s="789"/>
      <c r="G148" s="801">
        <f t="shared" ref="G148:AA148" si="7">G147*G174</f>
        <v>0</v>
      </c>
      <c r="H148" s="801">
        <f t="shared" si="7"/>
        <v>69380.057388981644</v>
      </c>
      <c r="I148" s="801">
        <f t="shared" si="7"/>
        <v>70767.658536761272</v>
      </c>
      <c r="J148" s="801">
        <f t="shared" si="7"/>
        <v>72183.011707496495</v>
      </c>
      <c r="K148" s="802">
        <f t="shared" si="7"/>
        <v>73626.671941646433</v>
      </c>
      <c r="L148" s="622">
        <f t="shared" si="7"/>
        <v>75099.205380479369</v>
      </c>
      <c r="M148" s="622">
        <f t="shared" si="7"/>
        <v>76601.189488088959</v>
      </c>
      <c r="N148" s="622">
        <f t="shared" si="7"/>
        <v>78133.213277850737</v>
      </c>
      <c r="O148" s="622">
        <f t="shared" si="7"/>
        <v>79695.877543407754</v>
      </c>
      <c r="P148" s="622">
        <f t="shared" si="7"/>
        <v>81289.795094275905</v>
      </c>
      <c r="Q148" s="622">
        <f t="shared" si="7"/>
        <v>82915.590996161423</v>
      </c>
      <c r="R148" s="622">
        <f t="shared" si="7"/>
        <v>84573.90281608465</v>
      </c>
      <c r="S148" s="622">
        <f t="shared" si="7"/>
        <v>86265.380872406342</v>
      </c>
      <c r="T148" s="622">
        <f t="shared" si="7"/>
        <v>87990.688489854467</v>
      </c>
      <c r="U148" s="622">
        <f t="shared" si="7"/>
        <v>89750.502259651563</v>
      </c>
      <c r="V148" s="622">
        <f t="shared" si="7"/>
        <v>91545.512304844597</v>
      </c>
      <c r="W148" s="622">
        <f t="shared" si="7"/>
        <v>93376.422550941497</v>
      </c>
      <c r="X148" s="622">
        <f t="shared" si="7"/>
        <v>95243.951001960333</v>
      </c>
      <c r="Y148" s="622">
        <f t="shared" si="7"/>
        <v>97148.830021999544</v>
      </c>
      <c r="Z148" s="622">
        <f t="shared" si="7"/>
        <v>99091.80662243953</v>
      </c>
      <c r="AA148" s="622">
        <f t="shared" si="7"/>
        <v>101073.64275488832</v>
      </c>
    </row>
    <row r="149" spans="1:27" s="620" customFormat="1" hidden="1" x14ac:dyDescent="0.45">
      <c r="A149" s="796"/>
      <c r="B149" s="797"/>
      <c r="C149" s="797"/>
      <c r="D149" s="797"/>
      <c r="E149" s="798"/>
      <c r="F149" s="789"/>
      <c r="G149" s="801"/>
      <c r="H149" s="801"/>
      <c r="I149" s="801"/>
      <c r="J149" s="801"/>
      <c r="K149" s="802"/>
      <c r="L149" s="622"/>
      <c r="M149" s="622"/>
      <c r="N149" s="622"/>
      <c r="O149" s="622"/>
      <c r="P149" s="622"/>
      <c r="Q149" s="622"/>
      <c r="R149" s="622"/>
      <c r="S149" s="622"/>
      <c r="T149" s="622"/>
      <c r="U149" s="622"/>
      <c r="V149" s="622"/>
      <c r="W149" s="622"/>
      <c r="X149" s="622"/>
      <c r="Y149" s="622"/>
      <c r="Z149" s="622"/>
      <c r="AA149" s="622"/>
    </row>
    <row r="150" spans="1:27" s="620" customFormat="1" hidden="1" x14ac:dyDescent="0.45">
      <c r="A150" s="796"/>
      <c r="B150" s="797"/>
      <c r="C150" s="797" t="s">
        <v>114</v>
      </c>
      <c r="D150" s="797" t="s">
        <v>512</v>
      </c>
      <c r="E150" s="798" t="s">
        <v>813</v>
      </c>
      <c r="F150" s="789"/>
      <c r="G150" s="799">
        <f>Assumptions!I188</f>
        <v>11580.475792988313</v>
      </c>
      <c r="H150" s="799">
        <f>G150*(1+Assumptions!$H$189)</f>
        <v>11812.08530884808</v>
      </c>
      <c r="I150" s="799">
        <f>H150*(1+Assumptions!$H$189)</f>
        <v>12048.327015025041</v>
      </c>
      <c r="J150" s="799">
        <f>I150*(1+Assumptions!$H$189)</f>
        <v>12289.293555325541</v>
      </c>
      <c r="K150" s="800">
        <f>J150*(1+Assumptions!$H$189)</f>
        <v>12535.079426432052</v>
      </c>
      <c r="L150" s="624">
        <f>K150*(1+Assumptions!$H$189)</f>
        <v>12785.781014960694</v>
      </c>
      <c r="M150" s="624">
        <f>L150*(1+Assumptions!$H$189)</f>
        <v>13041.496635259908</v>
      </c>
      <c r="N150" s="624">
        <f>M150*(1+Assumptions!$H$189)</f>
        <v>13302.326567965107</v>
      </c>
      <c r="O150" s="624">
        <f>N150*(1+Assumptions!$H$189)</f>
        <v>13568.37309932441</v>
      </c>
      <c r="P150" s="624">
        <f>O150*(1+Assumptions!$H$189)</f>
        <v>13839.740561310899</v>
      </c>
      <c r="Q150" s="624">
        <f>P150*(1+Assumptions!$H$189)</f>
        <v>14116.535372537117</v>
      </c>
      <c r="R150" s="624">
        <f>Q150*(1+Assumptions!$H$189)</f>
        <v>14398.86607998786</v>
      </c>
      <c r="S150" s="624">
        <f>R150*(1+Assumptions!$H$189)</f>
        <v>14686.843401587617</v>
      </c>
      <c r="T150" s="624">
        <f>S150*(1+Assumptions!$H$189)</f>
        <v>14980.58026961937</v>
      </c>
      <c r="U150" s="624">
        <f>T150*(1+Assumptions!$H$189)</f>
        <v>15280.191875011757</v>
      </c>
      <c r="V150" s="624">
        <f>U150*(1+Assumptions!$H$189)</f>
        <v>15585.795712511992</v>
      </c>
      <c r="W150" s="624">
        <f>V150*(1+Assumptions!$H$189)</f>
        <v>15897.511626762232</v>
      </c>
      <c r="X150" s="624">
        <f>W150*(1+Assumptions!$H$189)</f>
        <v>16215.461859297477</v>
      </c>
      <c r="Y150" s="624">
        <f>X150*(1+Assumptions!$H$189)</f>
        <v>16539.771096483426</v>
      </c>
      <c r="Z150" s="624">
        <f>Y150*(1+Assumptions!$H$189)</f>
        <v>16870.566518413096</v>
      </c>
      <c r="AA150" s="624">
        <f>Z150*(1+Assumptions!$H$189)</f>
        <v>17207.977848781356</v>
      </c>
    </row>
    <row r="151" spans="1:27" s="620" customFormat="1" hidden="1" x14ac:dyDescent="0.45">
      <c r="A151" s="796"/>
      <c r="B151" s="797"/>
      <c r="C151" s="797" t="s">
        <v>114</v>
      </c>
      <c r="D151" s="797" t="s">
        <v>513</v>
      </c>
      <c r="E151" s="798" t="s">
        <v>806</v>
      </c>
      <c r="F151" s="789"/>
      <c r="G151" s="801">
        <f t="shared" ref="G151:AA151" si="8">G150*G177</f>
        <v>0</v>
      </c>
      <c r="H151" s="801">
        <f t="shared" si="8"/>
        <v>47248.34123539232</v>
      </c>
      <c r="I151" s="801">
        <f t="shared" si="8"/>
        <v>48193.308060100164</v>
      </c>
      <c r="J151" s="801">
        <f t="shared" si="8"/>
        <v>49157.174221302164</v>
      </c>
      <c r="K151" s="802">
        <f t="shared" si="8"/>
        <v>50140.317705728208</v>
      </c>
      <c r="L151" s="622">
        <f t="shared" si="8"/>
        <v>51143.124059842776</v>
      </c>
      <c r="M151" s="622">
        <f t="shared" si="8"/>
        <v>52165.986541039631</v>
      </c>
      <c r="N151" s="622">
        <f t="shared" si="8"/>
        <v>53209.306271860427</v>
      </c>
      <c r="O151" s="622">
        <f t="shared" si="8"/>
        <v>54273.492397297639</v>
      </c>
      <c r="P151" s="622">
        <f t="shared" si="8"/>
        <v>55358.962245243594</v>
      </c>
      <c r="Q151" s="622">
        <f t="shared" si="8"/>
        <v>56466.141490148468</v>
      </c>
      <c r="R151" s="622">
        <f t="shared" si="8"/>
        <v>57595.464319951439</v>
      </c>
      <c r="S151" s="622">
        <f t="shared" si="8"/>
        <v>58747.373606350469</v>
      </c>
      <c r="T151" s="622">
        <f t="shared" si="8"/>
        <v>59922.321078477478</v>
      </c>
      <c r="U151" s="622">
        <f t="shared" si="8"/>
        <v>61120.767500047026</v>
      </c>
      <c r="V151" s="622">
        <f t="shared" si="8"/>
        <v>62343.182850047968</v>
      </c>
      <c r="W151" s="622">
        <f t="shared" si="8"/>
        <v>63590.04650704893</v>
      </c>
      <c r="X151" s="622">
        <f t="shared" si="8"/>
        <v>64861.847437189906</v>
      </c>
      <c r="Y151" s="622">
        <f t="shared" si="8"/>
        <v>66159.084385933704</v>
      </c>
      <c r="Z151" s="622">
        <f t="shared" si="8"/>
        <v>67482.266073652383</v>
      </c>
      <c r="AA151" s="622">
        <f t="shared" si="8"/>
        <v>68831.911395125426</v>
      </c>
    </row>
    <row r="152" spans="1:27" s="620" customFormat="1" hidden="1" x14ac:dyDescent="0.45">
      <c r="A152" s="796"/>
      <c r="B152" s="797"/>
      <c r="C152" s="797"/>
      <c r="D152" s="797"/>
      <c r="E152" s="797"/>
      <c r="F152" s="797"/>
      <c r="G152" s="801"/>
      <c r="H152" s="801"/>
      <c r="I152" s="801"/>
      <c r="J152" s="801"/>
      <c r="K152" s="802"/>
      <c r="L152" s="622"/>
      <c r="M152" s="622"/>
      <c r="N152" s="622"/>
      <c r="O152" s="622"/>
      <c r="P152" s="622"/>
      <c r="Q152" s="622"/>
      <c r="R152" s="622"/>
      <c r="S152" s="622"/>
      <c r="T152" s="622"/>
      <c r="U152" s="622"/>
      <c r="V152" s="622"/>
      <c r="W152" s="622"/>
      <c r="X152" s="622"/>
      <c r="Y152" s="622"/>
      <c r="Z152" s="622"/>
      <c r="AA152" s="622"/>
    </row>
    <row r="153" spans="1:27" s="620" customFormat="1" hidden="1" x14ac:dyDescent="0.45">
      <c r="A153" s="796"/>
      <c r="B153" s="797"/>
      <c r="C153" s="797" t="s">
        <v>114</v>
      </c>
      <c r="D153" s="797" t="s">
        <v>146</v>
      </c>
      <c r="E153" s="798" t="s">
        <v>806</v>
      </c>
      <c r="F153" s="789"/>
      <c r="G153" s="801">
        <f t="shared" ref="G153:AA153" si="9">G148</f>
        <v>0</v>
      </c>
      <c r="H153" s="801">
        <f t="shared" si="9"/>
        <v>69380.057388981644</v>
      </c>
      <c r="I153" s="801">
        <f t="shared" si="9"/>
        <v>70767.658536761272</v>
      </c>
      <c r="J153" s="801">
        <f t="shared" si="9"/>
        <v>72183.011707496495</v>
      </c>
      <c r="K153" s="802">
        <f t="shared" si="9"/>
        <v>73626.671941646433</v>
      </c>
      <c r="L153" s="622">
        <f t="shared" si="9"/>
        <v>75099.205380479369</v>
      </c>
      <c r="M153" s="622">
        <f t="shared" si="9"/>
        <v>76601.189488088959</v>
      </c>
      <c r="N153" s="622">
        <f t="shared" si="9"/>
        <v>78133.213277850737</v>
      </c>
      <c r="O153" s="622">
        <f t="shared" si="9"/>
        <v>79695.877543407754</v>
      </c>
      <c r="P153" s="622">
        <f t="shared" si="9"/>
        <v>81289.795094275905</v>
      </c>
      <c r="Q153" s="622">
        <f t="shared" si="9"/>
        <v>82915.590996161423</v>
      </c>
      <c r="R153" s="622">
        <f t="shared" si="9"/>
        <v>84573.90281608465</v>
      </c>
      <c r="S153" s="622">
        <f t="shared" si="9"/>
        <v>86265.380872406342</v>
      </c>
      <c r="T153" s="622">
        <f t="shared" si="9"/>
        <v>87990.688489854467</v>
      </c>
      <c r="U153" s="622">
        <f t="shared" si="9"/>
        <v>89750.502259651563</v>
      </c>
      <c r="V153" s="622">
        <f t="shared" si="9"/>
        <v>91545.512304844597</v>
      </c>
      <c r="W153" s="622">
        <f t="shared" si="9"/>
        <v>93376.422550941497</v>
      </c>
      <c r="X153" s="622">
        <f t="shared" si="9"/>
        <v>95243.951001960333</v>
      </c>
      <c r="Y153" s="622">
        <f t="shared" si="9"/>
        <v>97148.830021999544</v>
      </c>
      <c r="Z153" s="622">
        <f t="shared" si="9"/>
        <v>99091.80662243953</v>
      </c>
      <c r="AA153" s="622">
        <f t="shared" si="9"/>
        <v>101073.64275488832</v>
      </c>
    </row>
    <row r="154" spans="1:27" s="620" customFormat="1" hidden="1" x14ac:dyDescent="0.45">
      <c r="A154" s="803"/>
      <c r="B154" s="797"/>
      <c r="C154" s="797"/>
      <c r="D154" s="797"/>
      <c r="E154" s="804"/>
      <c r="F154" s="805"/>
      <c r="G154" s="806" t="s">
        <v>22</v>
      </c>
      <c r="H154" s="806" t="s">
        <v>22</v>
      </c>
      <c r="I154" s="806" t="s">
        <v>22</v>
      </c>
      <c r="J154" s="806" t="s">
        <v>22</v>
      </c>
      <c r="K154" s="807" t="s">
        <v>22</v>
      </c>
      <c r="L154" s="621" t="s">
        <v>22</v>
      </c>
      <c r="M154" s="621" t="s">
        <v>22</v>
      </c>
      <c r="N154" s="621" t="s">
        <v>22</v>
      </c>
      <c r="O154" s="621" t="s">
        <v>22</v>
      </c>
      <c r="P154" s="621" t="s">
        <v>22</v>
      </c>
      <c r="Q154" s="621" t="s">
        <v>22</v>
      </c>
      <c r="R154" s="621" t="s">
        <v>22</v>
      </c>
      <c r="S154" s="621" t="s">
        <v>22</v>
      </c>
      <c r="T154" s="621" t="s">
        <v>22</v>
      </c>
      <c r="U154" s="621" t="s">
        <v>22</v>
      </c>
      <c r="V154" s="621" t="s">
        <v>22</v>
      </c>
      <c r="W154" s="621" t="s">
        <v>22</v>
      </c>
      <c r="X154" s="621" t="s">
        <v>22</v>
      </c>
      <c r="Y154" s="621" t="s">
        <v>22</v>
      </c>
      <c r="Z154" s="621" t="s">
        <v>22</v>
      </c>
      <c r="AA154" s="621" t="s">
        <v>22</v>
      </c>
    </row>
    <row r="155" spans="1:27" s="620" customFormat="1" hidden="1" x14ac:dyDescent="0.45">
      <c r="A155" s="803"/>
      <c r="B155" s="797"/>
      <c r="C155" s="797"/>
      <c r="D155" s="797" t="s">
        <v>539</v>
      </c>
      <c r="E155" s="804" t="s">
        <v>806</v>
      </c>
      <c r="F155" s="805"/>
      <c r="G155" s="808">
        <f>SUM(G153:G153)</f>
        <v>0</v>
      </c>
      <c r="H155" s="808">
        <f t="shared" ref="H155:AA155" si="10">SUM(H153:H153)</f>
        <v>69380.057388981644</v>
      </c>
      <c r="I155" s="808">
        <f t="shared" si="10"/>
        <v>70767.658536761272</v>
      </c>
      <c r="J155" s="808">
        <f t="shared" si="10"/>
        <v>72183.011707496495</v>
      </c>
      <c r="K155" s="809">
        <f t="shared" si="10"/>
        <v>73626.671941646433</v>
      </c>
      <c r="L155" s="625">
        <f t="shared" si="10"/>
        <v>75099.205380479369</v>
      </c>
      <c r="M155" s="625">
        <f t="shared" si="10"/>
        <v>76601.189488088959</v>
      </c>
      <c r="N155" s="625">
        <f t="shared" si="10"/>
        <v>78133.213277850737</v>
      </c>
      <c r="O155" s="625">
        <f t="shared" si="10"/>
        <v>79695.877543407754</v>
      </c>
      <c r="P155" s="625">
        <f t="shared" si="10"/>
        <v>81289.795094275905</v>
      </c>
      <c r="Q155" s="625">
        <f t="shared" si="10"/>
        <v>82915.590996161423</v>
      </c>
      <c r="R155" s="625">
        <f t="shared" si="10"/>
        <v>84573.90281608465</v>
      </c>
      <c r="S155" s="625">
        <f t="shared" si="10"/>
        <v>86265.380872406342</v>
      </c>
      <c r="T155" s="625">
        <f t="shared" si="10"/>
        <v>87990.688489854467</v>
      </c>
      <c r="U155" s="625">
        <f t="shared" si="10"/>
        <v>89750.502259651563</v>
      </c>
      <c r="V155" s="625">
        <f t="shared" si="10"/>
        <v>91545.512304844597</v>
      </c>
      <c r="W155" s="625">
        <f t="shared" si="10"/>
        <v>93376.422550941497</v>
      </c>
      <c r="X155" s="625">
        <f t="shared" si="10"/>
        <v>95243.951001960333</v>
      </c>
      <c r="Y155" s="625">
        <f t="shared" si="10"/>
        <v>97148.830021999544</v>
      </c>
      <c r="Z155" s="625">
        <f t="shared" si="10"/>
        <v>99091.80662243953</v>
      </c>
      <c r="AA155" s="625">
        <f t="shared" si="10"/>
        <v>101073.64275488832</v>
      </c>
    </row>
    <row r="156" spans="1:27" hidden="1" x14ac:dyDescent="0.45">
      <c r="A156" s="792"/>
      <c r="B156" s="705"/>
      <c r="C156" s="705"/>
      <c r="D156" s="707"/>
      <c r="E156" s="793"/>
      <c r="F156" s="704"/>
      <c r="G156" s="794" t="s">
        <v>22</v>
      </c>
      <c r="H156" s="794" t="s">
        <v>22</v>
      </c>
      <c r="I156" s="794" t="s">
        <v>22</v>
      </c>
      <c r="J156" s="794" t="s">
        <v>22</v>
      </c>
      <c r="K156" s="795" t="s">
        <v>22</v>
      </c>
      <c r="L156" s="566" t="s">
        <v>22</v>
      </c>
      <c r="M156" s="566" t="s">
        <v>22</v>
      </c>
      <c r="N156" s="566" t="s">
        <v>22</v>
      </c>
      <c r="O156" s="566" t="s">
        <v>22</v>
      </c>
      <c r="P156" s="566" t="s">
        <v>22</v>
      </c>
      <c r="Q156" s="566" t="s">
        <v>22</v>
      </c>
      <c r="R156" s="566" t="s">
        <v>22</v>
      </c>
      <c r="S156" s="566" t="s">
        <v>22</v>
      </c>
      <c r="T156" s="566" t="s">
        <v>22</v>
      </c>
      <c r="U156" s="566" t="s">
        <v>22</v>
      </c>
      <c r="V156" s="566" t="s">
        <v>22</v>
      </c>
      <c r="W156" s="566" t="s">
        <v>22</v>
      </c>
      <c r="X156" s="566" t="s">
        <v>22</v>
      </c>
      <c r="Y156" s="566" t="s">
        <v>22</v>
      </c>
      <c r="Z156" s="566" t="s">
        <v>22</v>
      </c>
      <c r="AA156" s="566" t="s">
        <v>22</v>
      </c>
    </row>
    <row r="157" spans="1:27" s="552" customFormat="1" hidden="1" x14ac:dyDescent="0.45">
      <c r="A157" s="810"/>
      <c r="B157" s="705"/>
      <c r="C157" s="705"/>
      <c r="D157" s="705" t="s">
        <v>23</v>
      </c>
      <c r="E157" s="706" t="s">
        <v>806</v>
      </c>
      <c r="F157" s="811"/>
      <c r="G157" s="812">
        <f ca="1">G155+G144</f>
        <v>5717078.3639399</v>
      </c>
      <c r="H157" s="812">
        <f t="shared" ref="H157:AA157" ca="1" si="11">H155+H144</f>
        <v>69380.057388981644</v>
      </c>
      <c r="I157" s="812">
        <f t="shared" ca="1" si="11"/>
        <v>70767.658536761272</v>
      </c>
      <c r="J157" s="812">
        <f t="shared" ca="1" si="11"/>
        <v>72183.011707496495</v>
      </c>
      <c r="K157" s="813">
        <f t="shared" ca="1" si="11"/>
        <v>73626.671941646433</v>
      </c>
      <c r="L157" s="626">
        <f t="shared" ca="1" si="11"/>
        <v>75099.205380479369</v>
      </c>
      <c r="M157" s="626">
        <f t="shared" ca="1" si="11"/>
        <v>76601.189488088959</v>
      </c>
      <c r="N157" s="626">
        <f t="shared" ca="1" si="11"/>
        <v>78133.213277850737</v>
      </c>
      <c r="O157" s="626">
        <f t="shared" ca="1" si="11"/>
        <v>79695.877543407754</v>
      </c>
      <c r="P157" s="626">
        <f t="shared" ca="1" si="11"/>
        <v>81289.795094275905</v>
      </c>
      <c r="Q157" s="626">
        <f t="shared" ca="1" si="11"/>
        <v>82915.590996161423</v>
      </c>
      <c r="R157" s="626">
        <f t="shared" ca="1" si="11"/>
        <v>84573.90281608465</v>
      </c>
      <c r="S157" s="626">
        <f t="shared" ca="1" si="11"/>
        <v>86265.380872406342</v>
      </c>
      <c r="T157" s="626">
        <f t="shared" ca="1" si="11"/>
        <v>87990.688489854467</v>
      </c>
      <c r="U157" s="626">
        <f t="shared" ca="1" si="11"/>
        <v>89750.502259651563</v>
      </c>
      <c r="V157" s="626">
        <f t="shared" ca="1" si="11"/>
        <v>91545.512304844597</v>
      </c>
      <c r="W157" s="626">
        <f t="shared" ca="1" si="11"/>
        <v>93376.422550941497</v>
      </c>
      <c r="X157" s="626">
        <f t="shared" ca="1" si="11"/>
        <v>95243.951001960333</v>
      </c>
      <c r="Y157" s="626">
        <f t="shared" ca="1" si="11"/>
        <v>97148.830021999544</v>
      </c>
      <c r="Z157" s="626">
        <f t="shared" ca="1" si="11"/>
        <v>99091.80662243953</v>
      </c>
      <c r="AA157" s="626">
        <f t="shared" ca="1" si="11"/>
        <v>101073.64275488832</v>
      </c>
    </row>
    <row r="158" spans="1:27" hidden="1" x14ac:dyDescent="0.45">
      <c r="A158" s="792"/>
      <c r="B158" s="705"/>
      <c r="C158" s="705"/>
      <c r="D158" s="707"/>
      <c r="E158" s="783"/>
      <c r="F158" s="814"/>
      <c r="G158" s="815"/>
      <c r="H158" s="815"/>
      <c r="I158" s="815"/>
      <c r="J158" s="815"/>
      <c r="K158" s="816"/>
      <c r="L158" s="568"/>
      <c r="M158" s="568"/>
      <c r="N158" s="568"/>
      <c r="O158" s="568"/>
      <c r="P158" s="568"/>
      <c r="Q158" s="568"/>
      <c r="R158" s="568"/>
      <c r="S158" s="568"/>
      <c r="T158" s="568"/>
      <c r="U158" s="568"/>
      <c r="V158" s="568"/>
      <c r="W158" s="568"/>
      <c r="X158" s="568"/>
      <c r="Y158" s="568"/>
      <c r="Z158" s="568"/>
      <c r="AA158" s="568"/>
    </row>
    <row r="159" spans="1:27" hidden="1" x14ac:dyDescent="0.45">
      <c r="A159" s="792"/>
      <c r="B159" s="707"/>
      <c r="C159" s="705" t="s">
        <v>1</v>
      </c>
      <c r="D159" s="707"/>
      <c r="E159" s="783"/>
      <c r="F159" s="814"/>
      <c r="G159" s="815"/>
      <c r="H159" s="815"/>
      <c r="I159" s="815"/>
      <c r="J159" s="815"/>
      <c r="K159" s="816"/>
      <c r="L159" s="568"/>
      <c r="M159" s="568"/>
      <c r="N159" s="568"/>
      <c r="O159" s="568"/>
      <c r="P159" s="568"/>
      <c r="Q159" s="568"/>
      <c r="R159" s="568"/>
      <c r="S159" s="568"/>
      <c r="T159" s="568"/>
      <c r="U159" s="568"/>
      <c r="V159" s="568"/>
      <c r="W159" s="568"/>
      <c r="X159" s="568"/>
      <c r="Y159" s="568"/>
      <c r="Z159" s="568"/>
      <c r="AA159" s="568"/>
    </row>
    <row r="160" spans="1:27" hidden="1" x14ac:dyDescent="0.45">
      <c r="A160" s="792"/>
      <c r="B160" s="705"/>
      <c r="C160" s="707"/>
      <c r="D160" s="707" t="s">
        <v>504</v>
      </c>
      <c r="E160" s="793" t="s">
        <v>806</v>
      </c>
      <c r="F160" s="814"/>
      <c r="G160" s="817">
        <f ca="1">IF(COUNT($F160:F160)&lt;Assumptions!$H59,SUM($G65:G65)/(Assumptions!$H59+1),SUM(OFFSET(G65,0,-Assumptions!$H59):G65)/(Assumptions!$H59+1))</f>
        <v>154590.14569737442</v>
      </c>
      <c r="H160" s="817">
        <f ca="1">IF(COUNT($F160:G160)&lt;Assumptions!$H59,SUM($G65:H65)/(Assumptions!$H59+1),SUM(OFFSET(H65,0,-Assumptions!$H59):H65)/(Assumptions!$H59+1))</f>
        <v>154590.14569737442</v>
      </c>
      <c r="I160" s="817">
        <f ca="1">IF(COUNT($F160:H160)&lt;Assumptions!$H59,SUM($G65:I65)/(Assumptions!$H59+1),SUM(OFFSET(I65,0,-Assumptions!$H59):I65)/(Assumptions!$H59+1))</f>
        <v>154590.14569737442</v>
      </c>
      <c r="J160" s="817">
        <f ca="1">IF(COUNT($F160:I160)&lt;Assumptions!$H59,SUM($G65:J65)/(Assumptions!$H59+1),SUM(OFFSET(J65,0,-Assumptions!$H59):J65)/(Assumptions!$H59+1))</f>
        <v>154590.14569737442</v>
      </c>
      <c r="K160" s="818">
        <f ca="1">IF(COUNT($F160:J160)&lt;Assumptions!$H59,SUM($G65:K65)/(Assumptions!$H59+1),SUM(OFFSET(K65,0,-Assumptions!$H59):K65)/(Assumptions!$H59+1))</f>
        <v>154590.14569737442</v>
      </c>
      <c r="L160" s="627">
        <f ca="1">IF(COUNT($F160:K160)&lt;Assumptions!$H59,SUM($G65:L65)/(Assumptions!$H59+1),SUM(OFFSET(L65,0,-Assumptions!$H59):L65)/(Assumptions!$H59+1))</f>
        <v>154590.14569737442</v>
      </c>
      <c r="M160" s="627">
        <f ca="1">IF(COUNT($F160:L160)&lt;Assumptions!$H59,SUM($G65:M65)/(Assumptions!$H59+1),SUM(OFFSET(M65,0,-Assumptions!$H59):M65)/(Assumptions!$H59+1))</f>
        <v>154590.14569737442</v>
      </c>
      <c r="N160" s="627">
        <f ca="1">IF(COUNT($F160:M160)&lt;Assumptions!$H59,SUM($G65:N65)/(Assumptions!$H59+1),SUM(OFFSET(N65,0,-Assumptions!$H59):N65)/(Assumptions!$H59+1))</f>
        <v>154590.14569737442</v>
      </c>
      <c r="O160" s="627">
        <f ca="1">IF(COUNT($F160:N160)&lt;Assumptions!$H59,SUM($G65:O65)/(Assumptions!$H59+1),SUM(OFFSET(O65,0,-Assumptions!$H59):O65)/(Assumptions!$H59+1))</f>
        <v>154590.14569737442</v>
      </c>
      <c r="P160" s="627">
        <f ca="1">IF(COUNT($F160:O160)&lt;Assumptions!$H59,SUM($G65:P65)/(Assumptions!$H59+1),SUM(OFFSET(P65,0,-Assumptions!$H59):P65)/(Assumptions!$H59+1))</f>
        <v>154590.14569737442</v>
      </c>
      <c r="Q160" s="627">
        <f ca="1">IF(COUNT($F160:P160)&lt;Assumptions!$H59,SUM($G65:Q65)/(Assumptions!$H59+1),SUM(OFFSET(Q65,0,-Assumptions!$H59):Q65)/(Assumptions!$H59+1))</f>
        <v>154590.14569737442</v>
      </c>
      <c r="R160" s="627">
        <f ca="1">IF(COUNT($F160:Q160)&lt;Assumptions!$H59,SUM($G65:R65)/(Assumptions!$H59+1),SUM(OFFSET(R65,0,-Assumptions!$H59):R65)/(Assumptions!$H59+1))</f>
        <v>154590.14569737442</v>
      </c>
      <c r="S160" s="627">
        <f ca="1">IF(COUNT($F160:R160)&lt;Assumptions!$H59,SUM($G65:S65)/(Assumptions!$H59+1),SUM(OFFSET(S65,0,-Assumptions!$H59):S65)/(Assumptions!$H59+1))</f>
        <v>154590.14569737442</v>
      </c>
      <c r="T160" s="627">
        <f ca="1">IF(COUNT($F160:S160)&lt;Assumptions!$H59,SUM($G65:T65)/(Assumptions!$H59+1),SUM(OFFSET(T65,0,-Assumptions!$H59):T65)/(Assumptions!$H59+1))</f>
        <v>154590.14569737442</v>
      </c>
      <c r="U160" s="627">
        <f ca="1">IF(COUNT($F160:T160)&lt;Assumptions!$H59,SUM($G65:U65)/(Assumptions!$H59+1),SUM(OFFSET(U65,0,-Assumptions!$H59):U65)/(Assumptions!$H59+1))</f>
        <v>154590.14569737442</v>
      </c>
      <c r="V160" s="627">
        <f ca="1">IF(COUNT($F160:U160)&lt;Assumptions!$H59,SUM($G65:V65)/(Assumptions!$H59+1),SUM(OFFSET(V65,0,-Assumptions!$H59):V65)/(Assumptions!$H59+1))</f>
        <v>154590.14569737442</v>
      </c>
      <c r="W160" s="627">
        <f ca="1">IF(COUNT($F160:V160)&lt;Assumptions!$H59,SUM($G65:W65)/(Assumptions!$H59+1),SUM(OFFSET(W65,0,-Assumptions!$H59):W65)/(Assumptions!$H59+1))</f>
        <v>154590.14569737442</v>
      </c>
      <c r="X160" s="627">
        <f ca="1">IF(COUNT($F160:W160)&lt;Assumptions!$H59,SUM($G65:X65)/(Assumptions!$H59+1),SUM(OFFSET(X65,0,-Assumptions!$H59):X65)/(Assumptions!$H59+1))</f>
        <v>154590.14569737442</v>
      </c>
      <c r="Y160" s="627">
        <f ca="1">IF(COUNT($F160:X160)&lt;Assumptions!$H59,SUM($G65:Y65)/(Assumptions!$H59+1),SUM(OFFSET(Y65,0,-Assumptions!$H59):Y65)/(Assumptions!$H59+1))</f>
        <v>154590.14569737442</v>
      </c>
      <c r="Z160" s="627">
        <f ca="1">IF(COUNT($F160:Y160)&lt;Assumptions!$H59,SUM($G65:Z65)/(Assumptions!$H59+1),SUM(OFFSET(Z65,0,-Assumptions!$H59):Z65)/(Assumptions!$H59+1))</f>
        <v>154590.14569737442</v>
      </c>
      <c r="AA160" s="627">
        <f ca="1">IF(COUNT($F160:Z160)&lt;Assumptions!$H59,SUM($G65:AA65)/(Assumptions!$H59+1),SUM(OFFSET(AA65,0,-Assumptions!$H59):AA65)/(Assumptions!$H59+1))</f>
        <v>154590.14569737442</v>
      </c>
    </row>
    <row r="161" spans="1:27" hidden="1" x14ac:dyDescent="0.45">
      <c r="A161" s="792"/>
      <c r="B161" s="705"/>
      <c r="C161" s="707"/>
      <c r="D161" s="707" t="s">
        <v>505</v>
      </c>
      <c r="E161" s="793" t="s">
        <v>806</v>
      </c>
      <c r="F161" s="814"/>
      <c r="G161" s="817">
        <f ca="1">IF(COUNT($F161:F161)&lt;Assumptions!$H108,SUM($G142:G142)/(Assumptions!$H108+1),SUM(OFFSET(G142,0,-Assumptions!$H108):G142)/(Assumptions!$H108+1))</f>
        <v>105277.05266353012</v>
      </c>
      <c r="H161" s="817">
        <f ca="1">IF(COUNT($F161:G161)&lt;Assumptions!$H108,SUM($G142:H142)/(Assumptions!$H108+1),SUM(OFFSET(H142,0,-Assumptions!$H108):H142)/(Assumptions!$H108+1))</f>
        <v>105277.05266353012</v>
      </c>
      <c r="I161" s="817">
        <f ca="1">IF(COUNT($F161:H161)&lt;Assumptions!$H108,SUM($G142:I142)/(Assumptions!$H108+1),SUM(OFFSET(I142,0,-Assumptions!$H108):I142)/(Assumptions!$H108+1))</f>
        <v>105277.05266353012</v>
      </c>
      <c r="J161" s="817">
        <f ca="1">IF(COUNT($F161:I161)&lt;Assumptions!$H108,SUM($G142:J142)/(Assumptions!$H108+1),SUM(OFFSET(J142,0,-Assumptions!$H108):J142)/(Assumptions!$H108+1))</f>
        <v>105277.05266353012</v>
      </c>
      <c r="K161" s="818">
        <f ca="1">IF(COUNT($F161:J161)&lt;Assumptions!$H108,SUM($G142:K142)/(Assumptions!$H108+1),SUM(OFFSET(K142,0,-Assumptions!$H108):K142)/(Assumptions!$H108+1))</f>
        <v>105277.05266353012</v>
      </c>
      <c r="L161" s="627">
        <f ca="1">IF(COUNT($F161:K161)&lt;Assumptions!$H108,SUM($G142:L142)/(Assumptions!$H108+1),SUM(OFFSET(L142,0,-Assumptions!$H108):L142)/(Assumptions!$H108+1))</f>
        <v>105277.05266353012</v>
      </c>
      <c r="M161" s="627">
        <f ca="1">IF(COUNT($F161:L161)&lt;Assumptions!$H108,SUM($G142:M142)/(Assumptions!$H108+1),SUM(OFFSET(M142,0,-Assumptions!$H108):M142)/(Assumptions!$H108+1))</f>
        <v>105277.05266353012</v>
      </c>
      <c r="N161" s="627">
        <f ca="1">IF(COUNT($F161:M161)&lt;Assumptions!$H108,SUM($G142:N142)/(Assumptions!$H108+1),SUM(OFFSET(N142,0,-Assumptions!$H108):N142)/(Assumptions!$H108+1))</f>
        <v>105277.05266353012</v>
      </c>
      <c r="O161" s="627">
        <f ca="1">IF(COUNT($F161:N161)&lt;Assumptions!$H108,SUM($G142:O142)/(Assumptions!$H108+1),SUM(OFFSET(O142,0,-Assumptions!$H108):O142)/(Assumptions!$H108+1))</f>
        <v>105277.05266353012</v>
      </c>
      <c r="P161" s="627">
        <f ca="1">IF(COUNT($F161:O161)&lt;Assumptions!$H108,SUM($G142:P142)/(Assumptions!$H108+1),SUM(OFFSET(P142,0,-Assumptions!$H108):P142)/(Assumptions!$H108+1))</f>
        <v>105277.05266353012</v>
      </c>
      <c r="Q161" s="627">
        <f ca="1">IF(COUNT($F161:P161)&lt;Assumptions!$H108,SUM($G142:Q142)/(Assumptions!$H108+1),SUM(OFFSET(Q142,0,-Assumptions!$H108):Q142)/(Assumptions!$H108+1))</f>
        <v>105277.05266353012</v>
      </c>
      <c r="R161" s="627">
        <f ca="1">IF(COUNT($F161:Q161)&lt;Assumptions!$H108,SUM($G142:R142)/(Assumptions!$H108+1),SUM(OFFSET(R142,0,-Assumptions!$H108):R142)/(Assumptions!$H108+1))</f>
        <v>105277.05266353012</v>
      </c>
      <c r="S161" s="627">
        <f ca="1">IF(COUNT($F161:R161)&lt;Assumptions!$H108,SUM($G142:S142)/(Assumptions!$H108+1),SUM(OFFSET(S142,0,-Assumptions!$H108):S142)/(Assumptions!$H108+1))</f>
        <v>105277.05266353012</v>
      </c>
      <c r="T161" s="627">
        <f ca="1">IF(COUNT($F161:S161)&lt;Assumptions!$H108,SUM($G142:T142)/(Assumptions!$H108+1),SUM(OFFSET(T142,0,-Assumptions!$H108):T142)/(Assumptions!$H108+1))</f>
        <v>105277.05266353012</v>
      </c>
      <c r="U161" s="627">
        <f ca="1">IF(COUNT($F161:T161)&lt;Assumptions!$H108,SUM($G142:U142)/(Assumptions!$H108+1),SUM(OFFSET(U142,0,-Assumptions!$H108):U142)/(Assumptions!$H108+1))</f>
        <v>105277.05266353012</v>
      </c>
      <c r="V161" s="627">
        <f ca="1">IF(COUNT($F161:U161)&lt;Assumptions!$H108,SUM($G142:V142)/(Assumptions!$H108+1),SUM(OFFSET(V142,0,-Assumptions!$H108):V142)/(Assumptions!$H108+1))</f>
        <v>105277.05266353012</v>
      </c>
      <c r="W161" s="627">
        <f ca="1">IF(COUNT($F161:V161)&lt;Assumptions!$H108,SUM($G142:W142)/(Assumptions!$H108+1),SUM(OFFSET(W142,0,-Assumptions!$H108):W142)/(Assumptions!$H108+1))</f>
        <v>105277.05266353012</v>
      </c>
      <c r="X161" s="627">
        <f ca="1">IF(COUNT($F161:W161)&lt;Assumptions!$H108,SUM($G142:X142)/(Assumptions!$H108+1),SUM(OFFSET(X142,0,-Assumptions!$H108):X142)/(Assumptions!$H108+1))</f>
        <v>105277.05266353012</v>
      </c>
      <c r="Y161" s="627">
        <f ca="1">IF(COUNT($F161:X161)&lt;Assumptions!$H108,SUM($G142:Y142)/(Assumptions!$H108+1),SUM(OFFSET(Y142,0,-Assumptions!$H108):Y142)/(Assumptions!$H108+1))</f>
        <v>105277.05266353012</v>
      </c>
      <c r="Z161" s="627">
        <f ca="1">IF(COUNT($F161:Y161)&lt;Assumptions!$H108,SUM($G142:Z142)/(Assumptions!$H108+1),SUM(OFFSET(Z142,0,-Assumptions!$H108):Z142)/(Assumptions!$H108+1))</f>
        <v>105277.05266353012</v>
      </c>
      <c r="AA161" s="627">
        <f ca="1">IF(COUNT($F161:Z161)&lt;Assumptions!$H108,SUM($G142:AA142)/(Assumptions!$H108+1),SUM(OFFSET(AA142,0,-Assumptions!$H108):AA142)/(Assumptions!$H108+1))</f>
        <v>105277.05266353012</v>
      </c>
    </row>
    <row r="162" spans="1:27" hidden="1" x14ac:dyDescent="0.45">
      <c r="A162" s="792"/>
      <c r="B162" s="705"/>
      <c r="C162" s="705"/>
      <c r="D162" s="707"/>
      <c r="E162" s="783"/>
      <c r="F162" s="707"/>
      <c r="G162" s="819" t="s">
        <v>22</v>
      </c>
      <c r="H162" s="819" t="s">
        <v>22</v>
      </c>
      <c r="I162" s="819" t="s">
        <v>22</v>
      </c>
      <c r="J162" s="819" t="s">
        <v>22</v>
      </c>
      <c r="K162" s="820" t="s">
        <v>22</v>
      </c>
      <c r="L162" s="569" t="s">
        <v>22</v>
      </c>
      <c r="M162" s="569" t="s">
        <v>22</v>
      </c>
      <c r="N162" s="569" t="s">
        <v>22</v>
      </c>
      <c r="O162" s="569" t="s">
        <v>22</v>
      </c>
      <c r="P162" s="569" t="s">
        <v>22</v>
      </c>
      <c r="Q162" s="569" t="s">
        <v>22</v>
      </c>
      <c r="R162" s="569" t="s">
        <v>22</v>
      </c>
      <c r="S162" s="569" t="s">
        <v>22</v>
      </c>
      <c r="T162" s="569" t="s">
        <v>22</v>
      </c>
      <c r="U162" s="569" t="s">
        <v>22</v>
      </c>
      <c r="V162" s="569" t="s">
        <v>22</v>
      </c>
      <c r="W162" s="569" t="s">
        <v>22</v>
      </c>
      <c r="X162" s="569" t="s">
        <v>22</v>
      </c>
      <c r="Y162" s="569" t="s">
        <v>22</v>
      </c>
      <c r="Z162" s="569" t="s">
        <v>22</v>
      </c>
      <c r="AA162" s="569" t="s">
        <v>22</v>
      </c>
    </row>
    <row r="163" spans="1:27" s="552" customFormat="1" hidden="1" x14ac:dyDescent="0.45">
      <c r="A163" s="810"/>
      <c r="B163" s="705"/>
      <c r="C163" s="705"/>
      <c r="D163" s="705" t="s">
        <v>24</v>
      </c>
      <c r="E163" s="706" t="s">
        <v>806</v>
      </c>
      <c r="F163" s="811"/>
      <c r="G163" s="821">
        <f t="shared" ref="G163:AA163" ca="1" si="12">SUM(G160:G161)</f>
        <v>259867.19836090453</v>
      </c>
      <c r="H163" s="821">
        <f t="shared" ca="1" si="12"/>
        <v>259867.19836090453</v>
      </c>
      <c r="I163" s="821">
        <f t="shared" ca="1" si="12"/>
        <v>259867.19836090453</v>
      </c>
      <c r="J163" s="821">
        <f t="shared" ca="1" si="12"/>
        <v>259867.19836090453</v>
      </c>
      <c r="K163" s="822">
        <f t="shared" ca="1" si="12"/>
        <v>259867.19836090453</v>
      </c>
      <c r="L163" s="570">
        <f t="shared" ca="1" si="12"/>
        <v>259867.19836090453</v>
      </c>
      <c r="M163" s="570">
        <f t="shared" ca="1" si="12"/>
        <v>259867.19836090453</v>
      </c>
      <c r="N163" s="570">
        <f t="shared" ca="1" si="12"/>
        <v>259867.19836090453</v>
      </c>
      <c r="O163" s="570">
        <f t="shared" ca="1" si="12"/>
        <v>259867.19836090453</v>
      </c>
      <c r="P163" s="570">
        <f t="shared" ca="1" si="12"/>
        <v>259867.19836090453</v>
      </c>
      <c r="Q163" s="570">
        <f t="shared" ca="1" si="12"/>
        <v>259867.19836090453</v>
      </c>
      <c r="R163" s="570">
        <f t="shared" ca="1" si="12"/>
        <v>259867.19836090453</v>
      </c>
      <c r="S163" s="570">
        <f t="shared" ca="1" si="12"/>
        <v>259867.19836090453</v>
      </c>
      <c r="T163" s="570">
        <f t="shared" ca="1" si="12"/>
        <v>259867.19836090453</v>
      </c>
      <c r="U163" s="570">
        <f t="shared" ca="1" si="12"/>
        <v>259867.19836090453</v>
      </c>
      <c r="V163" s="570">
        <f t="shared" ca="1" si="12"/>
        <v>259867.19836090453</v>
      </c>
      <c r="W163" s="570">
        <f t="shared" ca="1" si="12"/>
        <v>259867.19836090453</v>
      </c>
      <c r="X163" s="570">
        <f t="shared" ca="1" si="12"/>
        <v>259867.19836090453</v>
      </c>
      <c r="Y163" s="570">
        <f t="shared" ca="1" si="12"/>
        <v>259867.19836090453</v>
      </c>
      <c r="Z163" s="570">
        <f t="shared" ca="1" si="12"/>
        <v>259867.19836090453</v>
      </c>
      <c r="AA163" s="570">
        <f t="shared" ca="1" si="12"/>
        <v>259867.19836090453</v>
      </c>
    </row>
    <row r="164" spans="1:27" hidden="1" x14ac:dyDescent="0.45">
      <c r="A164" s="792"/>
      <c r="B164" s="705"/>
      <c r="C164" s="705"/>
      <c r="D164" s="707"/>
      <c r="E164" s="783"/>
      <c r="F164" s="789"/>
      <c r="G164" s="815"/>
      <c r="H164" s="815"/>
      <c r="I164" s="815"/>
      <c r="J164" s="815"/>
      <c r="K164" s="816"/>
      <c r="L164" s="568"/>
      <c r="M164" s="568"/>
      <c r="N164" s="568"/>
      <c r="O164" s="568"/>
      <c r="P164" s="568"/>
      <c r="Q164" s="568"/>
      <c r="R164" s="568"/>
      <c r="S164" s="568"/>
      <c r="T164" s="568"/>
      <c r="U164" s="568"/>
      <c r="V164" s="568"/>
      <c r="W164" s="568"/>
      <c r="X164" s="568"/>
      <c r="Y164" s="568"/>
      <c r="Z164" s="568"/>
      <c r="AA164" s="568"/>
    </row>
    <row r="165" spans="1:27" hidden="1" x14ac:dyDescent="0.45">
      <c r="A165" s="777"/>
      <c r="B165" s="707"/>
      <c r="C165" s="705"/>
      <c r="D165" s="707"/>
      <c r="E165" s="707"/>
      <c r="F165" s="707"/>
      <c r="G165" s="823"/>
      <c r="H165" s="824"/>
      <c r="I165" s="824"/>
      <c r="J165" s="824"/>
      <c r="K165" s="825"/>
      <c r="L165" s="628"/>
      <c r="M165" s="628"/>
      <c r="N165" s="628"/>
      <c r="O165" s="628"/>
      <c r="P165" s="628"/>
      <c r="Q165" s="628"/>
      <c r="R165" s="628"/>
      <c r="S165" s="628"/>
      <c r="T165" s="628"/>
      <c r="U165" s="628"/>
      <c r="V165" s="628"/>
      <c r="W165" s="628"/>
      <c r="X165" s="628"/>
      <c r="Y165" s="628"/>
      <c r="Z165" s="628"/>
      <c r="AA165" s="628"/>
    </row>
    <row r="166" spans="1:27" hidden="1" x14ac:dyDescent="0.45">
      <c r="A166" s="777"/>
      <c r="B166" s="705"/>
      <c r="C166" s="707"/>
      <c r="D166" s="707" t="s">
        <v>543</v>
      </c>
      <c r="E166" s="783" t="s">
        <v>806</v>
      </c>
      <c r="F166" s="707"/>
      <c r="G166" s="815">
        <f>Assumptions!I216</f>
        <v>190000</v>
      </c>
      <c r="H166" s="815">
        <f>G166*(1+Assumptions!$H$234)</f>
        <v>193800</v>
      </c>
      <c r="I166" s="815">
        <f>H166*(1+Assumptions!$H$234)</f>
        <v>197676</v>
      </c>
      <c r="J166" s="815">
        <f>I166*(1+Assumptions!$H$234)</f>
        <v>201629.52</v>
      </c>
      <c r="K166" s="816">
        <f>J166*(1+Assumptions!$H$234)</f>
        <v>205662.11040000001</v>
      </c>
      <c r="L166" s="568">
        <f>K166*(1+Assumptions!$H$234)</f>
        <v>209775.35260800002</v>
      </c>
      <c r="M166" s="568">
        <f>L166*(1+Assumptions!$H$234)</f>
        <v>213970.85966016003</v>
      </c>
      <c r="N166" s="568">
        <f>M166*(1+Assumptions!$H$234)</f>
        <v>218250.27685336323</v>
      </c>
      <c r="O166" s="568">
        <f>N166*(1+Assumptions!$H$234)</f>
        <v>222615.28239043051</v>
      </c>
      <c r="P166" s="568">
        <f>O166*(1+Assumptions!$H$234)</f>
        <v>227067.58803823913</v>
      </c>
      <c r="Q166" s="568">
        <f>P166*(1+Assumptions!$H$234)</f>
        <v>231608.93979900391</v>
      </c>
      <c r="R166" s="568">
        <f>Q166*(1+Assumptions!$H$234)</f>
        <v>236241.118594984</v>
      </c>
      <c r="S166" s="568">
        <f>R166*(1+Assumptions!$H$234)</f>
        <v>240965.94096688367</v>
      </c>
      <c r="T166" s="568">
        <f>S166*(1+Assumptions!$H$234)</f>
        <v>245785.25978622134</v>
      </c>
      <c r="U166" s="568">
        <f>T166*(1+Assumptions!$H$234)</f>
        <v>250700.96498194578</v>
      </c>
      <c r="V166" s="568">
        <f>U166*(1+Assumptions!$H$234)</f>
        <v>255714.98428158471</v>
      </c>
      <c r="W166" s="568">
        <f>V166*(1+Assumptions!$H$234)</f>
        <v>260829.28396721641</v>
      </c>
      <c r="X166" s="568">
        <f>W166*(1+Assumptions!$H$234)</f>
        <v>266045.86964656075</v>
      </c>
      <c r="Y166" s="568">
        <f>X166*(1+Assumptions!$H$234)</f>
        <v>271366.78703949199</v>
      </c>
      <c r="Z166" s="568">
        <f>Y166*(1+Assumptions!$H$234)</f>
        <v>276794.12278028182</v>
      </c>
      <c r="AA166" s="568">
        <f>Z166*(1+Assumptions!$H$234)</f>
        <v>282330.00523588748</v>
      </c>
    </row>
    <row r="167" spans="1:27" hidden="1" x14ac:dyDescent="0.45">
      <c r="A167" s="777"/>
      <c r="B167" s="707"/>
      <c r="C167" s="707"/>
      <c r="D167" s="707" t="s">
        <v>203</v>
      </c>
      <c r="E167" s="783" t="s">
        <v>806</v>
      </c>
      <c r="F167" s="707"/>
      <c r="G167" s="815">
        <f>SUM(G176)*G166/10</f>
        <v>76000</v>
      </c>
      <c r="H167" s="815">
        <f>SUM(H176:H177)*H166/10</f>
        <v>77520</v>
      </c>
      <c r="I167" s="815">
        <f t="shared" ref="I167:AA167" si="13">SUM(I176:I177)*I166/10</f>
        <v>79070.399999999994</v>
      </c>
      <c r="J167" s="815">
        <f t="shared" si="13"/>
        <v>80651.80799999999</v>
      </c>
      <c r="K167" s="816">
        <f t="shared" si="13"/>
        <v>82264.844160000008</v>
      </c>
      <c r="L167" s="568">
        <f t="shared" si="13"/>
        <v>83910.141043200012</v>
      </c>
      <c r="M167" s="568">
        <f t="shared" si="13"/>
        <v>85588.343864064009</v>
      </c>
      <c r="N167" s="568">
        <f t="shared" si="13"/>
        <v>87300.110741345299</v>
      </c>
      <c r="O167" s="568">
        <f t="shared" si="13"/>
        <v>89046.112956172205</v>
      </c>
      <c r="P167" s="568">
        <f t="shared" si="13"/>
        <v>90827.035215295648</v>
      </c>
      <c r="Q167" s="568">
        <f t="shared" si="13"/>
        <v>92643.575919601572</v>
      </c>
      <c r="R167" s="568">
        <f t="shared" si="13"/>
        <v>94496.4474379936</v>
      </c>
      <c r="S167" s="568">
        <f t="shared" si="13"/>
        <v>96386.376386753473</v>
      </c>
      <c r="T167" s="568">
        <f t="shared" si="13"/>
        <v>98314.103914488544</v>
      </c>
      <c r="U167" s="568">
        <f t="shared" si="13"/>
        <v>100280.38599277832</v>
      </c>
      <c r="V167" s="568">
        <f t="shared" si="13"/>
        <v>102285.99371263388</v>
      </c>
      <c r="W167" s="568">
        <f t="shared" si="13"/>
        <v>104331.71358688656</v>
      </c>
      <c r="X167" s="568">
        <f t="shared" si="13"/>
        <v>106418.3478586243</v>
      </c>
      <c r="Y167" s="568">
        <f t="shared" si="13"/>
        <v>108546.71481579679</v>
      </c>
      <c r="Z167" s="568">
        <f t="shared" si="13"/>
        <v>110717.64911211273</v>
      </c>
      <c r="AA167" s="568">
        <f t="shared" si="13"/>
        <v>112932.00209435499</v>
      </c>
    </row>
    <row r="168" spans="1:27" hidden="1" x14ac:dyDescent="0.45">
      <c r="A168" s="792"/>
      <c r="B168" s="705"/>
      <c r="C168" s="705"/>
      <c r="D168" s="707"/>
      <c r="E168" s="783"/>
      <c r="F168" s="707"/>
      <c r="G168" s="819" t="s">
        <v>22</v>
      </c>
      <c r="H168" s="819" t="s">
        <v>22</v>
      </c>
      <c r="I168" s="819" t="s">
        <v>22</v>
      </c>
      <c r="J168" s="819" t="s">
        <v>22</v>
      </c>
      <c r="K168" s="820" t="s">
        <v>22</v>
      </c>
      <c r="L168" s="569" t="s">
        <v>22</v>
      </c>
      <c r="M168" s="569" t="s">
        <v>22</v>
      </c>
      <c r="N168" s="569" t="s">
        <v>22</v>
      </c>
      <c r="O168" s="569" t="s">
        <v>22</v>
      </c>
      <c r="P168" s="569" t="s">
        <v>22</v>
      </c>
      <c r="Q168" s="569" t="s">
        <v>22</v>
      </c>
      <c r="R168" s="569" t="s">
        <v>22</v>
      </c>
      <c r="S168" s="569" t="s">
        <v>22</v>
      </c>
      <c r="T168" s="569" t="s">
        <v>22</v>
      </c>
      <c r="U168" s="569" t="s">
        <v>22</v>
      </c>
      <c r="V168" s="569" t="s">
        <v>22</v>
      </c>
      <c r="W168" s="569" t="s">
        <v>22</v>
      </c>
      <c r="X168" s="569" t="s">
        <v>22</v>
      </c>
      <c r="Y168" s="569" t="s">
        <v>22</v>
      </c>
      <c r="Z168" s="569" t="s">
        <v>22</v>
      </c>
      <c r="AA168" s="569" t="s">
        <v>22</v>
      </c>
    </row>
    <row r="169" spans="1:27" hidden="1" x14ac:dyDescent="0.45">
      <c r="A169" s="792"/>
      <c r="B169" s="707"/>
      <c r="C169" s="707"/>
      <c r="D169" s="707"/>
      <c r="E169" s="783"/>
      <c r="F169" s="704"/>
      <c r="G169" s="815"/>
      <c r="H169" s="815"/>
      <c r="I169" s="815"/>
      <c r="J169" s="815"/>
      <c r="K169" s="816"/>
      <c r="L169" s="568"/>
      <c r="M169" s="568"/>
      <c r="N169" s="568"/>
      <c r="O169" s="568"/>
      <c r="P169" s="568"/>
      <c r="Q169" s="568"/>
      <c r="R169" s="568"/>
      <c r="S169" s="568"/>
      <c r="T169" s="568"/>
      <c r="U169" s="568"/>
      <c r="V169" s="568"/>
      <c r="W169" s="568"/>
      <c r="X169" s="568"/>
      <c r="Y169" s="568"/>
      <c r="Z169" s="568"/>
      <c r="AA169" s="568"/>
    </row>
    <row r="170" spans="1:27" s="640" customFormat="1" x14ac:dyDescent="0.45">
      <c r="A170" s="778"/>
      <c r="B170" s="689"/>
      <c r="C170" s="689"/>
      <c r="D170" s="689"/>
      <c r="E170" s="690"/>
      <c r="F170" s="689"/>
      <c r="G170" s="691">
        <v>1</v>
      </c>
      <c r="H170" s="691">
        <v>2</v>
      </c>
      <c r="I170" s="691">
        <v>3</v>
      </c>
      <c r="J170" s="691">
        <v>4</v>
      </c>
      <c r="K170" s="692">
        <v>5</v>
      </c>
      <c r="L170" s="641">
        <v>6</v>
      </c>
      <c r="M170" s="641">
        <v>7</v>
      </c>
      <c r="N170" s="641">
        <v>8</v>
      </c>
      <c r="O170" s="641">
        <v>9</v>
      </c>
      <c r="P170" s="641">
        <v>10</v>
      </c>
      <c r="Q170" s="641">
        <v>11</v>
      </c>
      <c r="R170" s="641">
        <v>12</v>
      </c>
      <c r="S170" s="641">
        <v>13</v>
      </c>
      <c r="T170" s="641">
        <v>14</v>
      </c>
      <c r="U170" s="641">
        <v>15</v>
      </c>
      <c r="V170" s="641">
        <v>16</v>
      </c>
      <c r="W170" s="641">
        <v>17</v>
      </c>
      <c r="X170" s="641">
        <v>18</v>
      </c>
      <c r="Y170" s="641">
        <v>19</v>
      </c>
      <c r="Z170" s="641">
        <v>20</v>
      </c>
      <c r="AA170" s="641">
        <v>21</v>
      </c>
    </row>
    <row r="171" spans="1:27" s="642" customFormat="1" x14ac:dyDescent="0.45">
      <c r="A171" s="693"/>
      <c r="C171" s="643"/>
      <c r="D171" s="643"/>
      <c r="E171" s="644" t="s">
        <v>0</v>
      </c>
      <c r="F171" s="645"/>
      <c r="G171" s="646">
        <v>2021</v>
      </c>
      <c r="H171" s="646">
        <v>2022</v>
      </c>
      <c r="I171" s="646">
        <v>2023</v>
      </c>
      <c r="J171" s="646">
        <v>2024</v>
      </c>
      <c r="K171" s="694">
        <v>2025</v>
      </c>
      <c r="L171" s="646">
        <v>2026</v>
      </c>
      <c r="M171" s="646">
        <v>2027</v>
      </c>
      <c r="N171" s="646">
        <v>2028</v>
      </c>
      <c r="O171" s="646">
        <v>2029</v>
      </c>
      <c r="P171" s="646">
        <v>2030</v>
      </c>
      <c r="Q171" s="646">
        <v>2031</v>
      </c>
      <c r="R171" s="646">
        <v>2032</v>
      </c>
      <c r="S171" s="646">
        <v>2033</v>
      </c>
      <c r="T171" s="646">
        <v>2034</v>
      </c>
      <c r="U171" s="646">
        <v>2035</v>
      </c>
      <c r="V171" s="646">
        <v>2036</v>
      </c>
      <c r="W171" s="646">
        <v>2037</v>
      </c>
      <c r="X171" s="646">
        <v>2038</v>
      </c>
      <c r="Y171" s="646">
        <v>2039</v>
      </c>
      <c r="Z171" s="646">
        <v>2040</v>
      </c>
      <c r="AA171" s="646">
        <v>2041</v>
      </c>
    </row>
    <row r="172" spans="1:27" x14ac:dyDescent="0.45">
      <c r="A172" s="792"/>
      <c r="B172" s="705" t="s">
        <v>4</v>
      </c>
      <c r="C172" s="707"/>
      <c r="D172" s="707"/>
      <c r="E172" s="783"/>
      <c r="F172" s="826"/>
      <c r="G172" s="815"/>
      <c r="H172" s="815"/>
      <c r="I172" s="815"/>
      <c r="J172" s="815"/>
      <c r="K172" s="816"/>
      <c r="L172" s="568"/>
      <c r="M172" s="568"/>
      <c r="N172" s="568"/>
      <c r="O172" s="568"/>
      <c r="P172" s="568"/>
      <c r="Q172" s="568"/>
      <c r="R172" s="568"/>
      <c r="S172" s="568"/>
      <c r="T172" s="568"/>
      <c r="U172" s="568"/>
      <c r="V172" s="568"/>
      <c r="W172" s="568"/>
      <c r="X172" s="568"/>
      <c r="Y172" s="568"/>
      <c r="Z172" s="568"/>
      <c r="AA172" s="568"/>
    </row>
    <row r="173" spans="1:27" x14ac:dyDescent="0.45">
      <c r="A173" s="792"/>
      <c r="B173" s="705"/>
      <c r="C173" s="707"/>
      <c r="D173" s="707" t="s">
        <v>541</v>
      </c>
      <c r="E173" s="783" t="s">
        <v>533</v>
      </c>
      <c r="F173" s="707"/>
      <c r="G173" s="817">
        <f>Assumptions!H17</f>
        <v>8</v>
      </c>
      <c r="H173" s="817">
        <f>Assumptions!I17</f>
        <v>0</v>
      </c>
      <c r="I173" s="817">
        <f>Assumptions!J17</f>
        <v>0</v>
      </c>
      <c r="J173" s="817">
        <f>Assumptions!K17</f>
        <v>0</v>
      </c>
      <c r="K173" s="818">
        <f>Assumptions!L17</f>
        <v>0</v>
      </c>
      <c r="L173" s="627">
        <f>Assumptions!M17</f>
        <v>0</v>
      </c>
      <c r="M173" s="627">
        <f>Assumptions!N17</f>
        <v>0</v>
      </c>
      <c r="N173" s="627">
        <f>Assumptions!O17</f>
        <v>0</v>
      </c>
      <c r="O173" s="627">
        <f>Assumptions!P17</f>
        <v>0</v>
      </c>
      <c r="P173" s="627">
        <f>Assumptions!Q17</f>
        <v>0</v>
      </c>
      <c r="Q173" s="627">
        <f>Assumptions!R17</f>
        <v>0</v>
      </c>
      <c r="R173" s="627">
        <f>Assumptions!S17</f>
        <v>0</v>
      </c>
      <c r="S173" s="627">
        <f>Assumptions!T17</f>
        <v>0</v>
      </c>
      <c r="T173" s="627">
        <f>Assumptions!U17</f>
        <v>0</v>
      </c>
      <c r="U173" s="627">
        <f>Assumptions!V17</f>
        <v>0</v>
      </c>
      <c r="V173" s="627">
        <f>Assumptions!W17</f>
        <v>0</v>
      </c>
      <c r="W173" s="627">
        <f>Assumptions!X17</f>
        <v>0</v>
      </c>
      <c r="X173" s="627">
        <f>Assumptions!Y17</f>
        <v>0</v>
      </c>
      <c r="Y173" s="627">
        <f>Assumptions!Z17</f>
        <v>0</v>
      </c>
      <c r="Z173" s="627">
        <f>Assumptions!AA17</f>
        <v>0</v>
      </c>
      <c r="AA173" s="627">
        <f>Assumptions!AB17</f>
        <v>0</v>
      </c>
    </row>
    <row r="174" spans="1:27" x14ac:dyDescent="0.45">
      <c r="A174" s="792"/>
      <c r="B174" s="705"/>
      <c r="C174" s="707"/>
      <c r="D174" s="707" t="s">
        <v>514</v>
      </c>
      <c r="E174" s="783" t="s">
        <v>533</v>
      </c>
      <c r="F174" s="707"/>
      <c r="G174" s="817">
        <v>0</v>
      </c>
      <c r="H174" s="817">
        <f>SUM($F173:G173)</f>
        <v>8</v>
      </c>
      <c r="I174" s="817">
        <f>SUM($F173:H173)</f>
        <v>8</v>
      </c>
      <c r="J174" s="817">
        <f>SUM($F173:I173)</f>
        <v>8</v>
      </c>
      <c r="K174" s="818">
        <f>SUM($F173:J173)</f>
        <v>8</v>
      </c>
      <c r="L174" s="627">
        <f>SUM($F173:K173)</f>
        <v>8</v>
      </c>
      <c r="M174" s="627">
        <f>SUM($F173:L173)</f>
        <v>8</v>
      </c>
      <c r="N174" s="627">
        <f>SUM($F173:M173)</f>
        <v>8</v>
      </c>
      <c r="O174" s="627">
        <f>SUM($F173:N173)</f>
        <v>8</v>
      </c>
      <c r="P174" s="627">
        <f>SUM($F173:O173)</f>
        <v>8</v>
      </c>
      <c r="Q174" s="627">
        <f>SUM($F173:P173)</f>
        <v>8</v>
      </c>
      <c r="R174" s="627">
        <f>SUM($F173:Q173)</f>
        <v>8</v>
      </c>
      <c r="S174" s="627">
        <f>SUM($F173:R173)</f>
        <v>8</v>
      </c>
      <c r="T174" s="627">
        <f>SUM($F173:S173)</f>
        <v>8</v>
      </c>
      <c r="U174" s="627">
        <f>SUM($F173:T173)</f>
        <v>8</v>
      </c>
      <c r="V174" s="627">
        <f>SUM($F173:U173)</f>
        <v>8</v>
      </c>
      <c r="W174" s="627">
        <f>SUM($F173:V173)</f>
        <v>8</v>
      </c>
      <c r="X174" s="627">
        <f>SUM($F173:W173)</f>
        <v>8</v>
      </c>
      <c r="Y174" s="627">
        <f>SUM($F173:X173)</f>
        <v>8</v>
      </c>
      <c r="Z174" s="627">
        <f>SUM($F173:Y173)</f>
        <v>8</v>
      </c>
      <c r="AA174" s="627">
        <f>SUM($F173:Z173)</f>
        <v>8</v>
      </c>
    </row>
    <row r="175" spans="1:27" x14ac:dyDescent="0.45">
      <c r="A175" s="777"/>
      <c r="B175" s="707"/>
      <c r="C175" s="707"/>
      <c r="D175" s="707"/>
      <c r="E175" s="707"/>
      <c r="F175" s="707"/>
      <c r="G175" s="815"/>
      <c r="H175" s="815"/>
      <c r="I175" s="815"/>
      <c r="J175" s="815"/>
      <c r="K175" s="816"/>
      <c r="L175" s="568"/>
      <c r="M175" s="568"/>
      <c r="N175" s="568"/>
      <c r="O175" s="568"/>
      <c r="P175" s="568"/>
      <c r="Q175" s="568"/>
      <c r="R175" s="568"/>
      <c r="S175" s="568"/>
      <c r="T175" s="568"/>
      <c r="U175" s="568"/>
      <c r="V175" s="568"/>
      <c r="W175" s="568"/>
      <c r="X175" s="568"/>
      <c r="Y175" s="568"/>
      <c r="Z175" s="568"/>
      <c r="AA175" s="568"/>
    </row>
    <row r="176" spans="1:27" x14ac:dyDescent="0.45">
      <c r="A176" s="792"/>
      <c r="B176" s="705"/>
      <c r="C176" s="707"/>
      <c r="D176" s="707" t="s">
        <v>542</v>
      </c>
      <c r="E176" s="783" t="s">
        <v>532</v>
      </c>
      <c r="F176" s="707"/>
      <c r="G176" s="817">
        <f>Assumptions!H18</f>
        <v>4</v>
      </c>
      <c r="H176" s="817">
        <f>Assumptions!I18</f>
        <v>0</v>
      </c>
      <c r="I176" s="817">
        <f>Assumptions!J18</f>
        <v>0</v>
      </c>
      <c r="J176" s="817">
        <f>Assumptions!K18</f>
        <v>0</v>
      </c>
      <c r="K176" s="818">
        <f>Assumptions!L18</f>
        <v>0</v>
      </c>
      <c r="L176" s="627">
        <f>Assumptions!M18</f>
        <v>0</v>
      </c>
      <c r="M176" s="627">
        <f>Assumptions!N18</f>
        <v>0</v>
      </c>
      <c r="N176" s="627">
        <f>Assumptions!O18</f>
        <v>0</v>
      </c>
      <c r="O176" s="627">
        <f>Assumptions!P18</f>
        <v>0</v>
      </c>
      <c r="P176" s="627">
        <f>Assumptions!Q18</f>
        <v>0</v>
      </c>
      <c r="Q176" s="627">
        <f>Assumptions!R18</f>
        <v>0</v>
      </c>
      <c r="R176" s="627">
        <f>Assumptions!S18</f>
        <v>0</v>
      </c>
      <c r="S176" s="627">
        <f>Assumptions!T18</f>
        <v>0</v>
      </c>
      <c r="T176" s="627">
        <f>Assumptions!U18</f>
        <v>0</v>
      </c>
      <c r="U176" s="627">
        <f>Assumptions!V18</f>
        <v>0</v>
      </c>
      <c r="V176" s="627">
        <f>Assumptions!W18</f>
        <v>0</v>
      </c>
      <c r="W176" s="627">
        <f>Assumptions!X18</f>
        <v>0</v>
      </c>
      <c r="X176" s="627">
        <f>Assumptions!Y18</f>
        <v>0</v>
      </c>
      <c r="Y176" s="627">
        <f>Assumptions!Z18</f>
        <v>0</v>
      </c>
      <c r="Z176" s="627">
        <f>Assumptions!AA18</f>
        <v>0</v>
      </c>
      <c r="AA176" s="627">
        <f>Assumptions!AB18</f>
        <v>0</v>
      </c>
    </row>
    <row r="177" spans="1:27" x14ac:dyDescent="0.45">
      <c r="A177" s="792"/>
      <c r="B177" s="705"/>
      <c r="C177" s="707"/>
      <c r="D177" s="707" t="s">
        <v>540</v>
      </c>
      <c r="E177" s="783" t="s">
        <v>532</v>
      </c>
      <c r="F177" s="707"/>
      <c r="G177" s="817">
        <v>0</v>
      </c>
      <c r="H177" s="817">
        <f>SUM($F176:G176)</f>
        <v>4</v>
      </c>
      <c r="I177" s="817">
        <f>SUM($F176:H176)</f>
        <v>4</v>
      </c>
      <c r="J177" s="817">
        <f>SUM($F176:I176)</f>
        <v>4</v>
      </c>
      <c r="K177" s="818">
        <f>SUM($F176:J176)</f>
        <v>4</v>
      </c>
      <c r="L177" s="627">
        <f>SUM($F176:K176)</f>
        <v>4</v>
      </c>
      <c r="M177" s="627">
        <f>SUM($F176:L176)</f>
        <v>4</v>
      </c>
      <c r="N177" s="627">
        <f>SUM($F176:M176)</f>
        <v>4</v>
      </c>
      <c r="O177" s="627">
        <f>SUM($F176:N176)</f>
        <v>4</v>
      </c>
      <c r="P177" s="627">
        <f>SUM($F176:O176)</f>
        <v>4</v>
      </c>
      <c r="Q177" s="627">
        <f>SUM($F176:P176)</f>
        <v>4</v>
      </c>
      <c r="R177" s="627">
        <f>SUM($F176:Q176)</f>
        <v>4</v>
      </c>
      <c r="S177" s="627">
        <f>SUM($F176:R176)</f>
        <v>4</v>
      </c>
      <c r="T177" s="627">
        <f>SUM($F176:S176)</f>
        <v>4</v>
      </c>
      <c r="U177" s="627">
        <f>SUM($F176:T176)</f>
        <v>4</v>
      </c>
      <c r="V177" s="627">
        <f>SUM($F176:U176)</f>
        <v>4</v>
      </c>
      <c r="W177" s="627">
        <f>SUM($F176:V176)</f>
        <v>4</v>
      </c>
      <c r="X177" s="627">
        <f>SUM($F176:W176)</f>
        <v>4</v>
      </c>
      <c r="Y177" s="627">
        <f>SUM($F176:X176)</f>
        <v>4</v>
      </c>
      <c r="Z177" s="627">
        <f>SUM($F176:Y176)</f>
        <v>4</v>
      </c>
      <c r="AA177" s="627">
        <f>SUM($F176:Z176)</f>
        <v>4</v>
      </c>
    </row>
    <row r="178" spans="1:27" x14ac:dyDescent="0.45">
      <c r="A178" s="792"/>
      <c r="B178" s="705"/>
      <c r="C178" s="705"/>
      <c r="D178" s="707"/>
      <c r="E178" s="783"/>
      <c r="F178" s="707"/>
      <c r="G178" s="815"/>
      <c r="H178" s="815"/>
      <c r="I178" s="815"/>
      <c r="J178" s="815"/>
      <c r="K178" s="816"/>
      <c r="L178" s="568"/>
      <c r="M178" s="568"/>
      <c r="N178" s="568"/>
      <c r="O178" s="568"/>
      <c r="P178" s="568"/>
      <c r="Q178" s="568"/>
      <c r="R178" s="568"/>
      <c r="S178" s="568"/>
      <c r="T178" s="568"/>
      <c r="U178" s="568"/>
      <c r="V178" s="568"/>
      <c r="W178" s="568"/>
      <c r="X178" s="568"/>
      <c r="Y178" s="568"/>
      <c r="Z178" s="568"/>
      <c r="AA178" s="568"/>
    </row>
    <row r="179" spans="1:27" x14ac:dyDescent="0.45">
      <c r="A179" s="792"/>
      <c r="B179" s="705"/>
      <c r="C179" s="707"/>
      <c r="D179" s="707" t="s">
        <v>743</v>
      </c>
      <c r="E179" s="783" t="s">
        <v>744</v>
      </c>
      <c r="F179" s="707"/>
      <c r="G179" s="827">
        <f>Assumptions!H27</f>
        <v>750</v>
      </c>
      <c r="H179" s="827">
        <f>Assumptions!I27</f>
        <v>750</v>
      </c>
      <c r="I179" s="827">
        <f>Assumptions!J27</f>
        <v>750</v>
      </c>
      <c r="J179" s="827">
        <f>Assumptions!K27</f>
        <v>750</v>
      </c>
      <c r="K179" s="828">
        <f>Assumptions!L27</f>
        <v>750</v>
      </c>
      <c r="L179" s="629">
        <f>Assumptions!M27</f>
        <v>750</v>
      </c>
      <c r="M179" s="629">
        <f>Assumptions!N27</f>
        <v>750</v>
      </c>
      <c r="N179" s="629">
        <f>Assumptions!O27</f>
        <v>750</v>
      </c>
      <c r="O179" s="629">
        <f>Assumptions!P27</f>
        <v>750</v>
      </c>
      <c r="P179" s="629">
        <f>Assumptions!Q27</f>
        <v>750</v>
      </c>
      <c r="Q179" s="629">
        <f>Assumptions!R27</f>
        <v>750</v>
      </c>
      <c r="R179" s="629">
        <f>Assumptions!S27</f>
        <v>750</v>
      </c>
      <c r="S179" s="629">
        <f>Assumptions!T27</f>
        <v>750</v>
      </c>
      <c r="T179" s="629">
        <f>Assumptions!U27</f>
        <v>750</v>
      </c>
      <c r="U179" s="629">
        <f>Assumptions!V27</f>
        <v>750</v>
      </c>
      <c r="V179" s="629">
        <f>Assumptions!W27</f>
        <v>750</v>
      </c>
      <c r="W179" s="629">
        <f>Assumptions!X27</f>
        <v>750</v>
      </c>
      <c r="X179" s="629">
        <f>Assumptions!Y27</f>
        <v>750</v>
      </c>
      <c r="Y179" s="629">
        <f>Assumptions!Z27</f>
        <v>750</v>
      </c>
      <c r="Z179" s="629">
        <f>Assumptions!AA27</f>
        <v>750</v>
      </c>
      <c r="AA179" s="629">
        <f>Assumptions!AB27</f>
        <v>750</v>
      </c>
    </row>
    <row r="180" spans="1:27" hidden="1" x14ac:dyDescent="0.45">
      <c r="A180" s="792"/>
      <c r="B180" s="705"/>
      <c r="C180" s="707"/>
      <c r="D180" s="707" t="s">
        <v>762</v>
      </c>
      <c r="E180" s="783" t="s">
        <v>744</v>
      </c>
      <c r="F180" s="707"/>
      <c r="G180" s="827">
        <f>Assumptions!H29</f>
        <v>12</v>
      </c>
      <c r="H180" s="829">
        <f>Assumptions!I29</f>
        <v>12</v>
      </c>
      <c r="I180" s="829">
        <f>Assumptions!J29</f>
        <v>12</v>
      </c>
      <c r="J180" s="830">
        <f>Assumptions!K29</f>
        <v>12</v>
      </c>
      <c r="K180" s="831">
        <f>Assumptions!L29</f>
        <v>12</v>
      </c>
      <c r="L180" s="630">
        <f>Assumptions!M29</f>
        <v>12</v>
      </c>
      <c r="M180" s="630">
        <f>Assumptions!N29</f>
        <v>12</v>
      </c>
      <c r="N180" s="630">
        <f>Assumptions!O29</f>
        <v>12</v>
      </c>
      <c r="O180" s="630">
        <f>Assumptions!P29</f>
        <v>12</v>
      </c>
      <c r="P180" s="630">
        <f>Assumptions!Q29</f>
        <v>12</v>
      </c>
      <c r="Q180" s="630">
        <f>Assumptions!R29</f>
        <v>12</v>
      </c>
      <c r="R180" s="630">
        <f>Assumptions!S29</f>
        <v>12</v>
      </c>
      <c r="S180" s="630">
        <f>Assumptions!T29</f>
        <v>12</v>
      </c>
      <c r="T180" s="630">
        <f>Assumptions!U29</f>
        <v>12</v>
      </c>
      <c r="U180" s="630">
        <f>Assumptions!V29</f>
        <v>12</v>
      </c>
      <c r="V180" s="630">
        <f>Assumptions!W29</f>
        <v>12</v>
      </c>
      <c r="W180" s="630">
        <f>Assumptions!X29</f>
        <v>12</v>
      </c>
      <c r="X180" s="630">
        <f>Assumptions!Y29</f>
        <v>12</v>
      </c>
      <c r="Y180" s="630">
        <f>Assumptions!Z29</f>
        <v>12</v>
      </c>
      <c r="Z180" s="630">
        <f>Assumptions!AA29</f>
        <v>12</v>
      </c>
      <c r="AA180" s="630">
        <f>Assumptions!AB29</f>
        <v>12</v>
      </c>
    </row>
    <row r="181" spans="1:27" x14ac:dyDescent="0.45">
      <c r="A181" s="792"/>
      <c r="B181" s="705"/>
      <c r="C181" s="707"/>
      <c r="D181" s="707" t="s">
        <v>506</v>
      </c>
      <c r="E181" s="783" t="s">
        <v>534</v>
      </c>
      <c r="F181" s="707"/>
      <c r="G181" s="827">
        <f>Assumptions!H28</f>
        <v>600</v>
      </c>
      <c r="H181" s="829">
        <f>Assumptions!I28</f>
        <v>600</v>
      </c>
      <c r="I181" s="829">
        <f>Assumptions!J28</f>
        <v>600</v>
      </c>
      <c r="J181" s="830">
        <f>Assumptions!K28</f>
        <v>600</v>
      </c>
      <c r="K181" s="831">
        <f>Assumptions!L28</f>
        <v>600</v>
      </c>
      <c r="L181" s="630">
        <f>Assumptions!M28</f>
        <v>600</v>
      </c>
      <c r="M181" s="630">
        <f>Assumptions!N28</f>
        <v>600</v>
      </c>
      <c r="N181" s="630">
        <f>Assumptions!O28</f>
        <v>600</v>
      </c>
      <c r="O181" s="630">
        <f>Assumptions!P28</f>
        <v>600</v>
      </c>
      <c r="P181" s="630">
        <f>Assumptions!Q28</f>
        <v>600</v>
      </c>
      <c r="Q181" s="630">
        <f>Assumptions!R28</f>
        <v>600</v>
      </c>
      <c r="R181" s="630">
        <f>Assumptions!S28</f>
        <v>600</v>
      </c>
      <c r="S181" s="630">
        <f>Assumptions!T28</f>
        <v>600</v>
      </c>
      <c r="T181" s="630">
        <f>Assumptions!U28</f>
        <v>600</v>
      </c>
      <c r="U181" s="630">
        <f>Assumptions!V28</f>
        <v>600</v>
      </c>
      <c r="V181" s="630">
        <f>Assumptions!W28</f>
        <v>600</v>
      </c>
      <c r="W181" s="630">
        <f>Assumptions!X28</f>
        <v>600</v>
      </c>
      <c r="X181" s="630">
        <f>Assumptions!Y28</f>
        <v>600</v>
      </c>
      <c r="Y181" s="630">
        <f>Assumptions!Z28</f>
        <v>600</v>
      </c>
      <c r="Z181" s="630">
        <f>Assumptions!AA28</f>
        <v>600</v>
      </c>
      <c r="AA181" s="630">
        <f>Assumptions!AB28</f>
        <v>600</v>
      </c>
    </row>
    <row r="182" spans="1:27" x14ac:dyDescent="0.45">
      <c r="A182" s="792"/>
      <c r="B182" s="705"/>
      <c r="C182" s="705"/>
      <c r="D182" s="707"/>
      <c r="E182" s="783"/>
      <c r="F182" s="707"/>
      <c r="G182" s="817"/>
      <c r="H182" s="817"/>
      <c r="I182" s="817"/>
      <c r="J182" s="817"/>
      <c r="K182" s="818"/>
      <c r="L182" s="627"/>
      <c r="M182" s="627"/>
      <c r="N182" s="627"/>
      <c r="O182" s="627"/>
      <c r="P182" s="627"/>
      <c r="Q182" s="627"/>
      <c r="R182" s="627"/>
      <c r="S182" s="627"/>
      <c r="T182" s="627"/>
      <c r="U182" s="627"/>
      <c r="V182" s="627"/>
      <c r="W182" s="627"/>
      <c r="X182" s="627"/>
      <c r="Y182" s="627"/>
      <c r="Z182" s="627"/>
      <c r="AA182" s="627"/>
    </row>
    <row r="183" spans="1:27" x14ac:dyDescent="0.45">
      <c r="A183" s="792"/>
      <c r="B183" s="705"/>
      <c r="C183" s="707"/>
      <c r="D183" s="707" t="s">
        <v>745</v>
      </c>
      <c r="E183" s="783" t="s">
        <v>109</v>
      </c>
      <c r="F183" s="707"/>
      <c r="G183" s="817">
        <f t="shared" ref="G183:AA183" si="14">G179*G174</f>
        <v>0</v>
      </c>
      <c r="H183" s="817">
        <f t="shared" si="14"/>
        <v>6000</v>
      </c>
      <c r="I183" s="817">
        <f t="shared" si="14"/>
        <v>6000</v>
      </c>
      <c r="J183" s="817">
        <f t="shared" si="14"/>
        <v>6000</v>
      </c>
      <c r="K183" s="818">
        <f t="shared" si="14"/>
        <v>6000</v>
      </c>
      <c r="L183" s="627">
        <f t="shared" si="14"/>
        <v>6000</v>
      </c>
      <c r="M183" s="627">
        <f t="shared" si="14"/>
        <v>6000</v>
      </c>
      <c r="N183" s="627">
        <f t="shared" si="14"/>
        <v>6000</v>
      </c>
      <c r="O183" s="627">
        <f t="shared" si="14"/>
        <v>6000</v>
      </c>
      <c r="P183" s="627">
        <f t="shared" si="14"/>
        <v>6000</v>
      </c>
      <c r="Q183" s="627">
        <f t="shared" si="14"/>
        <v>6000</v>
      </c>
      <c r="R183" s="627">
        <f t="shared" si="14"/>
        <v>6000</v>
      </c>
      <c r="S183" s="627">
        <f t="shared" si="14"/>
        <v>6000</v>
      </c>
      <c r="T183" s="627">
        <f t="shared" si="14"/>
        <v>6000</v>
      </c>
      <c r="U183" s="627">
        <f t="shared" si="14"/>
        <v>6000</v>
      </c>
      <c r="V183" s="627">
        <f t="shared" si="14"/>
        <v>6000</v>
      </c>
      <c r="W183" s="627">
        <f t="shared" si="14"/>
        <v>6000</v>
      </c>
      <c r="X183" s="627">
        <f t="shared" si="14"/>
        <v>6000</v>
      </c>
      <c r="Y183" s="627">
        <f t="shared" si="14"/>
        <v>6000</v>
      </c>
      <c r="Z183" s="627">
        <f t="shared" si="14"/>
        <v>6000</v>
      </c>
      <c r="AA183" s="627">
        <f t="shared" si="14"/>
        <v>6000</v>
      </c>
    </row>
    <row r="184" spans="1:27" x14ac:dyDescent="0.45">
      <c r="A184" s="792"/>
      <c r="B184" s="705"/>
      <c r="C184" s="707"/>
      <c r="D184" s="707" t="s">
        <v>143</v>
      </c>
      <c r="E184" s="783" t="s">
        <v>109</v>
      </c>
      <c r="F184" s="707"/>
      <c r="G184" s="817">
        <f t="shared" ref="G184:AA184" si="15">G181*G177</f>
        <v>0</v>
      </c>
      <c r="H184" s="817">
        <f t="shared" si="15"/>
        <v>2400</v>
      </c>
      <c r="I184" s="817">
        <f t="shared" si="15"/>
        <v>2400</v>
      </c>
      <c r="J184" s="817">
        <f t="shared" si="15"/>
        <v>2400</v>
      </c>
      <c r="K184" s="818">
        <f t="shared" si="15"/>
        <v>2400</v>
      </c>
      <c r="L184" s="627">
        <f t="shared" si="15"/>
        <v>2400</v>
      </c>
      <c r="M184" s="627">
        <f t="shared" si="15"/>
        <v>2400</v>
      </c>
      <c r="N184" s="627">
        <f t="shared" si="15"/>
        <v>2400</v>
      </c>
      <c r="O184" s="627">
        <f t="shared" si="15"/>
        <v>2400</v>
      </c>
      <c r="P184" s="627">
        <f t="shared" si="15"/>
        <v>2400</v>
      </c>
      <c r="Q184" s="627">
        <f t="shared" si="15"/>
        <v>2400</v>
      </c>
      <c r="R184" s="627">
        <f t="shared" si="15"/>
        <v>2400</v>
      </c>
      <c r="S184" s="627">
        <f t="shared" si="15"/>
        <v>2400</v>
      </c>
      <c r="T184" s="627">
        <f t="shared" si="15"/>
        <v>2400</v>
      </c>
      <c r="U184" s="627">
        <f t="shared" si="15"/>
        <v>2400</v>
      </c>
      <c r="V184" s="627">
        <f t="shared" si="15"/>
        <v>2400</v>
      </c>
      <c r="W184" s="627">
        <f t="shared" si="15"/>
        <v>2400</v>
      </c>
      <c r="X184" s="627">
        <f t="shared" si="15"/>
        <v>2400</v>
      </c>
      <c r="Y184" s="627">
        <f t="shared" si="15"/>
        <v>2400</v>
      </c>
      <c r="Z184" s="627">
        <f t="shared" si="15"/>
        <v>2400</v>
      </c>
      <c r="AA184" s="627">
        <f t="shared" si="15"/>
        <v>2400</v>
      </c>
    </row>
    <row r="185" spans="1:27" hidden="1" x14ac:dyDescent="0.45">
      <c r="A185" s="792"/>
      <c r="B185" s="705"/>
      <c r="C185" s="707"/>
      <c r="D185" s="707" t="s">
        <v>761</v>
      </c>
      <c r="E185" s="783" t="s">
        <v>109</v>
      </c>
      <c r="F185" s="707"/>
      <c r="G185" s="817">
        <f t="shared" ref="G185:AA185" si="16">G180*G174</f>
        <v>0</v>
      </c>
      <c r="H185" s="817">
        <f t="shared" si="16"/>
        <v>96</v>
      </c>
      <c r="I185" s="817">
        <f t="shared" si="16"/>
        <v>96</v>
      </c>
      <c r="J185" s="817">
        <f t="shared" si="16"/>
        <v>96</v>
      </c>
      <c r="K185" s="818">
        <f t="shared" si="16"/>
        <v>96</v>
      </c>
      <c r="L185" s="627">
        <f t="shared" si="16"/>
        <v>96</v>
      </c>
      <c r="M185" s="627">
        <f t="shared" si="16"/>
        <v>96</v>
      </c>
      <c r="N185" s="627">
        <f t="shared" si="16"/>
        <v>96</v>
      </c>
      <c r="O185" s="627">
        <f t="shared" si="16"/>
        <v>96</v>
      </c>
      <c r="P185" s="627">
        <f t="shared" si="16"/>
        <v>96</v>
      </c>
      <c r="Q185" s="627">
        <f t="shared" si="16"/>
        <v>96</v>
      </c>
      <c r="R185" s="627">
        <f t="shared" si="16"/>
        <v>96</v>
      </c>
      <c r="S185" s="627">
        <f t="shared" si="16"/>
        <v>96</v>
      </c>
      <c r="T185" s="627">
        <f t="shared" si="16"/>
        <v>96</v>
      </c>
      <c r="U185" s="627">
        <f t="shared" si="16"/>
        <v>96</v>
      </c>
      <c r="V185" s="627">
        <f t="shared" si="16"/>
        <v>96</v>
      </c>
      <c r="W185" s="627">
        <f t="shared" si="16"/>
        <v>96</v>
      </c>
      <c r="X185" s="627">
        <f t="shared" si="16"/>
        <v>96</v>
      </c>
      <c r="Y185" s="627">
        <f t="shared" si="16"/>
        <v>96</v>
      </c>
      <c r="Z185" s="627">
        <f t="shared" si="16"/>
        <v>96</v>
      </c>
      <c r="AA185" s="627">
        <f t="shared" si="16"/>
        <v>96</v>
      </c>
    </row>
    <row r="186" spans="1:27" hidden="1" x14ac:dyDescent="0.45">
      <c r="A186" s="792"/>
      <c r="B186" s="705"/>
      <c r="C186" s="707"/>
      <c r="D186" s="832" t="str">
        <f t="shared" ref="D186:D193" si="17">D202</f>
        <v>Market 1: Cosmetic markets (standard)</v>
      </c>
      <c r="E186" s="783" t="s">
        <v>109</v>
      </c>
      <c r="F186" s="707"/>
      <c r="G186" s="817">
        <f>Assumptions!$I238*Extracts!G$184</f>
        <v>0</v>
      </c>
      <c r="H186" s="817">
        <f>Assumptions!I238*Extracts!H$184</f>
        <v>1920</v>
      </c>
      <c r="I186" s="817">
        <f>Assumptions!$J238*(Extracts!I$184-$H$184)+$H186</f>
        <v>1920</v>
      </c>
      <c r="J186" s="817">
        <f>Assumptions!$J238*(Extracts!J$184-$H$184)+$H186</f>
        <v>1920</v>
      </c>
      <c r="K186" s="818">
        <f>Assumptions!$J238*(Extracts!K$184-$H$184)+$H186</f>
        <v>1920</v>
      </c>
      <c r="L186" s="627">
        <f>Assumptions!$J238*(Extracts!L$184-$H$184)+$H186</f>
        <v>1920</v>
      </c>
      <c r="M186" s="627">
        <f>Assumptions!$J238*(Extracts!M$184-$H$184)+$H186</f>
        <v>1920</v>
      </c>
      <c r="N186" s="627">
        <f>Assumptions!$J238*(Extracts!N$184-$H$184)+$H186</f>
        <v>1920</v>
      </c>
      <c r="O186" s="627">
        <f>Assumptions!$J238*(Extracts!O$184-$H$184)+$H186</f>
        <v>1920</v>
      </c>
      <c r="P186" s="627">
        <f>Assumptions!$J238*(Extracts!P$184-$H$184)+$H186</f>
        <v>1920</v>
      </c>
      <c r="Q186" s="627">
        <f>Assumptions!$J238*(Extracts!Q$184-$H$184)+$H186</f>
        <v>1920</v>
      </c>
      <c r="R186" s="627">
        <f>Assumptions!$J238*(Extracts!R$184-$H$184)+$H186</f>
        <v>1920</v>
      </c>
      <c r="S186" s="627">
        <f>Assumptions!$J238*(Extracts!S$184-$H$184)+$H186</f>
        <v>1920</v>
      </c>
      <c r="T186" s="627">
        <f>Assumptions!$J238*(Extracts!T$184-$H$184)+$H186</f>
        <v>1920</v>
      </c>
      <c r="U186" s="627">
        <f>Assumptions!$J238*(Extracts!U$184-$H$184)+$H186</f>
        <v>1920</v>
      </c>
      <c r="V186" s="627">
        <f>Assumptions!$J238*(Extracts!V$184-$H$184)+$H186</f>
        <v>1920</v>
      </c>
      <c r="W186" s="627">
        <f>Assumptions!$J238*(Extracts!W$184-$H$184)+$H186</f>
        <v>1920</v>
      </c>
      <c r="X186" s="627">
        <f>Assumptions!$J238*(Extracts!X$184-$H$184)+$H186</f>
        <v>1920</v>
      </c>
      <c r="Y186" s="627">
        <f>Assumptions!$J238*(Extracts!Y$184-$H$184)+$H186</f>
        <v>1920</v>
      </c>
      <c r="Z186" s="627">
        <f>Assumptions!$J238*(Extracts!Z$184-$H$184)+$H186</f>
        <v>1920</v>
      </c>
      <c r="AA186" s="627">
        <f>Assumptions!$J238*(Extracts!AA$184-$H$184)+$H186</f>
        <v>1920</v>
      </c>
    </row>
    <row r="187" spans="1:27" hidden="1" x14ac:dyDescent="0.45">
      <c r="A187" s="792"/>
      <c r="B187" s="705"/>
      <c r="C187" s="707"/>
      <c r="D187" s="832" t="str">
        <f t="shared" si="17"/>
        <v>Market 2: Cosmetic markets (organic)</v>
      </c>
      <c r="E187" s="783" t="s">
        <v>109</v>
      </c>
      <c r="F187" s="707"/>
      <c r="G187" s="817">
        <f>Assumptions!$I239*Extracts!G$184</f>
        <v>0</v>
      </c>
      <c r="H187" s="817">
        <f>Assumptions!I239*Extracts!H$184</f>
        <v>480</v>
      </c>
      <c r="I187" s="817">
        <f>Assumptions!$J239*(Extracts!I$184-$H$184)+$H187</f>
        <v>480</v>
      </c>
      <c r="J187" s="817">
        <f>Assumptions!$J239*(Extracts!J$184-$H$184)+$H187</f>
        <v>480</v>
      </c>
      <c r="K187" s="818">
        <f>Assumptions!$J239*(Extracts!K$184-$H$184)+$H187</f>
        <v>480</v>
      </c>
      <c r="L187" s="627">
        <f>Assumptions!$J239*(Extracts!L$184-$H$184)+$H187</f>
        <v>480</v>
      </c>
      <c r="M187" s="627">
        <f>Assumptions!$J239*(Extracts!M$184-$H$184)+$H187</f>
        <v>480</v>
      </c>
      <c r="N187" s="627">
        <f>Assumptions!$J239*(Extracts!N$184-$H$184)+$H187</f>
        <v>480</v>
      </c>
      <c r="O187" s="627">
        <f>Assumptions!$J239*(Extracts!O$184-$H$184)+$H187</f>
        <v>480</v>
      </c>
      <c r="P187" s="627">
        <f>Assumptions!$J239*(Extracts!P$184-$H$184)+$H187</f>
        <v>480</v>
      </c>
      <c r="Q187" s="627">
        <f>Assumptions!$J239*(Extracts!Q$184-$H$184)+$H187</f>
        <v>480</v>
      </c>
      <c r="R187" s="627">
        <f>Assumptions!$J239*(Extracts!R$184-$H$184)+$H187</f>
        <v>480</v>
      </c>
      <c r="S187" s="627">
        <f>Assumptions!$J239*(Extracts!S$184-$H$184)+$H187</f>
        <v>480</v>
      </c>
      <c r="T187" s="627">
        <f>Assumptions!$J239*(Extracts!T$184-$H$184)+$H187</f>
        <v>480</v>
      </c>
      <c r="U187" s="627">
        <f>Assumptions!$J239*(Extracts!U$184-$H$184)+$H187</f>
        <v>480</v>
      </c>
      <c r="V187" s="627">
        <f>Assumptions!$J239*(Extracts!V$184-$H$184)+$H187</f>
        <v>480</v>
      </c>
      <c r="W187" s="627">
        <f>Assumptions!$J239*(Extracts!W$184-$H$184)+$H187</f>
        <v>480</v>
      </c>
      <c r="X187" s="627">
        <f>Assumptions!$J239*(Extracts!X$184-$H$184)+$H187</f>
        <v>480</v>
      </c>
      <c r="Y187" s="627">
        <f>Assumptions!$J239*(Extracts!Y$184-$H$184)+$H187</f>
        <v>480</v>
      </c>
      <c r="Z187" s="627">
        <f>Assumptions!$J239*(Extracts!Z$184-$H$184)+$H187</f>
        <v>480</v>
      </c>
      <c r="AA187" s="627">
        <f>Assumptions!$J239*(Extracts!AA$184-$H$184)+$H187</f>
        <v>480</v>
      </c>
    </row>
    <row r="188" spans="1:27" hidden="1" x14ac:dyDescent="0.45">
      <c r="A188" s="792"/>
      <c r="B188" s="705"/>
      <c r="C188" s="707"/>
      <c r="D188" s="832" t="str">
        <f t="shared" si="17"/>
        <v>Market 3: Food / confectionary market</v>
      </c>
      <c r="E188" s="783" t="s">
        <v>109</v>
      </c>
      <c r="F188" s="707"/>
      <c r="G188" s="817">
        <f>Assumptions!$I240*Extracts!G$184</f>
        <v>0</v>
      </c>
      <c r="H188" s="817">
        <f>Assumptions!I240*Extracts!H$184</f>
        <v>0</v>
      </c>
      <c r="I188" s="817">
        <f>Assumptions!$J240*(Extracts!I$184-$H$184)+$H188</f>
        <v>0</v>
      </c>
      <c r="J188" s="817">
        <f>Assumptions!$J240*(Extracts!J$184-$H$184)+$H188</f>
        <v>0</v>
      </c>
      <c r="K188" s="818">
        <f>Assumptions!$J240*(Extracts!K$184-$H$184)+$H188</f>
        <v>0</v>
      </c>
      <c r="L188" s="627">
        <f>Assumptions!$J240*(Extracts!L$184-$H$184)+$H188</f>
        <v>0</v>
      </c>
      <c r="M188" s="627">
        <f>Assumptions!$J240*(Extracts!M$184-$H$184)+$H188</f>
        <v>0</v>
      </c>
      <c r="N188" s="627">
        <f>Assumptions!$J240*(Extracts!N$184-$H$184)+$H188</f>
        <v>0</v>
      </c>
      <c r="O188" s="627">
        <f>Assumptions!$J240*(Extracts!O$184-$H$184)+$H188</f>
        <v>0</v>
      </c>
      <c r="P188" s="627">
        <f>Assumptions!$J240*(Extracts!P$184-$H$184)+$H188</f>
        <v>0</v>
      </c>
      <c r="Q188" s="627">
        <f>Assumptions!$J240*(Extracts!Q$184-$H$184)+$H188</f>
        <v>0</v>
      </c>
      <c r="R188" s="627">
        <f>Assumptions!$J240*(Extracts!R$184-$H$184)+$H188</f>
        <v>0</v>
      </c>
      <c r="S188" s="627">
        <f>Assumptions!$J240*(Extracts!S$184-$H$184)+$H188</f>
        <v>0</v>
      </c>
      <c r="T188" s="627">
        <f>Assumptions!$J240*(Extracts!T$184-$H$184)+$H188</f>
        <v>0</v>
      </c>
      <c r="U188" s="627">
        <f>Assumptions!$J240*(Extracts!U$184-$H$184)+$H188</f>
        <v>0</v>
      </c>
      <c r="V188" s="627">
        <f>Assumptions!$J240*(Extracts!V$184-$H$184)+$H188</f>
        <v>0</v>
      </c>
      <c r="W188" s="627">
        <f>Assumptions!$J240*(Extracts!W$184-$H$184)+$H188</f>
        <v>0</v>
      </c>
      <c r="X188" s="627">
        <f>Assumptions!$J240*(Extracts!X$184-$H$184)+$H188</f>
        <v>0</v>
      </c>
      <c r="Y188" s="627">
        <f>Assumptions!$J240*(Extracts!Y$184-$H$184)+$H188</f>
        <v>0</v>
      </c>
      <c r="Z188" s="627">
        <f>Assumptions!$J240*(Extracts!Z$184-$H$184)+$H188</f>
        <v>0</v>
      </c>
      <c r="AA188" s="627">
        <f>Assumptions!$J240*(Extracts!AA$184-$H$184)+$H188</f>
        <v>0</v>
      </c>
    </row>
    <row r="189" spans="1:27" hidden="1" x14ac:dyDescent="0.45">
      <c r="A189" s="792"/>
      <c r="B189" s="705"/>
      <c r="C189" s="707"/>
      <c r="D189" s="832" t="str">
        <f t="shared" si="17"/>
        <v>Market 4: TBC</v>
      </c>
      <c r="E189" s="783" t="s">
        <v>109</v>
      </c>
      <c r="F189" s="707"/>
      <c r="G189" s="817">
        <f>Assumptions!$I241*Extracts!G$184</f>
        <v>0</v>
      </c>
      <c r="H189" s="817">
        <f>Assumptions!I241*Extracts!H$184</f>
        <v>0</v>
      </c>
      <c r="I189" s="817">
        <f>Assumptions!$J241*(Extracts!I$184-$H$184)+$H189</f>
        <v>0</v>
      </c>
      <c r="J189" s="817">
        <f>Assumptions!$J241*(Extracts!J$184-$H$184)+$H189</f>
        <v>0</v>
      </c>
      <c r="K189" s="818">
        <f>Assumptions!$J241*(Extracts!K$184-$H$184)+$H189</f>
        <v>0</v>
      </c>
      <c r="L189" s="627">
        <f>Assumptions!$J241*(Extracts!L$184-$H$184)+$H189</f>
        <v>0</v>
      </c>
      <c r="M189" s="627">
        <f>Assumptions!$J241*(Extracts!M$184-$H$184)+$H189</f>
        <v>0</v>
      </c>
      <c r="N189" s="627">
        <f>Assumptions!$J241*(Extracts!N$184-$H$184)+$H189</f>
        <v>0</v>
      </c>
      <c r="O189" s="627">
        <f>Assumptions!$J241*(Extracts!O$184-$H$184)+$H189</f>
        <v>0</v>
      </c>
      <c r="P189" s="627">
        <f>Assumptions!$J241*(Extracts!P$184-$H$184)+$H189</f>
        <v>0</v>
      </c>
      <c r="Q189" s="627">
        <f>Assumptions!$J241*(Extracts!Q$184-$H$184)+$H189</f>
        <v>0</v>
      </c>
      <c r="R189" s="627">
        <f>Assumptions!$J241*(Extracts!R$184-$H$184)+$H189</f>
        <v>0</v>
      </c>
      <c r="S189" s="627">
        <f>Assumptions!$J241*(Extracts!S$184-$H$184)+$H189</f>
        <v>0</v>
      </c>
      <c r="T189" s="627">
        <f>Assumptions!$J241*(Extracts!T$184-$H$184)+$H189</f>
        <v>0</v>
      </c>
      <c r="U189" s="627">
        <f>Assumptions!$J241*(Extracts!U$184-$H$184)+$H189</f>
        <v>0</v>
      </c>
      <c r="V189" s="627">
        <f>Assumptions!$J241*(Extracts!V$184-$H$184)+$H189</f>
        <v>0</v>
      </c>
      <c r="W189" s="627">
        <f>Assumptions!$J241*(Extracts!W$184-$H$184)+$H189</f>
        <v>0</v>
      </c>
      <c r="X189" s="627">
        <f>Assumptions!$J241*(Extracts!X$184-$H$184)+$H189</f>
        <v>0</v>
      </c>
      <c r="Y189" s="627">
        <f>Assumptions!$J241*(Extracts!Y$184-$H$184)+$H189</f>
        <v>0</v>
      </c>
      <c r="Z189" s="627">
        <f>Assumptions!$J241*(Extracts!Z$184-$H$184)+$H189</f>
        <v>0</v>
      </c>
      <c r="AA189" s="627">
        <f>Assumptions!$J241*(Extracts!AA$184-$H$184)+$H189</f>
        <v>0</v>
      </c>
    </row>
    <row r="190" spans="1:27" hidden="1" x14ac:dyDescent="0.45">
      <c r="A190" s="792"/>
      <c r="B190" s="705"/>
      <c r="C190" s="707"/>
      <c r="D190" s="832" t="str">
        <f t="shared" si="17"/>
        <v>Market 5: TBC</v>
      </c>
      <c r="E190" s="783" t="s">
        <v>109</v>
      </c>
      <c r="F190" s="707"/>
      <c r="G190" s="817">
        <f>Assumptions!$I242*Extracts!G$184</f>
        <v>0</v>
      </c>
      <c r="H190" s="817">
        <f>Assumptions!I242*Extracts!H$184</f>
        <v>0</v>
      </c>
      <c r="I190" s="817">
        <f>Assumptions!$J242*(Extracts!I$184-$H$184)+$H190</f>
        <v>0</v>
      </c>
      <c r="J190" s="817">
        <f>Assumptions!$J242*(Extracts!J$184-$H$184)+$H190</f>
        <v>0</v>
      </c>
      <c r="K190" s="818">
        <f>Assumptions!$J242*(Extracts!K$184-$H$184)+$H190</f>
        <v>0</v>
      </c>
      <c r="L190" s="627">
        <f>Assumptions!$J242*(Extracts!L$184-$H$184)+$H190</f>
        <v>0</v>
      </c>
      <c r="M190" s="627">
        <f>Assumptions!$J242*(Extracts!M$184-$H$184)+$H190</f>
        <v>0</v>
      </c>
      <c r="N190" s="627">
        <f>Assumptions!$J242*(Extracts!N$184-$H$184)+$H190</f>
        <v>0</v>
      </c>
      <c r="O190" s="627">
        <f>Assumptions!$J242*(Extracts!O$184-$H$184)+$H190</f>
        <v>0</v>
      </c>
      <c r="P190" s="627">
        <f>Assumptions!$J242*(Extracts!P$184-$H$184)+$H190</f>
        <v>0</v>
      </c>
      <c r="Q190" s="627">
        <f>Assumptions!$J242*(Extracts!Q$184-$H$184)+$H190</f>
        <v>0</v>
      </c>
      <c r="R190" s="627">
        <f>Assumptions!$J242*(Extracts!R$184-$H$184)+$H190</f>
        <v>0</v>
      </c>
      <c r="S190" s="627">
        <f>Assumptions!$J242*(Extracts!S$184-$H$184)+$H190</f>
        <v>0</v>
      </c>
      <c r="T190" s="627">
        <f>Assumptions!$J242*(Extracts!T$184-$H$184)+$H190</f>
        <v>0</v>
      </c>
      <c r="U190" s="627">
        <f>Assumptions!$J242*(Extracts!U$184-$H$184)+$H190</f>
        <v>0</v>
      </c>
      <c r="V190" s="627">
        <f>Assumptions!$J242*(Extracts!V$184-$H$184)+$H190</f>
        <v>0</v>
      </c>
      <c r="W190" s="627">
        <f>Assumptions!$J242*(Extracts!W$184-$H$184)+$H190</f>
        <v>0</v>
      </c>
      <c r="X190" s="627">
        <f>Assumptions!$J242*(Extracts!X$184-$H$184)+$H190</f>
        <v>0</v>
      </c>
      <c r="Y190" s="627">
        <f>Assumptions!$J242*(Extracts!Y$184-$H$184)+$H190</f>
        <v>0</v>
      </c>
      <c r="Z190" s="627">
        <f>Assumptions!$J242*(Extracts!Z$184-$H$184)+$H190</f>
        <v>0</v>
      </c>
      <c r="AA190" s="627">
        <f>Assumptions!$J242*(Extracts!AA$184-$H$184)+$H190</f>
        <v>0</v>
      </c>
    </row>
    <row r="191" spans="1:27" hidden="1" x14ac:dyDescent="0.45">
      <c r="A191" s="792"/>
      <c r="B191" s="705"/>
      <c r="C191" s="707"/>
      <c r="D191" s="832" t="str">
        <f t="shared" si="17"/>
        <v>Market 6: TBC</v>
      </c>
      <c r="E191" s="783" t="s">
        <v>109</v>
      </c>
      <c r="F191" s="707"/>
      <c r="G191" s="817">
        <f>Assumptions!$I243*Extracts!G$184</f>
        <v>0</v>
      </c>
      <c r="H191" s="817">
        <f>Assumptions!I243*Extracts!H$184</f>
        <v>0</v>
      </c>
      <c r="I191" s="817">
        <f>Assumptions!$J243*(Extracts!I$184-$H$184)+$H191</f>
        <v>0</v>
      </c>
      <c r="J191" s="817">
        <f>Assumptions!$J243*(Extracts!J$184-$H$184)+$H191</f>
        <v>0</v>
      </c>
      <c r="K191" s="818">
        <f>Assumptions!$J243*(Extracts!K$184-$H$184)+$H191</f>
        <v>0</v>
      </c>
      <c r="L191" s="627">
        <f>Assumptions!$J243*(Extracts!L$184-$H$184)+$H191</f>
        <v>0</v>
      </c>
      <c r="M191" s="627">
        <f>Assumptions!$J243*(Extracts!M$184-$H$184)+$H191</f>
        <v>0</v>
      </c>
      <c r="N191" s="627">
        <f>Assumptions!$J243*(Extracts!N$184-$H$184)+$H191</f>
        <v>0</v>
      </c>
      <c r="O191" s="627">
        <f>Assumptions!$J243*(Extracts!O$184-$H$184)+$H191</f>
        <v>0</v>
      </c>
      <c r="P191" s="627">
        <f>Assumptions!$J243*(Extracts!P$184-$H$184)+$H191</f>
        <v>0</v>
      </c>
      <c r="Q191" s="627">
        <f>Assumptions!$J243*(Extracts!Q$184-$H$184)+$H191</f>
        <v>0</v>
      </c>
      <c r="R191" s="627">
        <f>Assumptions!$J243*(Extracts!R$184-$H$184)+$H191</f>
        <v>0</v>
      </c>
      <c r="S191" s="627">
        <f>Assumptions!$J243*(Extracts!S$184-$H$184)+$H191</f>
        <v>0</v>
      </c>
      <c r="T191" s="627">
        <f>Assumptions!$J243*(Extracts!T$184-$H$184)+$H191</f>
        <v>0</v>
      </c>
      <c r="U191" s="627">
        <f>Assumptions!$J243*(Extracts!U$184-$H$184)+$H191</f>
        <v>0</v>
      </c>
      <c r="V191" s="627">
        <f>Assumptions!$J243*(Extracts!V$184-$H$184)+$H191</f>
        <v>0</v>
      </c>
      <c r="W191" s="627">
        <f>Assumptions!$J243*(Extracts!W$184-$H$184)+$H191</f>
        <v>0</v>
      </c>
      <c r="X191" s="627">
        <f>Assumptions!$J243*(Extracts!X$184-$H$184)+$H191</f>
        <v>0</v>
      </c>
      <c r="Y191" s="627">
        <f>Assumptions!$J243*(Extracts!Y$184-$H$184)+$H191</f>
        <v>0</v>
      </c>
      <c r="Z191" s="627">
        <f>Assumptions!$J243*(Extracts!Z$184-$H$184)+$H191</f>
        <v>0</v>
      </c>
      <c r="AA191" s="627">
        <f>Assumptions!$J243*(Extracts!AA$184-$H$184)+$H191</f>
        <v>0</v>
      </c>
    </row>
    <row r="192" spans="1:27" hidden="1" x14ac:dyDescent="0.45">
      <c r="A192" s="792"/>
      <c r="B192" s="705"/>
      <c r="C192" s="707"/>
      <c r="D192" s="832" t="str">
        <f t="shared" si="17"/>
        <v>Market 7: TBC</v>
      </c>
      <c r="E192" s="783" t="s">
        <v>109</v>
      </c>
      <c r="F192" s="707"/>
      <c r="G192" s="817">
        <f>Assumptions!$I244*Extracts!G$184</f>
        <v>0</v>
      </c>
      <c r="H192" s="817">
        <f>Assumptions!I244*Extracts!H$184</f>
        <v>0</v>
      </c>
      <c r="I192" s="817">
        <f>Assumptions!$J244*(Extracts!I$184-$H$184)+$H192</f>
        <v>0</v>
      </c>
      <c r="J192" s="817">
        <f>Assumptions!$J244*(Extracts!J$184-$H$184)+$H192</f>
        <v>0</v>
      </c>
      <c r="K192" s="818">
        <f>Assumptions!$J244*(Extracts!K$184-$H$184)+$H192</f>
        <v>0</v>
      </c>
      <c r="L192" s="627">
        <f>Assumptions!$J244*(Extracts!L$184-$H$184)+$H192</f>
        <v>0</v>
      </c>
      <c r="M192" s="627">
        <f>Assumptions!$J244*(Extracts!M$184-$H$184)+$H192</f>
        <v>0</v>
      </c>
      <c r="N192" s="627">
        <f>Assumptions!$J244*(Extracts!N$184-$H$184)+$H192</f>
        <v>0</v>
      </c>
      <c r="O192" s="627">
        <f>Assumptions!$J244*(Extracts!O$184-$H$184)+$H192</f>
        <v>0</v>
      </c>
      <c r="P192" s="627">
        <f>Assumptions!$J244*(Extracts!P$184-$H$184)+$H192</f>
        <v>0</v>
      </c>
      <c r="Q192" s="627">
        <f>Assumptions!$J244*(Extracts!Q$184-$H$184)+$H192</f>
        <v>0</v>
      </c>
      <c r="R192" s="627">
        <f>Assumptions!$J244*(Extracts!R$184-$H$184)+$H192</f>
        <v>0</v>
      </c>
      <c r="S192" s="627">
        <f>Assumptions!$J244*(Extracts!S$184-$H$184)+$H192</f>
        <v>0</v>
      </c>
      <c r="T192" s="627">
        <f>Assumptions!$J244*(Extracts!T$184-$H$184)+$H192</f>
        <v>0</v>
      </c>
      <c r="U192" s="627">
        <f>Assumptions!$J244*(Extracts!U$184-$H$184)+$H192</f>
        <v>0</v>
      </c>
      <c r="V192" s="627">
        <f>Assumptions!$J244*(Extracts!V$184-$H$184)+$H192</f>
        <v>0</v>
      </c>
      <c r="W192" s="627">
        <f>Assumptions!$J244*(Extracts!W$184-$H$184)+$H192</f>
        <v>0</v>
      </c>
      <c r="X192" s="627">
        <f>Assumptions!$J244*(Extracts!X$184-$H$184)+$H192</f>
        <v>0</v>
      </c>
      <c r="Y192" s="627">
        <f>Assumptions!$J244*(Extracts!Y$184-$H$184)+$H192</f>
        <v>0</v>
      </c>
      <c r="Z192" s="627">
        <f>Assumptions!$J244*(Extracts!Z$184-$H$184)+$H192</f>
        <v>0</v>
      </c>
      <c r="AA192" s="627">
        <f>Assumptions!$J244*(Extracts!AA$184-$H$184)+$H192</f>
        <v>0</v>
      </c>
    </row>
    <row r="193" spans="1:27" hidden="1" x14ac:dyDescent="0.45">
      <c r="A193" s="792"/>
      <c r="B193" s="705"/>
      <c r="C193" s="707"/>
      <c r="D193" s="832" t="str">
        <f t="shared" si="17"/>
        <v>Market 8: TBC</v>
      </c>
      <c r="E193" s="783" t="s">
        <v>109</v>
      </c>
      <c r="F193" s="707"/>
      <c r="G193" s="817">
        <f>Assumptions!$I245*Extracts!G$184</f>
        <v>0</v>
      </c>
      <c r="H193" s="817">
        <f>Assumptions!I245*Extracts!H$184</f>
        <v>0</v>
      </c>
      <c r="I193" s="817">
        <f>Assumptions!$J245*(Extracts!I$184-$H$184)+$H193</f>
        <v>0</v>
      </c>
      <c r="J193" s="817">
        <f>Assumptions!$J245*(Extracts!J$184-$H$184)+$H193</f>
        <v>0</v>
      </c>
      <c r="K193" s="818">
        <f>Assumptions!$J245*(Extracts!K$184-$H$184)+$H193</f>
        <v>0</v>
      </c>
      <c r="L193" s="627">
        <f>Assumptions!$J245*(Extracts!L$184-$H$184)+$H193</f>
        <v>0</v>
      </c>
      <c r="M193" s="627">
        <f>Assumptions!$J245*(Extracts!M$184-$H$184)+$H193</f>
        <v>0</v>
      </c>
      <c r="N193" s="627">
        <f>Assumptions!$J245*(Extracts!N$184-$H$184)+$H193</f>
        <v>0</v>
      </c>
      <c r="O193" s="627">
        <f>Assumptions!$J245*(Extracts!O$184-$H$184)+$H193</f>
        <v>0</v>
      </c>
      <c r="P193" s="627">
        <f>Assumptions!$J245*(Extracts!P$184-$H$184)+$H193</f>
        <v>0</v>
      </c>
      <c r="Q193" s="627">
        <f>Assumptions!$J245*(Extracts!Q$184-$H$184)+$H193</f>
        <v>0</v>
      </c>
      <c r="R193" s="627">
        <f>Assumptions!$J245*(Extracts!R$184-$H$184)+$H193</f>
        <v>0</v>
      </c>
      <c r="S193" s="627">
        <f>Assumptions!$J245*(Extracts!S$184-$H$184)+$H193</f>
        <v>0</v>
      </c>
      <c r="T193" s="627">
        <f>Assumptions!$J245*(Extracts!T$184-$H$184)+$H193</f>
        <v>0</v>
      </c>
      <c r="U193" s="627">
        <f>Assumptions!$J245*(Extracts!U$184-$H$184)+$H193</f>
        <v>0</v>
      </c>
      <c r="V193" s="627">
        <f>Assumptions!$J245*(Extracts!V$184-$H$184)+$H193</f>
        <v>0</v>
      </c>
      <c r="W193" s="627">
        <f>Assumptions!$J245*(Extracts!W$184-$H$184)+$H193</f>
        <v>0</v>
      </c>
      <c r="X193" s="627">
        <f>Assumptions!$J245*(Extracts!X$184-$H$184)+$H193</f>
        <v>0</v>
      </c>
      <c r="Y193" s="627">
        <f>Assumptions!$J245*(Extracts!Y$184-$H$184)+$H193</f>
        <v>0</v>
      </c>
      <c r="Z193" s="627">
        <f>Assumptions!$J245*(Extracts!Z$184-$H$184)+$H193</f>
        <v>0</v>
      </c>
      <c r="AA193" s="627">
        <f>Assumptions!$J245*(Extracts!AA$184-$H$184)+$H193</f>
        <v>0</v>
      </c>
    </row>
    <row r="194" spans="1:27" hidden="1" x14ac:dyDescent="0.45">
      <c r="A194" s="792"/>
      <c r="B194" s="705"/>
      <c r="C194" s="707"/>
      <c r="D194" s="832" t="s">
        <v>749</v>
      </c>
      <c r="E194" s="783" t="s">
        <v>109</v>
      </c>
      <c r="F194" s="707"/>
      <c r="G194" s="817">
        <f t="shared" ref="G194:AA194" si="18">G184-SUM(G186:G193)</f>
        <v>0</v>
      </c>
      <c r="H194" s="817">
        <f t="shared" si="18"/>
        <v>0</v>
      </c>
      <c r="I194" s="817">
        <f t="shared" si="18"/>
        <v>0</v>
      </c>
      <c r="J194" s="817">
        <f t="shared" si="18"/>
        <v>0</v>
      </c>
      <c r="K194" s="818">
        <f t="shared" si="18"/>
        <v>0</v>
      </c>
      <c r="L194" s="627">
        <f t="shared" si="18"/>
        <v>0</v>
      </c>
      <c r="M194" s="627">
        <f t="shared" si="18"/>
        <v>0</v>
      </c>
      <c r="N194" s="627">
        <f t="shared" si="18"/>
        <v>0</v>
      </c>
      <c r="O194" s="627">
        <f t="shared" si="18"/>
        <v>0</v>
      </c>
      <c r="P194" s="627">
        <f t="shared" si="18"/>
        <v>0</v>
      </c>
      <c r="Q194" s="627">
        <f t="shared" si="18"/>
        <v>0</v>
      </c>
      <c r="R194" s="627">
        <f t="shared" si="18"/>
        <v>0</v>
      </c>
      <c r="S194" s="627">
        <f t="shared" si="18"/>
        <v>0</v>
      </c>
      <c r="T194" s="627">
        <f t="shared" si="18"/>
        <v>0</v>
      </c>
      <c r="U194" s="627">
        <f t="shared" si="18"/>
        <v>0</v>
      </c>
      <c r="V194" s="627">
        <f t="shared" si="18"/>
        <v>0</v>
      </c>
      <c r="W194" s="627">
        <f t="shared" si="18"/>
        <v>0</v>
      </c>
      <c r="X194" s="627">
        <f t="shared" si="18"/>
        <v>0</v>
      </c>
      <c r="Y194" s="627">
        <f t="shared" si="18"/>
        <v>0</v>
      </c>
      <c r="Z194" s="627">
        <f t="shared" si="18"/>
        <v>0</v>
      </c>
      <c r="AA194" s="627">
        <f t="shared" si="18"/>
        <v>0</v>
      </c>
    </row>
    <row r="195" spans="1:27" hidden="1" x14ac:dyDescent="0.45">
      <c r="A195" s="792"/>
      <c r="B195" s="705"/>
      <c r="C195" s="707"/>
      <c r="D195" s="707" t="s">
        <v>528</v>
      </c>
      <c r="E195" s="783" t="s">
        <v>532</v>
      </c>
      <c r="F195" s="707"/>
      <c r="G195" s="817">
        <f>G$177</f>
        <v>0</v>
      </c>
      <c r="H195" s="817">
        <f>H$177</f>
        <v>4</v>
      </c>
      <c r="I195" s="817">
        <f t="shared" ref="I195:AA197" si="19">I$177</f>
        <v>4</v>
      </c>
      <c r="J195" s="817">
        <f t="shared" si="19"/>
        <v>4</v>
      </c>
      <c r="K195" s="818">
        <f t="shared" si="19"/>
        <v>4</v>
      </c>
      <c r="L195" s="627">
        <f t="shared" si="19"/>
        <v>4</v>
      </c>
      <c r="M195" s="627">
        <f t="shared" si="19"/>
        <v>4</v>
      </c>
      <c r="N195" s="627">
        <f t="shared" si="19"/>
        <v>4</v>
      </c>
      <c r="O195" s="627">
        <f t="shared" si="19"/>
        <v>4</v>
      </c>
      <c r="P195" s="627">
        <f t="shared" si="19"/>
        <v>4</v>
      </c>
      <c r="Q195" s="627">
        <f t="shared" si="19"/>
        <v>4</v>
      </c>
      <c r="R195" s="627">
        <f t="shared" si="19"/>
        <v>4</v>
      </c>
      <c r="S195" s="627">
        <f t="shared" si="19"/>
        <v>4</v>
      </c>
      <c r="T195" s="627">
        <f t="shared" si="19"/>
        <v>4</v>
      </c>
      <c r="U195" s="627">
        <f t="shared" si="19"/>
        <v>4</v>
      </c>
      <c r="V195" s="627">
        <f t="shared" si="19"/>
        <v>4</v>
      </c>
      <c r="W195" s="627">
        <f t="shared" si="19"/>
        <v>4</v>
      </c>
      <c r="X195" s="627">
        <f t="shared" si="19"/>
        <v>4</v>
      </c>
      <c r="Y195" s="627">
        <f t="shared" si="19"/>
        <v>4</v>
      </c>
      <c r="Z195" s="627">
        <f t="shared" si="19"/>
        <v>4</v>
      </c>
      <c r="AA195" s="627">
        <f t="shared" si="19"/>
        <v>4</v>
      </c>
    </row>
    <row r="196" spans="1:27" hidden="1" x14ac:dyDescent="0.45">
      <c r="A196" s="792"/>
      <c r="B196" s="705"/>
      <c r="C196" s="707"/>
      <c r="D196" s="707" t="s">
        <v>528</v>
      </c>
      <c r="E196" s="783" t="s">
        <v>532</v>
      </c>
      <c r="F196" s="707"/>
      <c r="G196" s="817">
        <f t="shared" ref="G196:V197" si="20">G$177</f>
        <v>0</v>
      </c>
      <c r="H196" s="817">
        <f t="shared" si="20"/>
        <v>4</v>
      </c>
      <c r="I196" s="817">
        <f t="shared" si="20"/>
        <v>4</v>
      </c>
      <c r="J196" s="817">
        <f t="shared" si="20"/>
        <v>4</v>
      </c>
      <c r="K196" s="818">
        <f t="shared" si="20"/>
        <v>4</v>
      </c>
      <c r="L196" s="627">
        <f t="shared" si="20"/>
        <v>4</v>
      </c>
      <c r="M196" s="627">
        <f t="shared" si="20"/>
        <v>4</v>
      </c>
      <c r="N196" s="627">
        <f t="shared" si="20"/>
        <v>4</v>
      </c>
      <c r="O196" s="627">
        <f t="shared" si="20"/>
        <v>4</v>
      </c>
      <c r="P196" s="627">
        <f t="shared" si="20"/>
        <v>4</v>
      </c>
      <c r="Q196" s="627">
        <f t="shared" si="20"/>
        <v>4</v>
      </c>
      <c r="R196" s="627">
        <f t="shared" si="20"/>
        <v>4</v>
      </c>
      <c r="S196" s="627">
        <f t="shared" si="20"/>
        <v>4</v>
      </c>
      <c r="T196" s="627">
        <f t="shared" si="20"/>
        <v>4</v>
      </c>
      <c r="U196" s="627">
        <f t="shared" si="20"/>
        <v>4</v>
      </c>
      <c r="V196" s="627">
        <f t="shared" si="20"/>
        <v>4</v>
      </c>
      <c r="W196" s="627">
        <f t="shared" si="19"/>
        <v>4</v>
      </c>
      <c r="X196" s="627">
        <f t="shared" si="19"/>
        <v>4</v>
      </c>
      <c r="Y196" s="627">
        <f t="shared" si="19"/>
        <v>4</v>
      </c>
      <c r="Z196" s="627">
        <f t="shared" si="19"/>
        <v>4</v>
      </c>
      <c r="AA196" s="627">
        <f t="shared" si="19"/>
        <v>4</v>
      </c>
    </row>
    <row r="197" spans="1:27" hidden="1" x14ac:dyDescent="0.45">
      <c r="A197" s="792"/>
      <c r="B197" s="705"/>
      <c r="C197" s="707"/>
      <c r="D197" s="707" t="s">
        <v>528</v>
      </c>
      <c r="E197" s="783" t="s">
        <v>532</v>
      </c>
      <c r="F197" s="707"/>
      <c r="G197" s="817">
        <f t="shared" si="20"/>
        <v>0</v>
      </c>
      <c r="H197" s="817">
        <f t="shared" si="20"/>
        <v>4</v>
      </c>
      <c r="I197" s="817">
        <f t="shared" si="20"/>
        <v>4</v>
      </c>
      <c r="J197" s="817">
        <f t="shared" si="20"/>
        <v>4</v>
      </c>
      <c r="K197" s="818">
        <f t="shared" si="20"/>
        <v>4</v>
      </c>
      <c r="L197" s="627">
        <f t="shared" si="20"/>
        <v>4</v>
      </c>
      <c r="M197" s="627">
        <f t="shared" si="20"/>
        <v>4</v>
      </c>
      <c r="N197" s="627">
        <f t="shared" si="20"/>
        <v>4</v>
      </c>
      <c r="O197" s="627">
        <f t="shared" si="20"/>
        <v>4</v>
      </c>
      <c r="P197" s="627">
        <f t="shared" si="20"/>
        <v>4</v>
      </c>
      <c r="Q197" s="627">
        <f t="shared" si="20"/>
        <v>4</v>
      </c>
      <c r="R197" s="627">
        <f t="shared" si="20"/>
        <v>4</v>
      </c>
      <c r="S197" s="627">
        <f t="shared" si="20"/>
        <v>4</v>
      </c>
      <c r="T197" s="627">
        <f t="shared" si="20"/>
        <v>4</v>
      </c>
      <c r="U197" s="627">
        <f t="shared" si="20"/>
        <v>4</v>
      </c>
      <c r="V197" s="627">
        <f t="shared" si="19"/>
        <v>4</v>
      </c>
      <c r="W197" s="627">
        <f t="shared" si="19"/>
        <v>4</v>
      </c>
      <c r="X197" s="627">
        <f t="shared" si="19"/>
        <v>4</v>
      </c>
      <c r="Y197" s="627">
        <f t="shared" si="19"/>
        <v>4</v>
      </c>
      <c r="Z197" s="627">
        <f t="shared" si="19"/>
        <v>4</v>
      </c>
      <c r="AA197" s="627">
        <f t="shared" si="19"/>
        <v>4</v>
      </c>
    </row>
    <row r="198" spans="1:27" hidden="1" x14ac:dyDescent="0.45">
      <c r="A198" s="792"/>
      <c r="B198" s="705"/>
      <c r="C198" s="705"/>
      <c r="D198" s="707"/>
      <c r="E198" s="783"/>
      <c r="F198" s="707"/>
      <c r="G198" s="817"/>
      <c r="H198" s="817"/>
      <c r="I198" s="817"/>
      <c r="J198" s="817"/>
      <c r="K198" s="818"/>
      <c r="L198" s="627"/>
      <c r="M198" s="627"/>
      <c r="N198" s="627"/>
      <c r="O198" s="627"/>
      <c r="P198" s="627"/>
      <c r="Q198" s="627"/>
      <c r="R198" s="627"/>
      <c r="S198" s="627"/>
      <c r="T198" s="627"/>
      <c r="U198" s="627"/>
      <c r="V198" s="627"/>
      <c r="W198" s="627"/>
      <c r="X198" s="627"/>
      <c r="Y198" s="627"/>
      <c r="Z198" s="627"/>
      <c r="AA198" s="627"/>
    </row>
    <row r="199" spans="1:27" hidden="1" x14ac:dyDescent="0.45">
      <c r="A199" s="792"/>
      <c r="B199" s="705"/>
      <c r="C199" s="707"/>
      <c r="D199" s="707" t="s">
        <v>758</v>
      </c>
      <c r="E199" s="783" t="s">
        <v>809</v>
      </c>
      <c r="F199" s="707"/>
      <c r="G199" s="817">
        <f>Assumptions!I202</f>
        <v>100</v>
      </c>
      <c r="H199" s="817">
        <f>G199*(1+Assumptions!$H$279)</f>
        <v>102</v>
      </c>
      <c r="I199" s="817">
        <f>H199*(1+Assumptions!$H$279)</f>
        <v>104.04</v>
      </c>
      <c r="J199" s="817">
        <f>I199*(1+Assumptions!$H$279)</f>
        <v>106.1208</v>
      </c>
      <c r="K199" s="818">
        <f>J199*(1+Assumptions!$H$279)</f>
        <v>108.243216</v>
      </c>
      <c r="L199" s="627">
        <f>K199*(1+Assumptions!$H$279)</f>
        <v>110.40808032000001</v>
      </c>
      <c r="M199" s="627">
        <f>L199*(1+Assumptions!$H$279)</f>
        <v>112.61624192640001</v>
      </c>
      <c r="N199" s="627">
        <f>M199*(1+Assumptions!$H$279)</f>
        <v>114.868566764928</v>
      </c>
      <c r="O199" s="627">
        <f>N199*(1+Assumptions!$H$279)</f>
        <v>117.16593810022657</v>
      </c>
      <c r="P199" s="627">
        <f>O199*(1+Assumptions!$H$279)</f>
        <v>119.5092568622311</v>
      </c>
      <c r="Q199" s="627">
        <f>P199*(1+Assumptions!$H$279)</f>
        <v>121.89944199947573</v>
      </c>
      <c r="R199" s="627">
        <f>Q199*(1+Assumptions!$H$279)</f>
        <v>124.33743083946524</v>
      </c>
      <c r="S199" s="627">
        <f>R199*(1+Assumptions!$H$279)</f>
        <v>126.82417945625456</v>
      </c>
      <c r="T199" s="627">
        <f>S199*(1+Assumptions!$H$279)</f>
        <v>129.36066304537965</v>
      </c>
      <c r="U199" s="627">
        <f>T199*(1+Assumptions!$H$279)</f>
        <v>131.94787630628724</v>
      </c>
      <c r="V199" s="627">
        <f>U199*(1+Assumptions!$H$279)</f>
        <v>134.58683383241299</v>
      </c>
      <c r="W199" s="627">
        <f>V199*(1+Assumptions!$H$279)</f>
        <v>137.27857050906127</v>
      </c>
      <c r="X199" s="627">
        <f>W199*(1+Assumptions!$H$279)</f>
        <v>140.02414191924251</v>
      </c>
      <c r="Y199" s="627">
        <f>X199*(1+Assumptions!$H$279)</f>
        <v>142.82462475762736</v>
      </c>
      <c r="Z199" s="627">
        <f>Y199*(1+Assumptions!$H$279)</f>
        <v>145.6811172527799</v>
      </c>
      <c r="AA199" s="627">
        <f>Z199*(1+Assumptions!$H$279)</f>
        <v>148.59473959783551</v>
      </c>
    </row>
    <row r="200" spans="1:27" hidden="1" x14ac:dyDescent="0.45">
      <c r="A200" s="792"/>
      <c r="B200" s="705"/>
      <c r="C200" s="707"/>
      <c r="D200" s="707" t="s">
        <v>759</v>
      </c>
      <c r="E200" s="783" t="s">
        <v>809</v>
      </c>
      <c r="F200" s="707"/>
      <c r="G200" s="817">
        <f>Assumptions!I212</f>
        <v>0</v>
      </c>
      <c r="H200" s="817">
        <f>G200*(1+Assumptions!$H$279)</f>
        <v>0</v>
      </c>
      <c r="I200" s="817">
        <f>H200*(1+Assumptions!$H$279)</f>
        <v>0</v>
      </c>
      <c r="J200" s="817">
        <f>I200*(1+Assumptions!$H$279)</f>
        <v>0</v>
      </c>
      <c r="K200" s="818">
        <f>J200*(1+Assumptions!$H$279)</f>
        <v>0</v>
      </c>
      <c r="L200" s="627">
        <f>K200*(1+Assumptions!$H$279)</f>
        <v>0</v>
      </c>
      <c r="M200" s="627">
        <f>L200*(1+Assumptions!$H$279)</f>
        <v>0</v>
      </c>
      <c r="N200" s="627">
        <f>M200*(1+Assumptions!$H$279)</f>
        <v>0</v>
      </c>
      <c r="O200" s="627">
        <f>N200*(1+Assumptions!$H$279)</f>
        <v>0</v>
      </c>
      <c r="P200" s="627">
        <f>O200*(1+Assumptions!$H$279)</f>
        <v>0</v>
      </c>
      <c r="Q200" s="627">
        <f>P200*(1+Assumptions!$H$279)</f>
        <v>0</v>
      </c>
      <c r="R200" s="627">
        <f>Q200*(1+Assumptions!$H$279)</f>
        <v>0</v>
      </c>
      <c r="S200" s="627">
        <f>R200*(1+Assumptions!$H$279)</f>
        <v>0</v>
      </c>
      <c r="T200" s="627">
        <f>S200*(1+Assumptions!$H$279)</f>
        <v>0</v>
      </c>
      <c r="U200" s="627">
        <f>T200*(1+Assumptions!$H$279)</f>
        <v>0</v>
      </c>
      <c r="V200" s="627">
        <f>U200*(1+Assumptions!$H$279)</f>
        <v>0</v>
      </c>
      <c r="W200" s="627">
        <f>V200*(1+Assumptions!$H$279)</f>
        <v>0</v>
      </c>
      <c r="X200" s="627">
        <f>W200*(1+Assumptions!$H$279)</f>
        <v>0</v>
      </c>
      <c r="Y200" s="627">
        <f>X200*(1+Assumptions!$H$279)</f>
        <v>0</v>
      </c>
      <c r="Z200" s="627">
        <f>Y200*(1+Assumptions!$H$279)</f>
        <v>0</v>
      </c>
      <c r="AA200" s="627">
        <f>Z200*(1+Assumptions!$H$279)</f>
        <v>0</v>
      </c>
    </row>
    <row r="201" spans="1:27" hidden="1" x14ac:dyDescent="0.45">
      <c r="A201" s="792"/>
      <c r="B201" s="705"/>
      <c r="C201" s="707"/>
      <c r="D201" s="707" t="s">
        <v>764</v>
      </c>
      <c r="E201" s="783" t="s">
        <v>809</v>
      </c>
      <c r="F201" s="707"/>
      <c r="G201" s="817">
        <f>Assumptions!H261</f>
        <v>10000</v>
      </c>
      <c r="H201" s="817">
        <f>G201*(1+Assumptions!$H$279)</f>
        <v>10200</v>
      </c>
      <c r="I201" s="817">
        <f>H201*(1+Assumptions!$H$279)</f>
        <v>10404</v>
      </c>
      <c r="J201" s="817">
        <f>I201*(1+Assumptions!$H$279)</f>
        <v>10612.08</v>
      </c>
      <c r="K201" s="818">
        <f>J201*(1+Assumptions!$H$279)</f>
        <v>10824.321599999999</v>
      </c>
      <c r="L201" s="627">
        <f>K201*(1+Assumptions!$H$279)</f>
        <v>11040.808031999999</v>
      </c>
      <c r="M201" s="627">
        <f>L201*(1+Assumptions!$H$279)</f>
        <v>11261.62419264</v>
      </c>
      <c r="N201" s="627">
        <f>M201*(1+Assumptions!$H$279)</f>
        <v>11486.8566764928</v>
      </c>
      <c r="O201" s="627">
        <f>N201*(1+Assumptions!$H$279)</f>
        <v>11716.593810022656</v>
      </c>
      <c r="P201" s="627">
        <f>O201*(1+Assumptions!$H$279)</f>
        <v>11950.925686223109</v>
      </c>
      <c r="Q201" s="627">
        <f>P201*(1+Assumptions!$H$279)</f>
        <v>12189.944199947571</v>
      </c>
      <c r="R201" s="627">
        <f>Q201*(1+Assumptions!$H$279)</f>
        <v>12433.743083946523</v>
      </c>
      <c r="S201" s="627">
        <f>R201*(1+Assumptions!$H$279)</f>
        <v>12682.417945625453</v>
      </c>
      <c r="T201" s="627">
        <f>S201*(1+Assumptions!$H$279)</f>
        <v>12936.066304537962</v>
      </c>
      <c r="U201" s="627">
        <f>T201*(1+Assumptions!$H$279)</f>
        <v>13194.787630628722</v>
      </c>
      <c r="V201" s="627">
        <f>U201*(1+Assumptions!$H$279)</f>
        <v>13458.683383241296</v>
      </c>
      <c r="W201" s="627">
        <f>V201*(1+Assumptions!$H$279)</f>
        <v>13727.857050906123</v>
      </c>
      <c r="X201" s="627">
        <f>W201*(1+Assumptions!$H$279)</f>
        <v>14002.414191924245</v>
      </c>
      <c r="Y201" s="627">
        <f>X201*(1+Assumptions!$H$279)</f>
        <v>14282.46247576273</v>
      </c>
      <c r="Z201" s="627">
        <f>Y201*(1+Assumptions!$H$279)</f>
        <v>14568.111725277984</v>
      </c>
      <c r="AA201" s="627">
        <f>Z201*(1+Assumptions!$H$279)</f>
        <v>14859.473959783543</v>
      </c>
    </row>
    <row r="202" spans="1:27" hidden="1" x14ac:dyDescent="0.45">
      <c r="A202" s="792"/>
      <c r="B202" s="705"/>
      <c r="C202" s="707"/>
      <c r="D202" s="707" t="str">
        <f>Assumptions!D238</f>
        <v>Market 1: Cosmetic markets (standard)</v>
      </c>
      <c r="E202" s="783" t="s">
        <v>809</v>
      </c>
      <c r="F202" s="707"/>
      <c r="G202" s="817">
        <f>Assumptions!H238</f>
        <v>3200</v>
      </c>
      <c r="H202" s="817">
        <f>G202*(1+Assumptions!$H$279)</f>
        <v>3264</v>
      </c>
      <c r="I202" s="817">
        <f>H202*(1+Assumptions!$H$279)</f>
        <v>3329.28</v>
      </c>
      <c r="J202" s="817">
        <f>I202*(1+Assumptions!$H$279)</f>
        <v>3395.8656000000001</v>
      </c>
      <c r="K202" s="818">
        <f>J202*(1+Assumptions!$H$279)</f>
        <v>3463.7829120000001</v>
      </c>
      <c r="L202" s="627">
        <f>K202*(1+Assumptions!$H$279)</f>
        <v>3533.0585702400003</v>
      </c>
      <c r="M202" s="627">
        <f>L202*(1+Assumptions!$H$279)</f>
        <v>3603.7197416448003</v>
      </c>
      <c r="N202" s="627">
        <f>M202*(1+Assumptions!$H$279)</f>
        <v>3675.7941364776962</v>
      </c>
      <c r="O202" s="627">
        <f>N202*(1+Assumptions!$H$279)</f>
        <v>3749.3100192072502</v>
      </c>
      <c r="P202" s="627">
        <f>O202*(1+Assumptions!$H$279)</f>
        <v>3824.2962195913951</v>
      </c>
      <c r="Q202" s="627">
        <f>P202*(1+Assumptions!$H$279)</f>
        <v>3900.7821439832232</v>
      </c>
      <c r="R202" s="627">
        <f>Q202*(1+Assumptions!$H$279)</f>
        <v>3978.7977868628877</v>
      </c>
      <c r="S202" s="627">
        <f>R202*(1+Assumptions!$H$279)</f>
        <v>4058.3737426001458</v>
      </c>
      <c r="T202" s="627">
        <f>S202*(1+Assumptions!$H$279)</f>
        <v>4139.5412174521489</v>
      </c>
      <c r="U202" s="627">
        <f>T202*(1+Assumptions!$H$279)</f>
        <v>4222.3320418011917</v>
      </c>
      <c r="V202" s="627">
        <f>U202*(1+Assumptions!$H$279)</f>
        <v>4306.7786826372158</v>
      </c>
      <c r="W202" s="627">
        <f>V202*(1+Assumptions!$H$279)</f>
        <v>4392.9142562899606</v>
      </c>
      <c r="X202" s="627">
        <f>W202*(1+Assumptions!$H$279)</f>
        <v>4480.7725414157603</v>
      </c>
      <c r="Y202" s="627">
        <f>X202*(1+Assumptions!$H$279)</f>
        <v>4570.3879922440756</v>
      </c>
      <c r="Z202" s="627">
        <f>Y202*(1+Assumptions!$H$279)</f>
        <v>4661.7957520889568</v>
      </c>
      <c r="AA202" s="627">
        <f>Z202*(1+Assumptions!$H$279)</f>
        <v>4755.0316671307364</v>
      </c>
    </row>
    <row r="203" spans="1:27" hidden="1" x14ac:dyDescent="0.45">
      <c r="A203" s="792"/>
      <c r="B203" s="705"/>
      <c r="C203" s="707"/>
      <c r="D203" s="707" t="str">
        <f>Assumptions!D239</f>
        <v>Market 2: Cosmetic markets (organic)</v>
      </c>
      <c r="E203" s="783" t="s">
        <v>809</v>
      </c>
      <c r="F203" s="707"/>
      <c r="G203" s="817">
        <f>Assumptions!H239</f>
        <v>3700</v>
      </c>
      <c r="H203" s="817">
        <f>G203*(1+Assumptions!$H$279)</f>
        <v>3774</v>
      </c>
      <c r="I203" s="817">
        <f>H203*(1+Assumptions!$H$279)</f>
        <v>3849.48</v>
      </c>
      <c r="J203" s="817">
        <f>I203*(1+Assumptions!$H$279)</f>
        <v>3926.4695999999999</v>
      </c>
      <c r="K203" s="818">
        <f>J203*(1+Assumptions!$H$279)</f>
        <v>4004.9989919999998</v>
      </c>
      <c r="L203" s="627">
        <f>K203*(1+Assumptions!$H$279)</f>
        <v>4085.0989718400001</v>
      </c>
      <c r="M203" s="627">
        <f>L203*(1+Assumptions!$H$279)</f>
        <v>4166.8009512768003</v>
      </c>
      <c r="N203" s="627">
        <f>M203*(1+Assumptions!$H$279)</f>
        <v>4250.1369703023365</v>
      </c>
      <c r="O203" s="627">
        <f>N203*(1+Assumptions!$H$279)</f>
        <v>4335.1397097083836</v>
      </c>
      <c r="P203" s="627">
        <f>O203*(1+Assumptions!$H$279)</f>
        <v>4421.8425039025515</v>
      </c>
      <c r="Q203" s="627">
        <f>P203*(1+Assumptions!$H$279)</f>
        <v>4510.2793539806025</v>
      </c>
      <c r="R203" s="627">
        <f>Q203*(1+Assumptions!$H$279)</f>
        <v>4600.4849410602146</v>
      </c>
      <c r="S203" s="627">
        <f>R203*(1+Assumptions!$H$279)</f>
        <v>4692.4946398814191</v>
      </c>
      <c r="T203" s="627">
        <f>S203*(1+Assumptions!$H$279)</f>
        <v>4786.3445326790479</v>
      </c>
      <c r="U203" s="627">
        <f>T203*(1+Assumptions!$H$279)</f>
        <v>4882.0714233326289</v>
      </c>
      <c r="V203" s="627">
        <f>U203*(1+Assumptions!$H$279)</f>
        <v>4979.7128517992815</v>
      </c>
      <c r="W203" s="627">
        <f>V203*(1+Assumptions!$H$279)</f>
        <v>5079.3071088352672</v>
      </c>
      <c r="X203" s="627">
        <f>W203*(1+Assumptions!$H$279)</f>
        <v>5180.893251011973</v>
      </c>
      <c r="Y203" s="627">
        <f>X203*(1+Assumptions!$H$279)</f>
        <v>5284.5111160322122</v>
      </c>
      <c r="Z203" s="627">
        <f>Y203*(1+Assumptions!$H$279)</f>
        <v>5390.2013383528565</v>
      </c>
      <c r="AA203" s="627">
        <f>Z203*(1+Assumptions!$H$279)</f>
        <v>5498.0053651199141</v>
      </c>
    </row>
    <row r="204" spans="1:27" hidden="1" x14ac:dyDescent="0.45">
      <c r="A204" s="792"/>
      <c r="B204" s="705"/>
      <c r="C204" s="707"/>
      <c r="D204" s="707" t="str">
        <f>Assumptions!D240</f>
        <v>Market 3: Food / confectionary market</v>
      </c>
      <c r="E204" s="783" t="s">
        <v>809</v>
      </c>
      <c r="F204" s="707"/>
      <c r="G204" s="817">
        <f>Assumptions!H240</f>
        <v>2200</v>
      </c>
      <c r="H204" s="817">
        <f>G204*(1+Assumptions!$H$279)</f>
        <v>2244</v>
      </c>
      <c r="I204" s="817">
        <f>H204*(1+Assumptions!$H$279)</f>
        <v>2288.88</v>
      </c>
      <c r="J204" s="817">
        <f>I204*(1+Assumptions!$H$279)</f>
        <v>2334.6576</v>
      </c>
      <c r="K204" s="818">
        <f>J204*(1+Assumptions!$H$279)</f>
        <v>2381.3507519999998</v>
      </c>
      <c r="L204" s="627">
        <f>K204*(1+Assumptions!$H$279)</f>
        <v>2428.9777670399999</v>
      </c>
      <c r="M204" s="627">
        <f>L204*(1+Assumptions!$H$279)</f>
        <v>2477.5573223808001</v>
      </c>
      <c r="N204" s="627">
        <f>M204*(1+Assumptions!$H$279)</f>
        <v>2527.1084688284163</v>
      </c>
      <c r="O204" s="627">
        <f>N204*(1+Assumptions!$H$279)</f>
        <v>2577.6506382049847</v>
      </c>
      <c r="P204" s="627">
        <f>O204*(1+Assumptions!$H$279)</f>
        <v>2629.2036509690843</v>
      </c>
      <c r="Q204" s="627">
        <f>P204*(1+Assumptions!$H$279)</f>
        <v>2681.787723988466</v>
      </c>
      <c r="R204" s="627">
        <f>Q204*(1+Assumptions!$H$279)</f>
        <v>2735.4234784682353</v>
      </c>
      <c r="S204" s="627">
        <f>R204*(1+Assumptions!$H$279)</f>
        <v>2790.1319480376001</v>
      </c>
      <c r="T204" s="627">
        <f>S204*(1+Assumptions!$H$279)</f>
        <v>2845.9345869983522</v>
      </c>
      <c r="U204" s="627">
        <f>T204*(1+Assumptions!$H$279)</f>
        <v>2902.8532787383192</v>
      </c>
      <c r="V204" s="627">
        <f>U204*(1+Assumptions!$H$279)</f>
        <v>2960.9103443130857</v>
      </c>
      <c r="W204" s="627">
        <f>V204*(1+Assumptions!$H$279)</f>
        <v>3020.1285511993474</v>
      </c>
      <c r="X204" s="627">
        <f>W204*(1+Assumptions!$H$279)</f>
        <v>3080.5311222233345</v>
      </c>
      <c r="Y204" s="627">
        <f>X204*(1+Assumptions!$H$279)</f>
        <v>3142.141744667801</v>
      </c>
      <c r="Z204" s="627">
        <f>Y204*(1+Assumptions!$H$279)</f>
        <v>3204.9845795611573</v>
      </c>
      <c r="AA204" s="627">
        <f>Z204*(1+Assumptions!$H$279)</f>
        <v>3269.0842711523806</v>
      </c>
    </row>
    <row r="205" spans="1:27" hidden="1" x14ac:dyDescent="0.45">
      <c r="A205" s="792"/>
      <c r="B205" s="705"/>
      <c r="C205" s="707"/>
      <c r="D205" s="707" t="str">
        <f>Assumptions!D241</f>
        <v>Market 4: TBC</v>
      </c>
      <c r="E205" s="783" t="s">
        <v>809</v>
      </c>
      <c r="F205" s="707"/>
      <c r="G205" s="817">
        <f>Assumptions!H241</f>
        <v>0</v>
      </c>
      <c r="H205" s="817">
        <f>G205*(1+Assumptions!$H$279)</f>
        <v>0</v>
      </c>
      <c r="I205" s="817">
        <f>H205*(1+Assumptions!$H$279)</f>
        <v>0</v>
      </c>
      <c r="J205" s="817">
        <f>I205*(1+Assumptions!$H$279)</f>
        <v>0</v>
      </c>
      <c r="K205" s="818">
        <f>J205*(1+Assumptions!$H$279)</f>
        <v>0</v>
      </c>
      <c r="L205" s="627">
        <f>K205*(1+Assumptions!$H$279)</f>
        <v>0</v>
      </c>
      <c r="M205" s="627">
        <f>L205*(1+Assumptions!$H$279)</f>
        <v>0</v>
      </c>
      <c r="N205" s="627">
        <f>M205*(1+Assumptions!$H$279)</f>
        <v>0</v>
      </c>
      <c r="O205" s="627">
        <f>N205*(1+Assumptions!$H$279)</f>
        <v>0</v>
      </c>
      <c r="P205" s="627">
        <f>O205*(1+Assumptions!$H$279)</f>
        <v>0</v>
      </c>
      <c r="Q205" s="627">
        <f>P205*(1+Assumptions!$H$279)</f>
        <v>0</v>
      </c>
      <c r="R205" s="627">
        <f>Q205*(1+Assumptions!$H$279)</f>
        <v>0</v>
      </c>
      <c r="S205" s="627">
        <f>R205*(1+Assumptions!$H$279)</f>
        <v>0</v>
      </c>
      <c r="T205" s="627">
        <f>S205*(1+Assumptions!$H$279)</f>
        <v>0</v>
      </c>
      <c r="U205" s="627">
        <f>T205*(1+Assumptions!$H$279)</f>
        <v>0</v>
      </c>
      <c r="V205" s="627">
        <f>U205*(1+Assumptions!$H$279)</f>
        <v>0</v>
      </c>
      <c r="W205" s="627">
        <f>V205*(1+Assumptions!$H$279)</f>
        <v>0</v>
      </c>
      <c r="X205" s="627">
        <f>W205*(1+Assumptions!$H$279)</f>
        <v>0</v>
      </c>
      <c r="Y205" s="627">
        <f>X205*(1+Assumptions!$H$279)</f>
        <v>0</v>
      </c>
      <c r="Z205" s="627">
        <f>Y205*(1+Assumptions!$H$279)</f>
        <v>0</v>
      </c>
      <c r="AA205" s="627">
        <f>Z205*(1+Assumptions!$H$279)</f>
        <v>0</v>
      </c>
    </row>
    <row r="206" spans="1:27" hidden="1" x14ac:dyDescent="0.45">
      <c r="A206" s="792"/>
      <c r="B206" s="705"/>
      <c r="C206" s="707"/>
      <c r="D206" s="707" t="str">
        <f>Assumptions!D242</f>
        <v>Market 5: TBC</v>
      </c>
      <c r="E206" s="783" t="s">
        <v>809</v>
      </c>
      <c r="F206" s="707"/>
      <c r="G206" s="817">
        <f>Assumptions!H242</f>
        <v>0</v>
      </c>
      <c r="H206" s="817">
        <f>G206*(1+Assumptions!$H$279)</f>
        <v>0</v>
      </c>
      <c r="I206" s="817">
        <f>H206*(1+Assumptions!$H$279)</f>
        <v>0</v>
      </c>
      <c r="J206" s="817">
        <f>I206*(1+Assumptions!$H$279)</f>
        <v>0</v>
      </c>
      <c r="K206" s="818">
        <f>J206*(1+Assumptions!$H$279)</f>
        <v>0</v>
      </c>
      <c r="L206" s="627">
        <f>K206*(1+Assumptions!$H$279)</f>
        <v>0</v>
      </c>
      <c r="M206" s="627">
        <f>L206*(1+Assumptions!$H$279)</f>
        <v>0</v>
      </c>
      <c r="N206" s="627">
        <f>M206*(1+Assumptions!$H$279)</f>
        <v>0</v>
      </c>
      <c r="O206" s="627">
        <f>N206*(1+Assumptions!$H$279)</f>
        <v>0</v>
      </c>
      <c r="P206" s="627">
        <f>O206*(1+Assumptions!$H$279)</f>
        <v>0</v>
      </c>
      <c r="Q206" s="627">
        <f>P206*(1+Assumptions!$H$279)</f>
        <v>0</v>
      </c>
      <c r="R206" s="627">
        <f>Q206*(1+Assumptions!$H$279)</f>
        <v>0</v>
      </c>
      <c r="S206" s="627">
        <f>R206*(1+Assumptions!$H$279)</f>
        <v>0</v>
      </c>
      <c r="T206" s="627">
        <f>S206*(1+Assumptions!$H$279)</f>
        <v>0</v>
      </c>
      <c r="U206" s="627">
        <f>T206*(1+Assumptions!$H$279)</f>
        <v>0</v>
      </c>
      <c r="V206" s="627">
        <f>U206*(1+Assumptions!$H$279)</f>
        <v>0</v>
      </c>
      <c r="W206" s="627">
        <f>V206*(1+Assumptions!$H$279)</f>
        <v>0</v>
      </c>
      <c r="X206" s="627">
        <f>W206*(1+Assumptions!$H$279)</f>
        <v>0</v>
      </c>
      <c r="Y206" s="627">
        <f>X206*(1+Assumptions!$H$279)</f>
        <v>0</v>
      </c>
      <c r="Z206" s="627">
        <f>Y206*(1+Assumptions!$H$279)</f>
        <v>0</v>
      </c>
      <c r="AA206" s="627">
        <f>Z206*(1+Assumptions!$H$279)</f>
        <v>0</v>
      </c>
    </row>
    <row r="207" spans="1:27" hidden="1" x14ac:dyDescent="0.45">
      <c r="A207" s="792"/>
      <c r="B207" s="705"/>
      <c r="C207" s="707"/>
      <c r="D207" s="707" t="str">
        <f>Assumptions!D243</f>
        <v>Market 6: TBC</v>
      </c>
      <c r="E207" s="783" t="s">
        <v>809</v>
      </c>
      <c r="F207" s="707"/>
      <c r="G207" s="817">
        <f>Assumptions!H243</f>
        <v>0</v>
      </c>
      <c r="H207" s="817">
        <f>G207*(1+Assumptions!$H$279)</f>
        <v>0</v>
      </c>
      <c r="I207" s="817">
        <f>H207*(1+Assumptions!$H$279)</f>
        <v>0</v>
      </c>
      <c r="J207" s="817">
        <f>I207*(1+Assumptions!$H$279)</f>
        <v>0</v>
      </c>
      <c r="K207" s="818">
        <f>J207*(1+Assumptions!$H$279)</f>
        <v>0</v>
      </c>
      <c r="L207" s="627">
        <f>K207*(1+Assumptions!$H$279)</f>
        <v>0</v>
      </c>
      <c r="M207" s="627">
        <f>L207*(1+Assumptions!$H$279)</f>
        <v>0</v>
      </c>
      <c r="N207" s="627">
        <f>M207*(1+Assumptions!$H$279)</f>
        <v>0</v>
      </c>
      <c r="O207" s="627">
        <f>N207*(1+Assumptions!$H$279)</f>
        <v>0</v>
      </c>
      <c r="P207" s="627">
        <f>O207*(1+Assumptions!$H$279)</f>
        <v>0</v>
      </c>
      <c r="Q207" s="627">
        <f>P207*(1+Assumptions!$H$279)</f>
        <v>0</v>
      </c>
      <c r="R207" s="627">
        <f>Q207*(1+Assumptions!$H$279)</f>
        <v>0</v>
      </c>
      <c r="S207" s="627">
        <f>R207*(1+Assumptions!$H$279)</f>
        <v>0</v>
      </c>
      <c r="T207" s="627">
        <f>S207*(1+Assumptions!$H$279)</f>
        <v>0</v>
      </c>
      <c r="U207" s="627">
        <f>T207*(1+Assumptions!$H$279)</f>
        <v>0</v>
      </c>
      <c r="V207" s="627">
        <f>U207*(1+Assumptions!$H$279)</f>
        <v>0</v>
      </c>
      <c r="W207" s="627">
        <f>V207*(1+Assumptions!$H$279)</f>
        <v>0</v>
      </c>
      <c r="X207" s="627">
        <f>W207*(1+Assumptions!$H$279)</f>
        <v>0</v>
      </c>
      <c r="Y207" s="627">
        <f>X207*(1+Assumptions!$H$279)</f>
        <v>0</v>
      </c>
      <c r="Z207" s="627">
        <f>Y207*(1+Assumptions!$H$279)</f>
        <v>0</v>
      </c>
      <c r="AA207" s="627">
        <f>Z207*(1+Assumptions!$H$279)</f>
        <v>0</v>
      </c>
    </row>
    <row r="208" spans="1:27" hidden="1" x14ac:dyDescent="0.45">
      <c r="A208" s="792"/>
      <c r="B208" s="705"/>
      <c r="C208" s="707"/>
      <c r="D208" s="707" t="str">
        <f>Assumptions!D244</f>
        <v>Market 7: TBC</v>
      </c>
      <c r="E208" s="783" t="s">
        <v>809</v>
      </c>
      <c r="F208" s="707"/>
      <c r="G208" s="817">
        <f>Assumptions!H244</f>
        <v>0</v>
      </c>
      <c r="H208" s="817">
        <f>G208*(1+Assumptions!$H$279)</f>
        <v>0</v>
      </c>
      <c r="I208" s="817">
        <f>H208*(1+Assumptions!$H$279)</f>
        <v>0</v>
      </c>
      <c r="J208" s="817">
        <f>I208*(1+Assumptions!$H$279)</f>
        <v>0</v>
      </c>
      <c r="K208" s="818">
        <f>J208*(1+Assumptions!$H$279)</f>
        <v>0</v>
      </c>
      <c r="L208" s="627">
        <f>K208*(1+Assumptions!$H$279)</f>
        <v>0</v>
      </c>
      <c r="M208" s="627">
        <f>L208*(1+Assumptions!$H$279)</f>
        <v>0</v>
      </c>
      <c r="N208" s="627">
        <f>M208*(1+Assumptions!$H$279)</f>
        <v>0</v>
      </c>
      <c r="O208" s="627">
        <f>N208*(1+Assumptions!$H$279)</f>
        <v>0</v>
      </c>
      <c r="P208" s="627">
        <f>O208*(1+Assumptions!$H$279)</f>
        <v>0</v>
      </c>
      <c r="Q208" s="627">
        <f>P208*(1+Assumptions!$H$279)</f>
        <v>0</v>
      </c>
      <c r="R208" s="627">
        <f>Q208*(1+Assumptions!$H$279)</f>
        <v>0</v>
      </c>
      <c r="S208" s="627">
        <f>R208*(1+Assumptions!$H$279)</f>
        <v>0</v>
      </c>
      <c r="T208" s="627">
        <f>S208*(1+Assumptions!$H$279)</f>
        <v>0</v>
      </c>
      <c r="U208" s="627">
        <f>T208*(1+Assumptions!$H$279)</f>
        <v>0</v>
      </c>
      <c r="V208" s="627">
        <f>U208*(1+Assumptions!$H$279)</f>
        <v>0</v>
      </c>
      <c r="W208" s="627">
        <f>V208*(1+Assumptions!$H$279)</f>
        <v>0</v>
      </c>
      <c r="X208" s="627">
        <f>W208*(1+Assumptions!$H$279)</f>
        <v>0</v>
      </c>
      <c r="Y208" s="627">
        <f>X208*(1+Assumptions!$H$279)</f>
        <v>0</v>
      </c>
      <c r="Z208" s="627">
        <f>Y208*(1+Assumptions!$H$279)</f>
        <v>0</v>
      </c>
      <c r="AA208" s="627">
        <f>Z208*(1+Assumptions!$H$279)</f>
        <v>0</v>
      </c>
    </row>
    <row r="209" spans="1:27" hidden="1" x14ac:dyDescent="0.45">
      <c r="A209" s="792"/>
      <c r="B209" s="705"/>
      <c r="C209" s="707"/>
      <c r="D209" s="707" t="str">
        <f>Assumptions!D245</f>
        <v>Market 8: TBC</v>
      </c>
      <c r="E209" s="783" t="s">
        <v>809</v>
      </c>
      <c r="F209" s="707"/>
      <c r="G209" s="817">
        <f>Assumptions!H245</f>
        <v>0</v>
      </c>
      <c r="H209" s="817">
        <f>G209*(1+Assumptions!$H$279)</f>
        <v>0</v>
      </c>
      <c r="I209" s="817">
        <f>H209*(1+Assumptions!$H$279)</f>
        <v>0</v>
      </c>
      <c r="J209" s="817">
        <f>I209*(1+Assumptions!$H$279)</f>
        <v>0</v>
      </c>
      <c r="K209" s="818">
        <f>J209*(1+Assumptions!$H$279)</f>
        <v>0</v>
      </c>
      <c r="L209" s="627">
        <f>K209*(1+Assumptions!$H$279)</f>
        <v>0</v>
      </c>
      <c r="M209" s="627">
        <f>L209*(1+Assumptions!$H$279)</f>
        <v>0</v>
      </c>
      <c r="N209" s="627">
        <f>M209*(1+Assumptions!$H$279)</f>
        <v>0</v>
      </c>
      <c r="O209" s="627">
        <f>N209*(1+Assumptions!$H$279)</f>
        <v>0</v>
      </c>
      <c r="P209" s="627">
        <f>O209*(1+Assumptions!$H$279)</f>
        <v>0</v>
      </c>
      <c r="Q209" s="627">
        <f>P209*(1+Assumptions!$H$279)</f>
        <v>0</v>
      </c>
      <c r="R209" s="627">
        <f>Q209*(1+Assumptions!$H$279)</f>
        <v>0</v>
      </c>
      <c r="S209" s="627">
        <f>R209*(1+Assumptions!$H$279)</f>
        <v>0</v>
      </c>
      <c r="T209" s="627">
        <f>S209*(1+Assumptions!$H$279)</f>
        <v>0</v>
      </c>
      <c r="U209" s="627">
        <f>T209*(1+Assumptions!$H$279)</f>
        <v>0</v>
      </c>
      <c r="V209" s="627">
        <f>U209*(1+Assumptions!$H$279)</f>
        <v>0</v>
      </c>
      <c r="W209" s="627">
        <f>V209*(1+Assumptions!$H$279)</f>
        <v>0</v>
      </c>
      <c r="X209" s="627">
        <f>W209*(1+Assumptions!$H$279)</f>
        <v>0</v>
      </c>
      <c r="Y209" s="627">
        <f>X209*(1+Assumptions!$H$279)</f>
        <v>0</v>
      </c>
      <c r="Z209" s="627">
        <f>Y209*(1+Assumptions!$H$279)</f>
        <v>0</v>
      </c>
      <c r="AA209" s="627">
        <f>Z209*(1+Assumptions!$H$279)</f>
        <v>0</v>
      </c>
    </row>
    <row r="210" spans="1:27" hidden="1" x14ac:dyDescent="0.45">
      <c r="A210" s="792"/>
      <c r="B210" s="705"/>
      <c r="C210" s="707"/>
      <c r="D210" s="707" t="s">
        <v>763</v>
      </c>
      <c r="E210" s="783" t="s">
        <v>812</v>
      </c>
      <c r="F210" s="707"/>
      <c r="G210" s="817">
        <f>G180*Assumptions!$H$206*G201</f>
        <v>0</v>
      </c>
      <c r="H210" s="817">
        <f>H180*Assumptions!$H$206*H201</f>
        <v>0</v>
      </c>
      <c r="I210" s="817">
        <f>I180*Assumptions!$H$206*I201</f>
        <v>0</v>
      </c>
      <c r="J210" s="817">
        <f>J180*Assumptions!$H$206*J201</f>
        <v>0</v>
      </c>
      <c r="K210" s="818">
        <f>K180*Assumptions!$H$206*K201</f>
        <v>0</v>
      </c>
      <c r="L210" s="627">
        <f>L180*Assumptions!$H$206*L201</f>
        <v>0</v>
      </c>
      <c r="M210" s="627">
        <f>M180*Assumptions!$H$206*M201</f>
        <v>0</v>
      </c>
      <c r="N210" s="627">
        <f>N180*Assumptions!$H$206*N201</f>
        <v>0</v>
      </c>
      <c r="O210" s="627">
        <f>O180*Assumptions!$H$206*O201</f>
        <v>0</v>
      </c>
      <c r="P210" s="627">
        <f>P180*Assumptions!$H$206*P201</f>
        <v>0</v>
      </c>
      <c r="Q210" s="627">
        <f>Q180*Assumptions!$H$206*Q201</f>
        <v>0</v>
      </c>
      <c r="R210" s="627">
        <f>R180*Assumptions!$H$206*R201</f>
        <v>0</v>
      </c>
      <c r="S210" s="627">
        <f>S180*Assumptions!$H$206*S201</f>
        <v>0</v>
      </c>
      <c r="T210" s="627">
        <f>T180*Assumptions!$H$206*T201</f>
        <v>0</v>
      </c>
      <c r="U210" s="627">
        <f>U180*Assumptions!$H$206*U201</f>
        <v>0</v>
      </c>
      <c r="V210" s="627">
        <f>V180*Assumptions!$H$206*V201</f>
        <v>0</v>
      </c>
      <c r="W210" s="627">
        <f>W180*Assumptions!$H$206*W201</f>
        <v>0</v>
      </c>
      <c r="X210" s="627">
        <f>X180*Assumptions!$H$206*X201</f>
        <v>0</v>
      </c>
      <c r="Y210" s="627">
        <f>Y180*Assumptions!$H$206*Y201</f>
        <v>0</v>
      </c>
      <c r="Z210" s="627">
        <f>Z180*Assumptions!$H$206*Z201</f>
        <v>0</v>
      </c>
      <c r="AA210" s="627">
        <f>AA180*Assumptions!$H$206*AA201</f>
        <v>0</v>
      </c>
    </row>
    <row r="211" spans="1:27" hidden="1" x14ac:dyDescent="0.45">
      <c r="A211" s="792"/>
      <c r="B211" s="705"/>
      <c r="C211" s="707"/>
      <c r="D211" s="707" t="s">
        <v>290</v>
      </c>
      <c r="E211" s="783" t="s">
        <v>812</v>
      </c>
      <c r="F211" s="707"/>
      <c r="G211" s="817">
        <f>Assumptions!I275</f>
        <v>30000</v>
      </c>
      <c r="H211" s="817">
        <f>G211*(1+Assumptions!$H$279)</f>
        <v>30600</v>
      </c>
      <c r="I211" s="817">
        <f>H211*(1+Assumptions!$H$279)</f>
        <v>31212</v>
      </c>
      <c r="J211" s="817">
        <f>I211*(1+Assumptions!$H$279)</f>
        <v>31836.240000000002</v>
      </c>
      <c r="K211" s="818">
        <f>J211*(1+Assumptions!$H$279)</f>
        <v>32472.964800000002</v>
      </c>
      <c r="L211" s="627">
        <f>K211*(1+Assumptions!$H$279)</f>
        <v>33122.424096000002</v>
      </c>
      <c r="M211" s="627">
        <f>L211*(1+Assumptions!$H$279)</f>
        <v>33784.872577920003</v>
      </c>
      <c r="N211" s="627">
        <f>M211*(1+Assumptions!$H$279)</f>
        <v>34460.570029478404</v>
      </c>
      <c r="O211" s="627">
        <f>N211*(1+Assumptions!$H$279)</f>
        <v>35149.781430067975</v>
      </c>
      <c r="P211" s="627">
        <f>O211*(1+Assumptions!$H$279)</f>
        <v>35852.777058669337</v>
      </c>
      <c r="Q211" s="627">
        <f>P211*(1+Assumptions!$H$279)</f>
        <v>36569.832599842724</v>
      </c>
      <c r="R211" s="627">
        <f>Q211*(1+Assumptions!$H$279)</f>
        <v>37301.229251839577</v>
      </c>
      <c r="S211" s="627">
        <f>R211*(1+Assumptions!$H$279)</f>
        <v>38047.253836876371</v>
      </c>
      <c r="T211" s="627">
        <f>S211*(1+Assumptions!$H$279)</f>
        <v>38808.198913613902</v>
      </c>
      <c r="U211" s="627">
        <f>T211*(1+Assumptions!$H$279)</f>
        <v>39584.36289188618</v>
      </c>
      <c r="V211" s="627">
        <f>U211*(1+Assumptions!$H$279)</f>
        <v>40376.050149723902</v>
      </c>
      <c r="W211" s="627">
        <f>V211*(1+Assumptions!$H$279)</f>
        <v>41183.571152718381</v>
      </c>
      <c r="X211" s="627">
        <f>W211*(1+Assumptions!$H$279)</f>
        <v>42007.242575772747</v>
      </c>
      <c r="Y211" s="627">
        <f>X211*(1+Assumptions!$H$279)</f>
        <v>42847.387427288202</v>
      </c>
      <c r="Z211" s="627">
        <f>Y211*(1+Assumptions!$H$279)</f>
        <v>43704.33517583397</v>
      </c>
      <c r="AA211" s="627">
        <f>Z211*(1+Assumptions!$H$279)</f>
        <v>44578.421879350652</v>
      </c>
    </row>
    <row r="212" spans="1:27" hidden="1" x14ac:dyDescent="0.45">
      <c r="A212" s="792"/>
      <c r="B212" s="705"/>
      <c r="C212" s="707"/>
      <c r="D212" s="707" t="s">
        <v>765</v>
      </c>
      <c r="E212" s="783" t="s">
        <v>812</v>
      </c>
      <c r="F212" s="707"/>
      <c r="G212" s="817">
        <f>Assumptions!I276</f>
        <v>15000</v>
      </c>
      <c r="H212" s="817">
        <f>G212*(1+Assumptions!$H$279)</f>
        <v>15300</v>
      </c>
      <c r="I212" s="817">
        <f>H212*(1+Assumptions!$H$279)</f>
        <v>15606</v>
      </c>
      <c r="J212" s="817">
        <f>I212*(1+Assumptions!$H$279)</f>
        <v>15918.12</v>
      </c>
      <c r="K212" s="818">
        <f>J212*(1+Assumptions!$H$279)</f>
        <v>16236.482400000001</v>
      </c>
      <c r="L212" s="627">
        <f>K212*(1+Assumptions!$H$279)</f>
        <v>16561.212048000001</v>
      </c>
      <c r="M212" s="627">
        <f>L212*(1+Assumptions!$H$279)</f>
        <v>16892.436288960002</v>
      </c>
      <c r="N212" s="627">
        <f>M212*(1+Assumptions!$H$279)</f>
        <v>17230.285014739202</v>
      </c>
      <c r="O212" s="627">
        <f>N212*(1+Assumptions!$H$279)</f>
        <v>17574.890715033987</v>
      </c>
      <c r="P212" s="627">
        <f>O212*(1+Assumptions!$H$279)</f>
        <v>17926.388529334668</v>
      </c>
      <c r="Q212" s="627">
        <f>P212*(1+Assumptions!$H$279)</f>
        <v>18284.916299921362</v>
      </c>
      <c r="R212" s="627">
        <f>Q212*(1+Assumptions!$H$279)</f>
        <v>18650.614625919789</v>
      </c>
      <c r="S212" s="627">
        <f>R212*(1+Assumptions!$H$279)</f>
        <v>19023.626918438185</v>
      </c>
      <c r="T212" s="627">
        <f>S212*(1+Assumptions!$H$279)</f>
        <v>19404.099456806951</v>
      </c>
      <c r="U212" s="627">
        <f>T212*(1+Assumptions!$H$279)</f>
        <v>19792.18144594309</v>
      </c>
      <c r="V212" s="627">
        <f>U212*(1+Assumptions!$H$279)</f>
        <v>20188.025074861951</v>
      </c>
      <c r="W212" s="627">
        <f>V212*(1+Assumptions!$H$279)</f>
        <v>20591.785576359191</v>
      </c>
      <c r="X212" s="627">
        <f>W212*(1+Assumptions!$H$279)</f>
        <v>21003.621287886373</v>
      </c>
      <c r="Y212" s="627">
        <f>X212*(1+Assumptions!$H$279)</f>
        <v>21423.693713644101</v>
      </c>
      <c r="Z212" s="627">
        <f>Y212*(1+Assumptions!$H$279)</f>
        <v>21852.167587916985</v>
      </c>
      <c r="AA212" s="627">
        <f>Z212*(1+Assumptions!$H$279)</f>
        <v>22289.210939675326</v>
      </c>
    </row>
    <row r="213" spans="1:27" hidden="1" x14ac:dyDescent="0.45">
      <c r="A213" s="792"/>
      <c r="B213" s="705"/>
      <c r="C213" s="707"/>
      <c r="D213" s="707" t="s">
        <v>291</v>
      </c>
      <c r="E213" s="783" t="s">
        <v>813</v>
      </c>
      <c r="F213" s="707"/>
      <c r="G213" s="817">
        <f>Assumptions!I277</f>
        <v>0</v>
      </c>
      <c r="H213" s="817">
        <f>G213*(1+Assumptions!$H$279)</f>
        <v>0</v>
      </c>
      <c r="I213" s="817">
        <f>H213*(1+Assumptions!$H$279)</f>
        <v>0</v>
      </c>
      <c r="J213" s="817">
        <f>I213*(1+Assumptions!$H$279)</f>
        <v>0</v>
      </c>
      <c r="K213" s="818">
        <f>J213*(1+Assumptions!$H$279)</f>
        <v>0</v>
      </c>
      <c r="L213" s="627">
        <f>K213*(1+Assumptions!$H$279)</f>
        <v>0</v>
      </c>
      <c r="M213" s="627">
        <f>L213*(1+Assumptions!$H$279)</f>
        <v>0</v>
      </c>
      <c r="N213" s="627">
        <f>M213*(1+Assumptions!$H$279)</f>
        <v>0</v>
      </c>
      <c r="O213" s="627">
        <f>N213*(1+Assumptions!$H$279)</f>
        <v>0</v>
      </c>
      <c r="P213" s="627">
        <f>O213*(1+Assumptions!$H$279)</f>
        <v>0</v>
      </c>
      <c r="Q213" s="627">
        <f>P213*(1+Assumptions!$H$279)</f>
        <v>0</v>
      </c>
      <c r="R213" s="627">
        <f>Q213*(1+Assumptions!$H$279)</f>
        <v>0</v>
      </c>
      <c r="S213" s="627">
        <f>R213*(1+Assumptions!$H$279)</f>
        <v>0</v>
      </c>
      <c r="T213" s="627">
        <f>S213*(1+Assumptions!$H$279)</f>
        <v>0</v>
      </c>
      <c r="U213" s="627">
        <f>T213*(1+Assumptions!$H$279)</f>
        <v>0</v>
      </c>
      <c r="V213" s="627">
        <f>U213*(1+Assumptions!$H$279)</f>
        <v>0</v>
      </c>
      <c r="W213" s="627">
        <f>V213*(1+Assumptions!$H$279)</f>
        <v>0</v>
      </c>
      <c r="X213" s="627">
        <f>W213*(1+Assumptions!$H$279)</f>
        <v>0</v>
      </c>
      <c r="Y213" s="627">
        <f>X213*(1+Assumptions!$H$279)</f>
        <v>0</v>
      </c>
      <c r="Z213" s="627">
        <f>Y213*(1+Assumptions!$H$279)</f>
        <v>0</v>
      </c>
      <c r="AA213" s="627">
        <f>Z213*(1+Assumptions!$H$279)</f>
        <v>0</v>
      </c>
    </row>
    <row r="214" spans="1:27" hidden="1" x14ac:dyDescent="0.45">
      <c r="A214" s="777"/>
      <c r="B214" s="707"/>
      <c r="C214" s="707"/>
      <c r="D214" s="707"/>
      <c r="E214" s="707"/>
      <c r="F214" s="707"/>
      <c r="G214" s="815"/>
      <c r="H214" s="815"/>
      <c r="I214" s="815"/>
      <c r="J214" s="815"/>
      <c r="K214" s="816"/>
      <c r="L214" s="568"/>
      <c r="M214" s="568"/>
      <c r="N214" s="568"/>
      <c r="O214" s="568"/>
      <c r="P214" s="568"/>
      <c r="Q214" s="568"/>
      <c r="R214" s="568"/>
      <c r="S214" s="568"/>
      <c r="T214" s="568"/>
      <c r="U214" s="568"/>
      <c r="V214" s="568"/>
      <c r="W214" s="568"/>
      <c r="X214" s="568"/>
      <c r="Y214" s="568"/>
      <c r="Z214" s="568"/>
      <c r="AA214" s="568"/>
    </row>
    <row r="215" spans="1:27" x14ac:dyDescent="0.45">
      <c r="A215" s="777"/>
      <c r="B215" s="707"/>
      <c r="C215" s="707"/>
      <c r="D215" s="707"/>
      <c r="E215" s="707"/>
      <c r="F215" s="707"/>
      <c r="G215" s="815"/>
      <c r="H215" s="815"/>
      <c r="I215" s="815"/>
      <c r="J215" s="815"/>
      <c r="K215" s="816"/>
      <c r="L215" s="568"/>
      <c r="M215" s="568"/>
      <c r="N215" s="568"/>
      <c r="O215" s="568"/>
      <c r="P215" s="568"/>
      <c r="Q215" s="568"/>
      <c r="R215" s="568"/>
      <c r="S215" s="568"/>
      <c r="T215" s="568"/>
      <c r="U215" s="568"/>
      <c r="V215" s="568"/>
      <c r="W215" s="568"/>
      <c r="X215" s="568"/>
      <c r="Y215" s="568"/>
      <c r="Z215" s="568"/>
      <c r="AA215" s="568"/>
    </row>
    <row r="216" spans="1:27" x14ac:dyDescent="0.45">
      <c r="A216" s="792"/>
      <c r="B216" s="705"/>
      <c r="C216" s="707"/>
      <c r="D216" s="707" t="s">
        <v>758</v>
      </c>
      <c r="E216" s="783" t="s">
        <v>806</v>
      </c>
      <c r="F216" s="707"/>
      <c r="G216" s="817">
        <f>G183*G199</f>
        <v>0</v>
      </c>
      <c r="H216" s="817">
        <f>H183*H199</f>
        <v>612000</v>
      </c>
      <c r="I216" s="817">
        <f t="shared" ref="I216:AA216" si="21">I183*I199</f>
        <v>624240</v>
      </c>
      <c r="J216" s="817">
        <f t="shared" si="21"/>
        <v>636724.80000000005</v>
      </c>
      <c r="K216" s="818">
        <f t="shared" si="21"/>
        <v>649459.29599999997</v>
      </c>
      <c r="L216" s="627">
        <f t="shared" si="21"/>
        <v>662448.48192000005</v>
      </c>
      <c r="M216" s="627">
        <f t="shared" si="21"/>
        <v>675697.45155840006</v>
      </c>
      <c r="N216" s="627">
        <f t="shared" si="21"/>
        <v>689211.40058956807</v>
      </c>
      <c r="O216" s="627">
        <f t="shared" si="21"/>
        <v>702995.62860135944</v>
      </c>
      <c r="P216" s="627">
        <f t="shared" si="21"/>
        <v>717055.54117338662</v>
      </c>
      <c r="Q216" s="627">
        <f t="shared" si="21"/>
        <v>731396.65199685434</v>
      </c>
      <c r="R216" s="627">
        <f t="shared" si="21"/>
        <v>746024.5850367914</v>
      </c>
      <c r="S216" s="627">
        <f t="shared" si="21"/>
        <v>760945.07673752739</v>
      </c>
      <c r="T216" s="627">
        <f t="shared" si="21"/>
        <v>776163.97827227786</v>
      </c>
      <c r="U216" s="627">
        <f t="shared" si="21"/>
        <v>791687.25783772347</v>
      </c>
      <c r="V216" s="627">
        <f t="shared" si="21"/>
        <v>807521.00299447798</v>
      </c>
      <c r="W216" s="627">
        <f t="shared" si="21"/>
        <v>823671.42305436765</v>
      </c>
      <c r="X216" s="627">
        <f t="shared" si="21"/>
        <v>840144.85151545506</v>
      </c>
      <c r="Y216" s="627">
        <f t="shared" si="21"/>
        <v>856947.74854576413</v>
      </c>
      <c r="Z216" s="627">
        <f t="shared" si="21"/>
        <v>874086.70351667935</v>
      </c>
      <c r="AA216" s="627">
        <f t="shared" si="21"/>
        <v>891568.43758701312</v>
      </c>
    </row>
    <row r="217" spans="1:27" hidden="1" x14ac:dyDescent="0.45">
      <c r="A217" s="792"/>
      <c r="B217" s="705"/>
      <c r="C217" s="707"/>
      <c r="D217" s="707" t="s">
        <v>759</v>
      </c>
      <c r="E217" s="783" t="s">
        <v>806</v>
      </c>
      <c r="F217" s="707"/>
      <c r="G217" s="817">
        <f>G185*G200</f>
        <v>0</v>
      </c>
      <c r="H217" s="817">
        <f>H185*H200</f>
        <v>0</v>
      </c>
      <c r="I217" s="817">
        <f t="shared" ref="I217:AA217" si="22">I185*I200</f>
        <v>0</v>
      </c>
      <c r="J217" s="817">
        <f t="shared" si="22"/>
        <v>0</v>
      </c>
      <c r="K217" s="818">
        <f t="shared" si="22"/>
        <v>0</v>
      </c>
      <c r="L217" s="627">
        <f t="shared" si="22"/>
        <v>0</v>
      </c>
      <c r="M217" s="627">
        <f t="shared" si="22"/>
        <v>0</v>
      </c>
      <c r="N217" s="627">
        <f t="shared" si="22"/>
        <v>0</v>
      </c>
      <c r="O217" s="627">
        <f t="shared" si="22"/>
        <v>0</v>
      </c>
      <c r="P217" s="627">
        <f t="shared" si="22"/>
        <v>0</v>
      </c>
      <c r="Q217" s="627">
        <f t="shared" si="22"/>
        <v>0</v>
      </c>
      <c r="R217" s="627">
        <f t="shared" si="22"/>
        <v>0</v>
      </c>
      <c r="S217" s="627">
        <f t="shared" si="22"/>
        <v>0</v>
      </c>
      <c r="T217" s="627">
        <f t="shared" si="22"/>
        <v>0</v>
      </c>
      <c r="U217" s="627">
        <f t="shared" si="22"/>
        <v>0</v>
      </c>
      <c r="V217" s="627">
        <f t="shared" si="22"/>
        <v>0</v>
      </c>
      <c r="W217" s="627">
        <f t="shared" si="22"/>
        <v>0</v>
      </c>
      <c r="X217" s="627">
        <f t="shared" si="22"/>
        <v>0</v>
      </c>
      <c r="Y217" s="627">
        <f t="shared" si="22"/>
        <v>0</v>
      </c>
      <c r="Z217" s="627">
        <f t="shared" si="22"/>
        <v>0</v>
      </c>
      <c r="AA217" s="627">
        <f t="shared" si="22"/>
        <v>0</v>
      </c>
    </row>
    <row r="218" spans="1:27" x14ac:dyDescent="0.45">
      <c r="A218" s="792"/>
      <c r="B218" s="705"/>
      <c r="C218" s="707"/>
      <c r="D218" s="707" t="str">
        <f>D202</f>
        <v>Market 1: Cosmetic markets (standard)</v>
      </c>
      <c r="E218" s="783" t="s">
        <v>806</v>
      </c>
      <c r="F218" s="707"/>
      <c r="G218" s="817">
        <f t="shared" ref="G218:AA218" si="23">G202*G186</f>
        <v>0</v>
      </c>
      <c r="H218" s="817">
        <f t="shared" si="23"/>
        <v>6266880</v>
      </c>
      <c r="I218" s="817">
        <f t="shared" si="23"/>
        <v>6392217.6000000006</v>
      </c>
      <c r="J218" s="817">
        <f t="shared" si="23"/>
        <v>6520061.9520000005</v>
      </c>
      <c r="K218" s="818">
        <f t="shared" si="23"/>
        <v>6650463.1910399999</v>
      </c>
      <c r="L218" s="627">
        <f t="shared" si="23"/>
        <v>6783472.4548608009</v>
      </c>
      <c r="M218" s="627">
        <f t="shared" si="23"/>
        <v>6919141.9039580161</v>
      </c>
      <c r="N218" s="627">
        <f t="shared" si="23"/>
        <v>7057524.7420371771</v>
      </c>
      <c r="O218" s="627">
        <f t="shared" si="23"/>
        <v>7198675.2368779201</v>
      </c>
      <c r="P218" s="627">
        <f t="shared" si="23"/>
        <v>7342648.7416154789</v>
      </c>
      <c r="Q218" s="627">
        <f t="shared" si="23"/>
        <v>7489501.7164477883</v>
      </c>
      <c r="R218" s="627">
        <f t="shared" si="23"/>
        <v>7639291.7507767444</v>
      </c>
      <c r="S218" s="627">
        <f t="shared" si="23"/>
        <v>7792077.5857922798</v>
      </c>
      <c r="T218" s="627">
        <f t="shared" si="23"/>
        <v>7947919.137508126</v>
      </c>
      <c r="U218" s="627">
        <f t="shared" si="23"/>
        <v>8106877.5202582879</v>
      </c>
      <c r="V218" s="627">
        <f t="shared" si="23"/>
        <v>8269015.070663454</v>
      </c>
      <c r="W218" s="627">
        <f t="shared" si="23"/>
        <v>8434395.3720767237</v>
      </c>
      <c r="X218" s="627">
        <f t="shared" si="23"/>
        <v>8603083.2795182597</v>
      </c>
      <c r="Y218" s="627">
        <f t="shared" si="23"/>
        <v>8775144.945108626</v>
      </c>
      <c r="Z218" s="627">
        <f t="shared" si="23"/>
        <v>8950647.8440107964</v>
      </c>
      <c r="AA218" s="627">
        <f t="shared" si="23"/>
        <v>9129660.8008910138</v>
      </c>
    </row>
    <row r="219" spans="1:27" x14ac:dyDescent="0.45">
      <c r="A219" s="792"/>
      <c r="B219" s="705"/>
      <c r="C219" s="707"/>
      <c r="D219" s="707" t="s">
        <v>559</v>
      </c>
      <c r="E219" s="783" t="s">
        <v>806</v>
      </c>
      <c r="F219" s="707"/>
      <c r="G219" s="817">
        <f t="shared" ref="G219:AA219" si="24">G203*G187</f>
        <v>0</v>
      </c>
      <c r="H219" s="817">
        <f t="shared" si="24"/>
        <v>1811520</v>
      </c>
      <c r="I219" s="817">
        <f t="shared" si="24"/>
        <v>1847750.4</v>
      </c>
      <c r="J219" s="817">
        <f t="shared" si="24"/>
        <v>1884705.4080000001</v>
      </c>
      <c r="K219" s="818">
        <f t="shared" si="24"/>
        <v>1922399.5161599999</v>
      </c>
      <c r="L219" s="627">
        <f t="shared" si="24"/>
        <v>1960847.5064832</v>
      </c>
      <c r="M219" s="627">
        <f t="shared" si="24"/>
        <v>2000064.456612864</v>
      </c>
      <c r="N219" s="627">
        <f t="shared" si="24"/>
        <v>2040065.7457451215</v>
      </c>
      <c r="O219" s="627">
        <f t="shared" si="24"/>
        <v>2080867.0606600242</v>
      </c>
      <c r="P219" s="627">
        <f t="shared" si="24"/>
        <v>2122484.4018732249</v>
      </c>
      <c r="Q219" s="627">
        <f t="shared" si="24"/>
        <v>2164934.0899106893</v>
      </c>
      <c r="R219" s="627">
        <f t="shared" si="24"/>
        <v>2208232.7717089029</v>
      </c>
      <c r="S219" s="627">
        <f t="shared" si="24"/>
        <v>2252397.4271430811</v>
      </c>
      <c r="T219" s="627">
        <f t="shared" si="24"/>
        <v>2297445.3756859428</v>
      </c>
      <c r="U219" s="627">
        <f t="shared" si="24"/>
        <v>2343394.2831996619</v>
      </c>
      <c r="V219" s="627">
        <f t="shared" si="24"/>
        <v>2390262.1688636551</v>
      </c>
      <c r="W219" s="627">
        <f t="shared" si="24"/>
        <v>2438067.412240928</v>
      </c>
      <c r="X219" s="627">
        <f t="shared" si="24"/>
        <v>2486828.7604857469</v>
      </c>
      <c r="Y219" s="627">
        <f t="shared" si="24"/>
        <v>2536565.3356954618</v>
      </c>
      <c r="Z219" s="627">
        <f t="shared" si="24"/>
        <v>2587296.6424093712</v>
      </c>
      <c r="AA219" s="627">
        <f t="shared" si="24"/>
        <v>2639042.5752575588</v>
      </c>
    </row>
    <row r="220" spans="1:27" x14ac:dyDescent="0.45">
      <c r="A220" s="792"/>
      <c r="B220" s="705"/>
      <c r="C220" s="707"/>
      <c r="D220" s="707" t="s">
        <v>557</v>
      </c>
      <c r="E220" s="783" t="s">
        <v>806</v>
      </c>
      <c r="F220" s="707"/>
      <c r="G220" s="817">
        <f t="shared" ref="G220:AA220" si="25">G204*G188</f>
        <v>0</v>
      </c>
      <c r="H220" s="817">
        <f t="shared" si="25"/>
        <v>0</v>
      </c>
      <c r="I220" s="817">
        <f t="shared" si="25"/>
        <v>0</v>
      </c>
      <c r="J220" s="817">
        <f t="shared" si="25"/>
        <v>0</v>
      </c>
      <c r="K220" s="818">
        <f t="shared" si="25"/>
        <v>0</v>
      </c>
      <c r="L220" s="627">
        <f t="shared" si="25"/>
        <v>0</v>
      </c>
      <c r="M220" s="627">
        <f t="shared" si="25"/>
        <v>0</v>
      </c>
      <c r="N220" s="627">
        <f t="shared" si="25"/>
        <v>0</v>
      </c>
      <c r="O220" s="627">
        <f t="shared" si="25"/>
        <v>0</v>
      </c>
      <c r="P220" s="627">
        <f t="shared" si="25"/>
        <v>0</v>
      </c>
      <c r="Q220" s="627">
        <f t="shared" si="25"/>
        <v>0</v>
      </c>
      <c r="R220" s="627">
        <f t="shared" si="25"/>
        <v>0</v>
      </c>
      <c r="S220" s="627">
        <f t="shared" si="25"/>
        <v>0</v>
      </c>
      <c r="T220" s="627">
        <f t="shared" si="25"/>
        <v>0</v>
      </c>
      <c r="U220" s="627">
        <f t="shared" si="25"/>
        <v>0</v>
      </c>
      <c r="V220" s="627">
        <f t="shared" si="25"/>
        <v>0</v>
      </c>
      <c r="W220" s="627">
        <f t="shared" si="25"/>
        <v>0</v>
      </c>
      <c r="X220" s="627">
        <f t="shared" si="25"/>
        <v>0</v>
      </c>
      <c r="Y220" s="627">
        <f t="shared" si="25"/>
        <v>0</v>
      </c>
      <c r="Z220" s="627">
        <f t="shared" si="25"/>
        <v>0</v>
      </c>
      <c r="AA220" s="627">
        <f t="shared" si="25"/>
        <v>0</v>
      </c>
    </row>
    <row r="221" spans="1:27" hidden="1" x14ac:dyDescent="0.45">
      <c r="A221" s="792"/>
      <c r="B221" s="705"/>
      <c r="C221" s="707"/>
      <c r="D221" s="707" t="str">
        <f>D205</f>
        <v>Market 4: TBC</v>
      </c>
      <c r="E221" s="783" t="s">
        <v>806</v>
      </c>
      <c r="F221" s="707"/>
      <c r="G221" s="817">
        <f t="shared" ref="G221:AA221" si="26">G205*G189</f>
        <v>0</v>
      </c>
      <c r="H221" s="817">
        <f t="shared" si="26"/>
        <v>0</v>
      </c>
      <c r="I221" s="817">
        <f t="shared" si="26"/>
        <v>0</v>
      </c>
      <c r="J221" s="817">
        <f t="shared" si="26"/>
        <v>0</v>
      </c>
      <c r="K221" s="818">
        <f t="shared" si="26"/>
        <v>0</v>
      </c>
      <c r="L221" s="627">
        <f t="shared" si="26"/>
        <v>0</v>
      </c>
      <c r="M221" s="627">
        <f t="shared" si="26"/>
        <v>0</v>
      </c>
      <c r="N221" s="627">
        <f t="shared" si="26"/>
        <v>0</v>
      </c>
      <c r="O221" s="627">
        <f t="shared" si="26"/>
        <v>0</v>
      </c>
      <c r="P221" s="627">
        <f t="shared" si="26"/>
        <v>0</v>
      </c>
      <c r="Q221" s="627">
        <f t="shared" si="26"/>
        <v>0</v>
      </c>
      <c r="R221" s="627">
        <f t="shared" si="26"/>
        <v>0</v>
      </c>
      <c r="S221" s="627">
        <f t="shared" si="26"/>
        <v>0</v>
      </c>
      <c r="T221" s="627">
        <f t="shared" si="26"/>
        <v>0</v>
      </c>
      <c r="U221" s="627">
        <f t="shared" si="26"/>
        <v>0</v>
      </c>
      <c r="V221" s="627">
        <f t="shared" si="26"/>
        <v>0</v>
      </c>
      <c r="W221" s="627">
        <f t="shared" si="26"/>
        <v>0</v>
      </c>
      <c r="X221" s="627">
        <f t="shared" si="26"/>
        <v>0</v>
      </c>
      <c r="Y221" s="627">
        <f t="shared" si="26"/>
        <v>0</v>
      </c>
      <c r="Z221" s="627">
        <f t="shared" si="26"/>
        <v>0</v>
      </c>
      <c r="AA221" s="627">
        <f t="shared" si="26"/>
        <v>0</v>
      </c>
    </row>
    <row r="222" spans="1:27" hidden="1" x14ac:dyDescent="0.45">
      <c r="A222" s="792"/>
      <c r="B222" s="705"/>
      <c r="C222" s="707"/>
      <c r="D222" s="707" t="str">
        <f>D206</f>
        <v>Market 5: TBC</v>
      </c>
      <c r="E222" s="783" t="s">
        <v>806</v>
      </c>
      <c r="F222" s="707"/>
      <c r="G222" s="817">
        <f t="shared" ref="G222:AA222" si="27">G206*G190</f>
        <v>0</v>
      </c>
      <c r="H222" s="817">
        <f t="shared" si="27"/>
        <v>0</v>
      </c>
      <c r="I222" s="817">
        <f t="shared" si="27"/>
        <v>0</v>
      </c>
      <c r="J222" s="817">
        <f t="shared" si="27"/>
        <v>0</v>
      </c>
      <c r="K222" s="818">
        <f t="shared" si="27"/>
        <v>0</v>
      </c>
      <c r="L222" s="627">
        <f t="shared" si="27"/>
        <v>0</v>
      </c>
      <c r="M222" s="627">
        <f t="shared" si="27"/>
        <v>0</v>
      </c>
      <c r="N222" s="627">
        <f t="shared" si="27"/>
        <v>0</v>
      </c>
      <c r="O222" s="627">
        <f t="shared" si="27"/>
        <v>0</v>
      </c>
      <c r="P222" s="627">
        <f t="shared" si="27"/>
        <v>0</v>
      </c>
      <c r="Q222" s="627">
        <f t="shared" si="27"/>
        <v>0</v>
      </c>
      <c r="R222" s="627">
        <f t="shared" si="27"/>
        <v>0</v>
      </c>
      <c r="S222" s="627">
        <f t="shared" si="27"/>
        <v>0</v>
      </c>
      <c r="T222" s="627">
        <f t="shared" si="27"/>
        <v>0</v>
      </c>
      <c r="U222" s="627">
        <f t="shared" si="27"/>
        <v>0</v>
      </c>
      <c r="V222" s="627">
        <f t="shared" si="27"/>
        <v>0</v>
      </c>
      <c r="W222" s="627">
        <f t="shared" si="27"/>
        <v>0</v>
      </c>
      <c r="X222" s="627">
        <f t="shared" si="27"/>
        <v>0</v>
      </c>
      <c r="Y222" s="627">
        <f t="shared" si="27"/>
        <v>0</v>
      </c>
      <c r="Z222" s="627">
        <f t="shared" si="27"/>
        <v>0</v>
      </c>
      <c r="AA222" s="627">
        <f t="shared" si="27"/>
        <v>0</v>
      </c>
    </row>
    <row r="223" spans="1:27" hidden="1" x14ac:dyDescent="0.45">
      <c r="A223" s="792"/>
      <c r="B223" s="705"/>
      <c r="C223" s="707"/>
      <c r="D223" s="707" t="str">
        <f>D207</f>
        <v>Market 6: TBC</v>
      </c>
      <c r="E223" s="783" t="s">
        <v>806</v>
      </c>
      <c r="F223" s="707"/>
      <c r="G223" s="817">
        <f t="shared" ref="G223:AA223" si="28">G207*G191</f>
        <v>0</v>
      </c>
      <c r="H223" s="817">
        <f t="shared" si="28"/>
        <v>0</v>
      </c>
      <c r="I223" s="817">
        <f t="shared" si="28"/>
        <v>0</v>
      </c>
      <c r="J223" s="817">
        <f t="shared" si="28"/>
        <v>0</v>
      </c>
      <c r="K223" s="818">
        <f t="shared" si="28"/>
        <v>0</v>
      </c>
      <c r="L223" s="627">
        <f t="shared" si="28"/>
        <v>0</v>
      </c>
      <c r="M223" s="627">
        <f t="shared" si="28"/>
        <v>0</v>
      </c>
      <c r="N223" s="627">
        <f t="shared" si="28"/>
        <v>0</v>
      </c>
      <c r="O223" s="627">
        <f t="shared" si="28"/>
        <v>0</v>
      </c>
      <c r="P223" s="627">
        <f t="shared" si="28"/>
        <v>0</v>
      </c>
      <c r="Q223" s="627">
        <f t="shared" si="28"/>
        <v>0</v>
      </c>
      <c r="R223" s="627">
        <f t="shared" si="28"/>
        <v>0</v>
      </c>
      <c r="S223" s="627">
        <f t="shared" si="28"/>
        <v>0</v>
      </c>
      <c r="T223" s="627">
        <f t="shared" si="28"/>
        <v>0</v>
      </c>
      <c r="U223" s="627">
        <f t="shared" si="28"/>
        <v>0</v>
      </c>
      <c r="V223" s="627">
        <f t="shared" si="28"/>
        <v>0</v>
      </c>
      <c r="W223" s="627">
        <f t="shared" si="28"/>
        <v>0</v>
      </c>
      <c r="X223" s="627">
        <f t="shared" si="28"/>
        <v>0</v>
      </c>
      <c r="Y223" s="627">
        <f t="shared" si="28"/>
        <v>0</v>
      </c>
      <c r="Z223" s="627">
        <f t="shared" si="28"/>
        <v>0</v>
      </c>
      <c r="AA223" s="627">
        <f t="shared" si="28"/>
        <v>0</v>
      </c>
    </row>
    <row r="224" spans="1:27" hidden="1" x14ac:dyDescent="0.45">
      <c r="A224" s="792"/>
      <c r="B224" s="705"/>
      <c r="C224" s="707"/>
      <c r="D224" s="707" t="str">
        <f>D208</f>
        <v>Market 7: TBC</v>
      </c>
      <c r="E224" s="783" t="s">
        <v>806</v>
      </c>
      <c r="F224" s="707"/>
      <c r="G224" s="817">
        <f t="shared" ref="G224:AA224" si="29">G208*G192</f>
        <v>0</v>
      </c>
      <c r="H224" s="817">
        <f t="shared" si="29"/>
        <v>0</v>
      </c>
      <c r="I224" s="817">
        <f t="shared" si="29"/>
        <v>0</v>
      </c>
      <c r="J224" s="817">
        <f t="shared" si="29"/>
        <v>0</v>
      </c>
      <c r="K224" s="818">
        <f t="shared" si="29"/>
        <v>0</v>
      </c>
      <c r="L224" s="627">
        <f t="shared" si="29"/>
        <v>0</v>
      </c>
      <c r="M224" s="627">
        <f t="shared" si="29"/>
        <v>0</v>
      </c>
      <c r="N224" s="627">
        <f t="shared" si="29"/>
        <v>0</v>
      </c>
      <c r="O224" s="627">
        <f t="shared" si="29"/>
        <v>0</v>
      </c>
      <c r="P224" s="627">
        <f t="shared" si="29"/>
        <v>0</v>
      </c>
      <c r="Q224" s="627">
        <f t="shared" si="29"/>
        <v>0</v>
      </c>
      <c r="R224" s="627">
        <f t="shared" si="29"/>
        <v>0</v>
      </c>
      <c r="S224" s="627">
        <f t="shared" si="29"/>
        <v>0</v>
      </c>
      <c r="T224" s="627">
        <f t="shared" si="29"/>
        <v>0</v>
      </c>
      <c r="U224" s="627">
        <f t="shared" si="29"/>
        <v>0</v>
      </c>
      <c r="V224" s="627">
        <f t="shared" si="29"/>
        <v>0</v>
      </c>
      <c r="W224" s="627">
        <f t="shared" si="29"/>
        <v>0</v>
      </c>
      <c r="X224" s="627">
        <f t="shared" si="29"/>
        <v>0</v>
      </c>
      <c r="Y224" s="627">
        <f t="shared" si="29"/>
        <v>0</v>
      </c>
      <c r="Z224" s="627">
        <f t="shared" si="29"/>
        <v>0</v>
      </c>
      <c r="AA224" s="627">
        <f t="shared" si="29"/>
        <v>0</v>
      </c>
    </row>
    <row r="225" spans="1:27" hidden="1" x14ac:dyDescent="0.45">
      <c r="A225" s="792"/>
      <c r="B225" s="705"/>
      <c r="C225" s="707"/>
      <c r="D225" s="707" t="str">
        <f>D209</f>
        <v>Market 8: TBC</v>
      </c>
      <c r="E225" s="783" t="s">
        <v>806</v>
      </c>
      <c r="F225" s="707"/>
      <c r="G225" s="817">
        <f t="shared" ref="G225:AA225" si="30">G209*G193</f>
        <v>0</v>
      </c>
      <c r="H225" s="817">
        <f t="shared" si="30"/>
        <v>0</v>
      </c>
      <c r="I225" s="817">
        <f t="shared" si="30"/>
        <v>0</v>
      </c>
      <c r="J225" s="817">
        <f t="shared" si="30"/>
        <v>0</v>
      </c>
      <c r="K225" s="818">
        <f t="shared" si="30"/>
        <v>0</v>
      </c>
      <c r="L225" s="627">
        <f t="shared" si="30"/>
        <v>0</v>
      </c>
      <c r="M225" s="627">
        <f t="shared" si="30"/>
        <v>0</v>
      </c>
      <c r="N225" s="627">
        <f t="shared" si="30"/>
        <v>0</v>
      </c>
      <c r="O225" s="627">
        <f t="shared" si="30"/>
        <v>0</v>
      </c>
      <c r="P225" s="627">
        <f t="shared" si="30"/>
        <v>0</v>
      </c>
      <c r="Q225" s="627">
        <f t="shared" si="30"/>
        <v>0</v>
      </c>
      <c r="R225" s="627">
        <f t="shared" si="30"/>
        <v>0</v>
      </c>
      <c r="S225" s="627">
        <f t="shared" si="30"/>
        <v>0</v>
      </c>
      <c r="T225" s="627">
        <f t="shared" si="30"/>
        <v>0</v>
      </c>
      <c r="U225" s="627">
        <f t="shared" si="30"/>
        <v>0</v>
      </c>
      <c r="V225" s="627">
        <f t="shared" si="30"/>
        <v>0</v>
      </c>
      <c r="W225" s="627">
        <f t="shared" si="30"/>
        <v>0</v>
      </c>
      <c r="X225" s="627">
        <f t="shared" si="30"/>
        <v>0</v>
      </c>
      <c r="Y225" s="627">
        <f t="shared" si="30"/>
        <v>0</v>
      </c>
      <c r="Z225" s="627">
        <f t="shared" si="30"/>
        <v>0</v>
      </c>
      <c r="AA225" s="627">
        <f t="shared" si="30"/>
        <v>0</v>
      </c>
    </row>
    <row r="226" spans="1:27" hidden="1" x14ac:dyDescent="0.45">
      <c r="A226" s="792"/>
      <c r="B226" s="705"/>
      <c r="C226" s="707"/>
      <c r="D226" s="707" t="s">
        <v>763</v>
      </c>
      <c r="E226" s="783" t="s">
        <v>806</v>
      </c>
      <c r="F226" s="707"/>
      <c r="G226" s="817">
        <f t="shared" ref="G226:AA226" si="31">G174*G210</f>
        <v>0</v>
      </c>
      <c r="H226" s="817">
        <f t="shared" si="31"/>
        <v>0</v>
      </c>
      <c r="I226" s="817">
        <f t="shared" si="31"/>
        <v>0</v>
      </c>
      <c r="J226" s="817">
        <f t="shared" si="31"/>
        <v>0</v>
      </c>
      <c r="K226" s="818">
        <f t="shared" si="31"/>
        <v>0</v>
      </c>
      <c r="L226" s="627">
        <f t="shared" si="31"/>
        <v>0</v>
      </c>
      <c r="M226" s="627">
        <f t="shared" si="31"/>
        <v>0</v>
      </c>
      <c r="N226" s="627">
        <f t="shared" si="31"/>
        <v>0</v>
      </c>
      <c r="O226" s="627">
        <f t="shared" si="31"/>
        <v>0</v>
      </c>
      <c r="P226" s="627">
        <f t="shared" si="31"/>
        <v>0</v>
      </c>
      <c r="Q226" s="627">
        <f t="shared" si="31"/>
        <v>0</v>
      </c>
      <c r="R226" s="627">
        <f t="shared" si="31"/>
        <v>0</v>
      </c>
      <c r="S226" s="627">
        <f t="shared" si="31"/>
        <v>0</v>
      </c>
      <c r="T226" s="627">
        <f t="shared" si="31"/>
        <v>0</v>
      </c>
      <c r="U226" s="627">
        <f t="shared" si="31"/>
        <v>0</v>
      </c>
      <c r="V226" s="627">
        <f t="shared" si="31"/>
        <v>0</v>
      </c>
      <c r="W226" s="627">
        <f t="shared" si="31"/>
        <v>0</v>
      </c>
      <c r="X226" s="627">
        <f t="shared" si="31"/>
        <v>0</v>
      </c>
      <c r="Y226" s="627">
        <f t="shared" si="31"/>
        <v>0</v>
      </c>
      <c r="Z226" s="627">
        <f t="shared" si="31"/>
        <v>0</v>
      </c>
      <c r="AA226" s="627">
        <f t="shared" si="31"/>
        <v>0</v>
      </c>
    </row>
    <row r="227" spans="1:27" x14ac:dyDescent="0.45">
      <c r="A227" s="792"/>
      <c r="B227" s="705"/>
      <c r="C227" s="707"/>
      <c r="D227" s="707" t="s">
        <v>290</v>
      </c>
      <c r="E227" s="783" t="s">
        <v>806</v>
      </c>
      <c r="F227" s="707"/>
      <c r="G227" s="817">
        <f t="shared" ref="G227:AA227" si="32">G174*G211</f>
        <v>0</v>
      </c>
      <c r="H227" s="817">
        <f t="shared" si="32"/>
        <v>244800</v>
      </c>
      <c r="I227" s="817">
        <f t="shared" si="32"/>
        <v>249696</v>
      </c>
      <c r="J227" s="817">
        <f t="shared" si="32"/>
        <v>254689.92000000001</v>
      </c>
      <c r="K227" s="818">
        <f t="shared" si="32"/>
        <v>259783.71840000001</v>
      </c>
      <c r="L227" s="627">
        <f t="shared" si="32"/>
        <v>264979.39276800002</v>
      </c>
      <c r="M227" s="627">
        <f t="shared" si="32"/>
        <v>270278.98062336002</v>
      </c>
      <c r="N227" s="627">
        <f t="shared" si="32"/>
        <v>275684.56023582723</v>
      </c>
      <c r="O227" s="627">
        <f t="shared" si="32"/>
        <v>281198.2514405438</v>
      </c>
      <c r="P227" s="627">
        <f t="shared" si="32"/>
        <v>286822.21646935469</v>
      </c>
      <c r="Q227" s="627">
        <f t="shared" si="32"/>
        <v>292558.6607987418</v>
      </c>
      <c r="R227" s="627">
        <f t="shared" si="32"/>
        <v>298409.83401471662</v>
      </c>
      <c r="S227" s="627">
        <f t="shared" si="32"/>
        <v>304378.03069501097</v>
      </c>
      <c r="T227" s="627">
        <f t="shared" si="32"/>
        <v>310465.59130891121</v>
      </c>
      <c r="U227" s="627">
        <f t="shared" si="32"/>
        <v>316674.90313508944</v>
      </c>
      <c r="V227" s="627">
        <f t="shared" si="32"/>
        <v>323008.40119779122</v>
      </c>
      <c r="W227" s="627">
        <f t="shared" si="32"/>
        <v>329468.56922174705</v>
      </c>
      <c r="X227" s="627">
        <f t="shared" si="32"/>
        <v>336057.94060618198</v>
      </c>
      <c r="Y227" s="627">
        <f t="shared" si="32"/>
        <v>342779.09941830562</v>
      </c>
      <c r="Z227" s="627">
        <f t="shared" si="32"/>
        <v>349634.68140667176</v>
      </c>
      <c r="AA227" s="627">
        <f t="shared" si="32"/>
        <v>356627.37503480521</v>
      </c>
    </row>
    <row r="228" spans="1:27" x14ac:dyDescent="0.45">
      <c r="A228" s="792"/>
      <c r="B228" s="705"/>
      <c r="C228" s="707"/>
      <c r="D228" s="707" t="s">
        <v>765</v>
      </c>
      <c r="E228" s="783" t="s">
        <v>806</v>
      </c>
      <c r="F228" s="707"/>
      <c r="G228" s="817">
        <f t="shared" ref="G228:AA228" si="33">G174*G212</f>
        <v>0</v>
      </c>
      <c r="H228" s="817">
        <f t="shared" si="33"/>
        <v>122400</v>
      </c>
      <c r="I228" s="817">
        <f t="shared" si="33"/>
        <v>124848</v>
      </c>
      <c r="J228" s="817">
        <f t="shared" si="33"/>
        <v>127344.96000000001</v>
      </c>
      <c r="K228" s="818">
        <f t="shared" si="33"/>
        <v>129891.85920000001</v>
      </c>
      <c r="L228" s="627">
        <f t="shared" si="33"/>
        <v>132489.69638400001</v>
      </c>
      <c r="M228" s="627">
        <f t="shared" si="33"/>
        <v>135139.49031168001</v>
      </c>
      <c r="N228" s="627">
        <f t="shared" si="33"/>
        <v>137842.28011791361</v>
      </c>
      <c r="O228" s="627">
        <f t="shared" si="33"/>
        <v>140599.1257202719</v>
      </c>
      <c r="P228" s="627">
        <f t="shared" si="33"/>
        <v>143411.10823467735</v>
      </c>
      <c r="Q228" s="627">
        <f t="shared" si="33"/>
        <v>146279.3303993709</v>
      </c>
      <c r="R228" s="627">
        <f t="shared" si="33"/>
        <v>149204.91700735831</v>
      </c>
      <c r="S228" s="627">
        <f t="shared" si="33"/>
        <v>152189.01534750548</v>
      </c>
      <c r="T228" s="627">
        <f t="shared" si="33"/>
        <v>155232.79565445561</v>
      </c>
      <c r="U228" s="627">
        <f t="shared" si="33"/>
        <v>158337.45156754472</v>
      </c>
      <c r="V228" s="627">
        <f t="shared" si="33"/>
        <v>161504.20059889561</v>
      </c>
      <c r="W228" s="627">
        <f t="shared" si="33"/>
        <v>164734.28461087352</v>
      </c>
      <c r="X228" s="627">
        <f t="shared" si="33"/>
        <v>168028.97030309099</v>
      </c>
      <c r="Y228" s="627">
        <f t="shared" si="33"/>
        <v>171389.54970915281</v>
      </c>
      <c r="Z228" s="627">
        <f t="shared" si="33"/>
        <v>174817.34070333588</v>
      </c>
      <c r="AA228" s="627">
        <f t="shared" si="33"/>
        <v>178313.68751740261</v>
      </c>
    </row>
    <row r="229" spans="1:27" hidden="1" x14ac:dyDescent="0.45">
      <c r="A229" s="792"/>
      <c r="B229" s="705"/>
      <c r="C229" s="707"/>
      <c r="D229" s="707" t="s">
        <v>291</v>
      </c>
      <c r="E229" s="783" t="s">
        <v>806</v>
      </c>
      <c r="F229" s="707"/>
      <c r="G229" s="817">
        <f t="shared" ref="G229:AA229" si="34">G195*G213</f>
        <v>0</v>
      </c>
      <c r="H229" s="817">
        <f t="shared" si="34"/>
        <v>0</v>
      </c>
      <c r="I229" s="817">
        <f t="shared" si="34"/>
        <v>0</v>
      </c>
      <c r="J229" s="817">
        <f t="shared" si="34"/>
        <v>0</v>
      </c>
      <c r="K229" s="818">
        <f t="shared" si="34"/>
        <v>0</v>
      </c>
      <c r="L229" s="627">
        <f t="shared" si="34"/>
        <v>0</v>
      </c>
      <c r="M229" s="627">
        <f t="shared" si="34"/>
        <v>0</v>
      </c>
      <c r="N229" s="627">
        <f t="shared" si="34"/>
        <v>0</v>
      </c>
      <c r="O229" s="627">
        <f t="shared" si="34"/>
        <v>0</v>
      </c>
      <c r="P229" s="627">
        <f t="shared" si="34"/>
        <v>0</v>
      </c>
      <c r="Q229" s="627">
        <f t="shared" si="34"/>
        <v>0</v>
      </c>
      <c r="R229" s="627">
        <f t="shared" si="34"/>
        <v>0</v>
      </c>
      <c r="S229" s="627">
        <f t="shared" si="34"/>
        <v>0</v>
      </c>
      <c r="T229" s="627">
        <f t="shared" si="34"/>
        <v>0</v>
      </c>
      <c r="U229" s="627">
        <f t="shared" si="34"/>
        <v>0</v>
      </c>
      <c r="V229" s="627">
        <f t="shared" si="34"/>
        <v>0</v>
      </c>
      <c r="W229" s="627">
        <f t="shared" si="34"/>
        <v>0</v>
      </c>
      <c r="X229" s="627">
        <f t="shared" si="34"/>
        <v>0</v>
      </c>
      <c r="Y229" s="627">
        <f t="shared" si="34"/>
        <v>0</v>
      </c>
      <c r="Z229" s="627">
        <f t="shared" si="34"/>
        <v>0</v>
      </c>
      <c r="AA229" s="627">
        <f t="shared" si="34"/>
        <v>0</v>
      </c>
    </row>
    <row r="230" spans="1:27" x14ac:dyDescent="0.45">
      <c r="A230" s="792"/>
      <c r="B230" s="705"/>
      <c r="C230" s="705"/>
      <c r="D230" s="707"/>
      <c r="E230" s="783"/>
      <c r="F230" s="707"/>
      <c r="G230" s="815"/>
      <c r="H230" s="815"/>
      <c r="I230" s="815"/>
      <c r="J230" s="815"/>
      <c r="K230" s="816"/>
      <c r="L230" s="568"/>
      <c r="M230" s="568"/>
      <c r="N230" s="568"/>
      <c r="O230" s="568"/>
      <c r="P230" s="568"/>
      <c r="Q230" s="568"/>
      <c r="R230" s="568"/>
      <c r="S230" s="568"/>
      <c r="T230" s="568"/>
      <c r="U230" s="568"/>
      <c r="V230" s="568"/>
      <c r="W230" s="568"/>
      <c r="X230" s="568"/>
      <c r="Y230" s="568"/>
      <c r="Z230" s="568"/>
      <c r="AA230" s="568"/>
    </row>
    <row r="231" spans="1:27" s="552" customFormat="1" x14ac:dyDescent="0.45">
      <c r="A231" s="810"/>
      <c r="B231" s="705"/>
      <c r="C231" s="705"/>
      <c r="D231" s="705" t="s">
        <v>155</v>
      </c>
      <c r="E231" s="706" t="s">
        <v>806</v>
      </c>
      <c r="F231" s="811"/>
      <c r="G231" s="833">
        <f>SUM(G216:G230)</f>
        <v>0</v>
      </c>
      <c r="H231" s="833">
        <f t="shared" ref="H231:AA231" si="35">SUM(H216:H230)</f>
        <v>9057600</v>
      </c>
      <c r="I231" s="833">
        <f t="shared" si="35"/>
        <v>9238752</v>
      </c>
      <c r="J231" s="833">
        <f t="shared" si="35"/>
        <v>9423527.040000001</v>
      </c>
      <c r="K231" s="834">
        <f t="shared" si="35"/>
        <v>9611997.5808000006</v>
      </c>
      <c r="L231" s="571">
        <f t="shared" si="35"/>
        <v>9804237.5324159991</v>
      </c>
      <c r="M231" s="571">
        <f t="shared" si="35"/>
        <v>10000322.283064321</v>
      </c>
      <c r="N231" s="571">
        <f t="shared" si="35"/>
        <v>10200328.728725608</v>
      </c>
      <c r="O231" s="571">
        <f t="shared" si="35"/>
        <v>10404335.303300118</v>
      </c>
      <c r="P231" s="571">
        <f t="shared" si="35"/>
        <v>10612422.009366123</v>
      </c>
      <c r="Q231" s="571">
        <f t="shared" si="35"/>
        <v>10824670.449553445</v>
      </c>
      <c r="R231" s="571">
        <f t="shared" si="35"/>
        <v>11041163.858544515</v>
      </c>
      <c r="S231" s="571">
        <f t="shared" si="35"/>
        <v>11261987.135715406</v>
      </c>
      <c r="T231" s="571">
        <f t="shared" si="35"/>
        <v>11487226.878429713</v>
      </c>
      <c r="U231" s="571">
        <f t="shared" si="35"/>
        <v>11716971.415998308</v>
      </c>
      <c r="V231" s="571">
        <f t="shared" si="35"/>
        <v>11951310.844318274</v>
      </c>
      <c r="W231" s="571">
        <f t="shared" si="35"/>
        <v>12190337.061204638</v>
      </c>
      <c r="X231" s="571">
        <f t="shared" si="35"/>
        <v>12434143.802428734</v>
      </c>
      <c r="Y231" s="571">
        <f t="shared" si="35"/>
        <v>12682826.67847731</v>
      </c>
      <c r="Z231" s="571">
        <f t="shared" si="35"/>
        <v>12936483.212046854</v>
      </c>
      <c r="AA231" s="571">
        <f t="shared" si="35"/>
        <v>13195212.876287794</v>
      </c>
    </row>
    <row r="232" spans="1:27" x14ac:dyDescent="0.45">
      <c r="A232" s="792"/>
      <c r="B232" s="705"/>
      <c r="C232" s="705"/>
      <c r="D232" s="707"/>
      <c r="E232" s="793"/>
      <c r="F232" s="704"/>
      <c r="G232" s="819" t="s">
        <v>22</v>
      </c>
      <c r="H232" s="819" t="s">
        <v>22</v>
      </c>
      <c r="I232" s="819" t="s">
        <v>22</v>
      </c>
      <c r="J232" s="819" t="s">
        <v>22</v>
      </c>
      <c r="K232" s="820" t="s">
        <v>22</v>
      </c>
      <c r="L232" s="569" t="s">
        <v>22</v>
      </c>
      <c r="M232" s="569" t="s">
        <v>22</v>
      </c>
      <c r="N232" s="569" t="s">
        <v>22</v>
      </c>
      <c r="O232" s="569" t="s">
        <v>22</v>
      </c>
      <c r="P232" s="569" t="s">
        <v>22</v>
      </c>
      <c r="Q232" s="569" t="s">
        <v>22</v>
      </c>
      <c r="R232" s="569" t="s">
        <v>22</v>
      </c>
      <c r="S232" s="569" t="s">
        <v>22</v>
      </c>
      <c r="T232" s="569" t="s">
        <v>22</v>
      </c>
      <c r="U232" s="569" t="s">
        <v>22</v>
      </c>
      <c r="V232" s="569" t="s">
        <v>22</v>
      </c>
      <c r="W232" s="569" t="s">
        <v>22</v>
      </c>
      <c r="X232" s="569" t="s">
        <v>22</v>
      </c>
      <c r="Y232" s="569" t="s">
        <v>22</v>
      </c>
      <c r="Z232" s="569" t="s">
        <v>22</v>
      </c>
      <c r="AA232" s="569" t="s">
        <v>22</v>
      </c>
    </row>
    <row r="233" spans="1:27" s="552" customFormat="1" x14ac:dyDescent="0.45">
      <c r="A233" s="810"/>
      <c r="B233" s="705"/>
      <c r="C233" s="705"/>
      <c r="D233" s="705" t="s">
        <v>25</v>
      </c>
      <c r="E233" s="706" t="s">
        <v>806</v>
      </c>
      <c r="F233" s="811"/>
      <c r="G233" s="821">
        <f>SUM(G231:G231)</f>
        <v>0</v>
      </c>
      <c r="H233" s="821">
        <f t="shared" ref="H233:AA233" si="36">SUM(H231:H232)</f>
        <v>9057600</v>
      </c>
      <c r="I233" s="821">
        <f t="shared" si="36"/>
        <v>9238752</v>
      </c>
      <c r="J233" s="821">
        <f t="shared" si="36"/>
        <v>9423527.040000001</v>
      </c>
      <c r="K233" s="822">
        <f>SUM(K231:K232)</f>
        <v>9611997.5808000006</v>
      </c>
      <c r="L233" s="570">
        <f t="shared" si="36"/>
        <v>9804237.5324159991</v>
      </c>
      <c r="M233" s="570">
        <f t="shared" si="36"/>
        <v>10000322.283064321</v>
      </c>
      <c r="N233" s="570">
        <f t="shared" si="36"/>
        <v>10200328.728725608</v>
      </c>
      <c r="O233" s="570">
        <f t="shared" si="36"/>
        <v>10404335.303300118</v>
      </c>
      <c r="P233" s="570">
        <f t="shared" si="36"/>
        <v>10612422.009366123</v>
      </c>
      <c r="Q233" s="570">
        <f t="shared" si="36"/>
        <v>10824670.449553445</v>
      </c>
      <c r="R233" s="570">
        <f t="shared" si="36"/>
        <v>11041163.858544515</v>
      </c>
      <c r="S233" s="570">
        <f t="shared" si="36"/>
        <v>11261987.135715406</v>
      </c>
      <c r="T233" s="570">
        <f t="shared" si="36"/>
        <v>11487226.878429713</v>
      </c>
      <c r="U233" s="570">
        <f t="shared" si="36"/>
        <v>11716971.415998308</v>
      </c>
      <c r="V233" s="570">
        <f t="shared" si="36"/>
        <v>11951310.844318274</v>
      </c>
      <c r="W233" s="570">
        <f t="shared" si="36"/>
        <v>12190337.061204638</v>
      </c>
      <c r="X233" s="570">
        <f t="shared" si="36"/>
        <v>12434143.802428734</v>
      </c>
      <c r="Y233" s="570">
        <f t="shared" si="36"/>
        <v>12682826.67847731</v>
      </c>
      <c r="Z233" s="570">
        <f t="shared" si="36"/>
        <v>12936483.212046854</v>
      </c>
      <c r="AA233" s="570">
        <f t="shared" si="36"/>
        <v>13195212.876287794</v>
      </c>
    </row>
    <row r="234" spans="1:27" ht="15" customHeight="1" x14ac:dyDescent="0.45">
      <c r="A234" s="792"/>
      <c r="B234" s="705"/>
      <c r="C234" s="705"/>
      <c r="D234" s="707"/>
      <c r="E234" s="793"/>
      <c r="F234" s="704"/>
      <c r="G234" s="835"/>
      <c r="H234" s="835"/>
      <c r="I234" s="835"/>
      <c r="J234" s="835"/>
      <c r="K234" s="836"/>
      <c r="L234" s="631"/>
      <c r="M234" s="631"/>
      <c r="N234" s="631"/>
      <c r="O234" s="631"/>
      <c r="P234" s="631"/>
      <c r="Q234" s="631"/>
      <c r="R234" s="631"/>
      <c r="S234" s="631"/>
      <c r="T234" s="631"/>
      <c r="U234" s="631"/>
      <c r="V234" s="631"/>
      <c r="W234" s="631"/>
      <c r="X234" s="631"/>
      <c r="Y234" s="631"/>
      <c r="Z234" s="631"/>
      <c r="AA234" s="631"/>
    </row>
    <row r="235" spans="1:27" s="620" customFormat="1" x14ac:dyDescent="0.45">
      <c r="A235" s="803"/>
      <c r="B235" s="797"/>
      <c r="C235" s="797"/>
      <c r="D235" s="797" t="s">
        <v>203</v>
      </c>
      <c r="E235" s="804" t="s">
        <v>806</v>
      </c>
      <c r="F235" s="805"/>
      <c r="G235" s="801">
        <f t="shared" ref="G235:AA235" si="37">SUM(G167:G168)</f>
        <v>76000</v>
      </c>
      <c r="H235" s="801">
        <f t="shared" si="37"/>
        <v>77520</v>
      </c>
      <c r="I235" s="801">
        <f t="shared" si="37"/>
        <v>79070.399999999994</v>
      </c>
      <c r="J235" s="801">
        <f t="shared" si="37"/>
        <v>80651.80799999999</v>
      </c>
      <c r="K235" s="802">
        <f t="shared" si="37"/>
        <v>82264.844160000008</v>
      </c>
      <c r="L235" s="622">
        <f t="shared" si="37"/>
        <v>83910.141043200012</v>
      </c>
      <c r="M235" s="622">
        <f t="shared" si="37"/>
        <v>85588.343864064009</v>
      </c>
      <c r="N235" s="622">
        <f t="shared" si="37"/>
        <v>87300.110741345299</v>
      </c>
      <c r="O235" s="622">
        <f t="shared" si="37"/>
        <v>89046.112956172205</v>
      </c>
      <c r="P235" s="622">
        <f t="shared" si="37"/>
        <v>90827.035215295648</v>
      </c>
      <c r="Q235" s="622">
        <f t="shared" si="37"/>
        <v>92643.575919601572</v>
      </c>
      <c r="R235" s="622">
        <f t="shared" si="37"/>
        <v>94496.4474379936</v>
      </c>
      <c r="S235" s="622">
        <f t="shared" si="37"/>
        <v>96386.376386753473</v>
      </c>
      <c r="T235" s="622">
        <f t="shared" si="37"/>
        <v>98314.103914488544</v>
      </c>
      <c r="U235" s="622">
        <f t="shared" si="37"/>
        <v>100280.38599277832</v>
      </c>
      <c r="V235" s="622">
        <f t="shared" si="37"/>
        <v>102285.99371263388</v>
      </c>
      <c r="W235" s="622">
        <f t="shared" si="37"/>
        <v>104331.71358688656</v>
      </c>
      <c r="X235" s="622">
        <f t="shared" si="37"/>
        <v>106418.3478586243</v>
      </c>
      <c r="Y235" s="622">
        <f t="shared" si="37"/>
        <v>108546.71481579679</v>
      </c>
      <c r="Z235" s="622">
        <f t="shared" si="37"/>
        <v>110717.64911211273</v>
      </c>
      <c r="AA235" s="622">
        <f t="shared" si="37"/>
        <v>112932.00209435499</v>
      </c>
    </row>
    <row r="236" spans="1:27" s="620" customFormat="1" hidden="1" x14ac:dyDescent="0.45">
      <c r="A236" s="803"/>
      <c r="B236" s="797"/>
      <c r="C236" s="797"/>
      <c r="D236" s="797"/>
      <c r="E236" s="804"/>
      <c r="F236" s="805"/>
      <c r="G236" s="801"/>
      <c r="H236" s="801"/>
      <c r="I236" s="801"/>
      <c r="J236" s="801"/>
      <c r="K236" s="802"/>
      <c r="L236" s="622"/>
      <c r="M236" s="622"/>
      <c r="N236" s="622"/>
      <c r="O236" s="622"/>
      <c r="P236" s="622"/>
      <c r="Q236" s="622"/>
      <c r="R236" s="622"/>
      <c r="S236" s="622"/>
      <c r="T236" s="622"/>
      <c r="U236" s="622"/>
      <c r="V236" s="622"/>
      <c r="W236" s="622"/>
      <c r="X236" s="622"/>
      <c r="Y236" s="622"/>
      <c r="Z236" s="622"/>
      <c r="AA236" s="622"/>
    </row>
    <row r="237" spans="1:27" s="620" customFormat="1" hidden="1" x14ac:dyDescent="0.45">
      <c r="A237" s="803"/>
      <c r="B237" s="705"/>
      <c r="C237" s="797"/>
      <c r="D237" s="797"/>
      <c r="E237" s="798"/>
      <c r="F237" s="797"/>
      <c r="G237" s="801"/>
      <c r="H237" s="801"/>
      <c r="I237" s="801"/>
      <c r="J237" s="801"/>
      <c r="K237" s="802"/>
      <c r="L237" s="622"/>
      <c r="M237" s="622"/>
      <c r="N237" s="622"/>
      <c r="O237" s="622"/>
      <c r="P237" s="622"/>
      <c r="Q237" s="622"/>
      <c r="R237" s="622"/>
      <c r="S237" s="622"/>
      <c r="T237" s="622"/>
      <c r="U237" s="622"/>
      <c r="V237" s="622"/>
      <c r="W237" s="622"/>
      <c r="X237" s="622"/>
      <c r="Y237" s="622"/>
      <c r="Z237" s="622"/>
      <c r="AA237" s="622"/>
    </row>
    <row r="238" spans="1:27" s="620" customFormat="1" hidden="1" x14ac:dyDescent="0.45">
      <c r="A238" s="803"/>
      <c r="B238" s="797"/>
      <c r="C238" s="797" t="s">
        <v>114</v>
      </c>
      <c r="D238" s="797" t="str">
        <f>Assumptions!D219</f>
        <v>Collection site management costs</v>
      </c>
      <c r="E238" s="798" t="s">
        <v>812</v>
      </c>
      <c r="F238" s="797"/>
      <c r="G238" s="799">
        <f>Assumptions!I219</f>
        <v>20000</v>
      </c>
      <c r="H238" s="799">
        <f>G238*(1+Assumptions!$H$234)</f>
        <v>20400</v>
      </c>
      <c r="I238" s="799">
        <f>H238*(1+Assumptions!$H$234)</f>
        <v>20808</v>
      </c>
      <c r="J238" s="799">
        <f>I238*(1+Assumptions!$H$234)</f>
        <v>21224.16</v>
      </c>
      <c r="K238" s="800">
        <f>J238*(1+Assumptions!$H$234)</f>
        <v>21648.643199999999</v>
      </c>
      <c r="L238" s="624">
        <f>K238*(1+Assumptions!$H$234)</f>
        <v>22081.616063999998</v>
      </c>
      <c r="M238" s="624">
        <f>L238*(1+Assumptions!$H$234)</f>
        <v>22523.24838528</v>
      </c>
      <c r="N238" s="624">
        <f>M238*(1+Assumptions!$H$234)</f>
        <v>22973.7133529856</v>
      </c>
      <c r="O238" s="624">
        <f>N238*(1+Assumptions!$H$234)</f>
        <v>23433.187620045312</v>
      </c>
      <c r="P238" s="624">
        <f>O238*(1+Assumptions!$H$234)</f>
        <v>23901.851372446217</v>
      </c>
      <c r="Q238" s="624">
        <f>P238*(1+Assumptions!$H$234)</f>
        <v>24379.888399895142</v>
      </c>
      <c r="R238" s="624">
        <f>Q238*(1+Assumptions!$H$234)</f>
        <v>24867.486167893047</v>
      </c>
      <c r="S238" s="624">
        <f>R238*(1+Assumptions!$H$234)</f>
        <v>25364.835891250907</v>
      </c>
      <c r="T238" s="624">
        <f>S238*(1+Assumptions!$H$234)</f>
        <v>25872.132609075925</v>
      </c>
      <c r="U238" s="624">
        <f>T238*(1+Assumptions!$H$234)</f>
        <v>26389.575261257443</v>
      </c>
      <c r="V238" s="624">
        <f>U238*(1+Assumptions!$H$234)</f>
        <v>26917.366766482592</v>
      </c>
      <c r="W238" s="624">
        <f>V238*(1+Assumptions!$H$234)</f>
        <v>27455.714101812246</v>
      </c>
      <c r="X238" s="624">
        <f>W238*(1+Assumptions!$H$234)</f>
        <v>28004.828383848489</v>
      </c>
      <c r="Y238" s="624">
        <f>X238*(1+Assumptions!$H$234)</f>
        <v>28564.92495152546</v>
      </c>
      <c r="Z238" s="624">
        <f>Y238*(1+Assumptions!$H$234)</f>
        <v>29136.223450555968</v>
      </c>
      <c r="AA238" s="624">
        <f>Z238*(1+Assumptions!$H$234)</f>
        <v>29718.947919567087</v>
      </c>
    </row>
    <row r="239" spans="1:27" s="620" customFormat="1" hidden="1" x14ac:dyDescent="0.45">
      <c r="A239" s="803"/>
      <c r="B239" s="797"/>
      <c r="C239" s="797" t="s">
        <v>114</v>
      </c>
      <c r="D239" s="797" t="str">
        <f>Assumptions!D221</f>
        <v>Collection site security and technical staff</v>
      </c>
      <c r="E239" s="798" t="s">
        <v>812</v>
      </c>
      <c r="F239" s="797"/>
      <c r="G239" s="799">
        <f>Assumptions!I221</f>
        <v>24000</v>
      </c>
      <c r="H239" s="799">
        <f>G239*(1+Assumptions!$H$234)</f>
        <v>24480</v>
      </c>
      <c r="I239" s="799">
        <f>H239*(1+Assumptions!$H$234)</f>
        <v>24969.600000000002</v>
      </c>
      <c r="J239" s="799">
        <f>I239*(1+Assumptions!$H$234)</f>
        <v>25468.992000000002</v>
      </c>
      <c r="K239" s="800">
        <f>J239*(1+Assumptions!$H$234)</f>
        <v>25978.371840000003</v>
      </c>
      <c r="L239" s="624">
        <f>K239*(1+Assumptions!$H$234)</f>
        <v>26497.939276800003</v>
      </c>
      <c r="M239" s="624">
        <f>L239*(1+Assumptions!$H$234)</f>
        <v>27027.898062336004</v>
      </c>
      <c r="N239" s="624">
        <f>M239*(1+Assumptions!$H$234)</f>
        <v>27568.456023582723</v>
      </c>
      <c r="O239" s="624">
        <f>N239*(1+Assumptions!$H$234)</f>
        <v>28119.825144054379</v>
      </c>
      <c r="P239" s="624">
        <f>O239*(1+Assumptions!$H$234)</f>
        <v>28682.221646935468</v>
      </c>
      <c r="Q239" s="624">
        <f>P239*(1+Assumptions!$H$234)</f>
        <v>29255.866079874177</v>
      </c>
      <c r="R239" s="624">
        <f>Q239*(1+Assumptions!$H$234)</f>
        <v>29840.983401471662</v>
      </c>
      <c r="S239" s="624">
        <f>R239*(1+Assumptions!$H$234)</f>
        <v>30437.803069501097</v>
      </c>
      <c r="T239" s="624">
        <f>S239*(1+Assumptions!$H$234)</f>
        <v>31046.559130891121</v>
      </c>
      <c r="U239" s="624">
        <f>T239*(1+Assumptions!$H$234)</f>
        <v>31667.490313508944</v>
      </c>
      <c r="V239" s="624">
        <f>U239*(1+Assumptions!$H$234)</f>
        <v>32300.840119779125</v>
      </c>
      <c r="W239" s="624">
        <f>V239*(1+Assumptions!$H$234)</f>
        <v>32946.856922174709</v>
      </c>
      <c r="X239" s="624">
        <f>W239*(1+Assumptions!$H$234)</f>
        <v>33605.794060618202</v>
      </c>
      <c r="Y239" s="624">
        <f>X239*(1+Assumptions!$H$234)</f>
        <v>34277.909941830563</v>
      </c>
      <c r="Z239" s="624">
        <f>Y239*(1+Assumptions!$H$234)</f>
        <v>34963.468140667173</v>
      </c>
      <c r="AA239" s="624">
        <f>Z239*(1+Assumptions!$H$234)</f>
        <v>35662.737503480515</v>
      </c>
    </row>
    <row r="240" spans="1:27" s="620" customFormat="1" hidden="1" x14ac:dyDescent="0.45">
      <c r="A240" s="803"/>
      <c r="B240" s="797"/>
      <c r="C240" s="797" t="s">
        <v>114</v>
      </c>
      <c r="D240" s="797" t="str">
        <f>Assumptions!D222</f>
        <v>Collection site supervision &amp; monitoring staff</v>
      </c>
      <c r="E240" s="798" t="s">
        <v>812</v>
      </c>
      <c r="F240" s="797"/>
      <c r="G240" s="799">
        <f>Assumptions!I222</f>
        <v>159600</v>
      </c>
      <c r="H240" s="799">
        <f>G240*(1+Assumptions!$H$234)</f>
        <v>162792</v>
      </c>
      <c r="I240" s="799">
        <f>H240*(1+Assumptions!$H$234)</f>
        <v>166047.84</v>
      </c>
      <c r="J240" s="799">
        <f>I240*(1+Assumptions!$H$234)</f>
        <v>169368.79680000001</v>
      </c>
      <c r="K240" s="800">
        <f>J240*(1+Assumptions!$H$234)</f>
        <v>172756.17273600001</v>
      </c>
      <c r="L240" s="624">
        <f>K240*(1+Assumptions!$H$234)</f>
        <v>176211.29619072002</v>
      </c>
      <c r="M240" s="624">
        <f>L240*(1+Assumptions!$H$234)</f>
        <v>179735.52211453443</v>
      </c>
      <c r="N240" s="624">
        <f>M240*(1+Assumptions!$H$234)</f>
        <v>183330.23255682513</v>
      </c>
      <c r="O240" s="624">
        <f>N240*(1+Assumptions!$H$234)</f>
        <v>186996.83720796162</v>
      </c>
      <c r="P240" s="624">
        <f>O240*(1+Assumptions!$H$234)</f>
        <v>190736.77395212086</v>
      </c>
      <c r="Q240" s="624">
        <f>P240*(1+Assumptions!$H$234)</f>
        <v>194551.50943116329</v>
      </c>
      <c r="R240" s="624">
        <f>Q240*(1+Assumptions!$H$234)</f>
        <v>198442.53961978655</v>
      </c>
      <c r="S240" s="624">
        <f>R240*(1+Assumptions!$H$234)</f>
        <v>202411.39041218229</v>
      </c>
      <c r="T240" s="624">
        <f>S240*(1+Assumptions!$H$234)</f>
        <v>206459.61822042594</v>
      </c>
      <c r="U240" s="624">
        <f>T240*(1+Assumptions!$H$234)</f>
        <v>210588.81058483446</v>
      </c>
      <c r="V240" s="624">
        <f>U240*(1+Assumptions!$H$234)</f>
        <v>214800.58679653116</v>
      </c>
      <c r="W240" s="624">
        <f>V240*(1+Assumptions!$H$234)</f>
        <v>219096.59853246179</v>
      </c>
      <c r="X240" s="624">
        <f>W240*(1+Assumptions!$H$234)</f>
        <v>223478.53050311105</v>
      </c>
      <c r="Y240" s="624">
        <f>X240*(1+Assumptions!$H$234)</f>
        <v>227948.10111317327</v>
      </c>
      <c r="Z240" s="624">
        <f>Y240*(1+Assumptions!$H$234)</f>
        <v>232507.06313543674</v>
      </c>
      <c r="AA240" s="624">
        <f>Z240*(1+Assumptions!$H$234)</f>
        <v>237157.20439814546</v>
      </c>
    </row>
    <row r="241" spans="1:27" s="620" customFormat="1" hidden="1" x14ac:dyDescent="0.45">
      <c r="A241" s="803"/>
      <c r="B241" s="797"/>
      <c r="C241" s="797" t="s">
        <v>114</v>
      </c>
      <c r="D241" s="797" t="str">
        <f>Assumptions!D223</f>
        <v>Collection site transport costs</v>
      </c>
      <c r="E241" s="798" t="s">
        <v>812</v>
      </c>
      <c r="F241" s="797"/>
      <c r="G241" s="799">
        <f>Assumptions!I223</f>
        <v>24000</v>
      </c>
      <c r="H241" s="799">
        <f>G241*(1+Assumptions!$H$234)</f>
        <v>24480</v>
      </c>
      <c r="I241" s="799">
        <f>H241*(1+Assumptions!$H$234)</f>
        <v>24969.600000000002</v>
      </c>
      <c r="J241" s="799">
        <f>I241*(1+Assumptions!$H$234)</f>
        <v>25468.992000000002</v>
      </c>
      <c r="K241" s="800">
        <f>J241*(1+Assumptions!$H$234)</f>
        <v>25978.371840000003</v>
      </c>
      <c r="L241" s="624">
        <f>K241*(1+Assumptions!$H$234)</f>
        <v>26497.939276800003</v>
      </c>
      <c r="M241" s="624">
        <f>L241*(1+Assumptions!$H$234)</f>
        <v>27027.898062336004</v>
      </c>
      <c r="N241" s="624">
        <f>M241*(1+Assumptions!$H$234)</f>
        <v>27568.456023582723</v>
      </c>
      <c r="O241" s="624">
        <f>N241*(1+Assumptions!$H$234)</f>
        <v>28119.825144054379</v>
      </c>
      <c r="P241" s="624">
        <f>O241*(1+Assumptions!$H$234)</f>
        <v>28682.221646935468</v>
      </c>
      <c r="Q241" s="624">
        <f>P241*(1+Assumptions!$H$234)</f>
        <v>29255.866079874177</v>
      </c>
      <c r="R241" s="624">
        <f>Q241*(1+Assumptions!$H$234)</f>
        <v>29840.983401471662</v>
      </c>
      <c r="S241" s="624">
        <f>R241*(1+Assumptions!$H$234)</f>
        <v>30437.803069501097</v>
      </c>
      <c r="T241" s="624">
        <f>S241*(1+Assumptions!$H$234)</f>
        <v>31046.559130891121</v>
      </c>
      <c r="U241" s="624">
        <f>T241*(1+Assumptions!$H$234)</f>
        <v>31667.490313508944</v>
      </c>
      <c r="V241" s="624">
        <f>U241*(1+Assumptions!$H$234)</f>
        <v>32300.840119779125</v>
      </c>
      <c r="W241" s="624">
        <f>V241*(1+Assumptions!$H$234)</f>
        <v>32946.856922174709</v>
      </c>
      <c r="X241" s="624">
        <f>W241*(1+Assumptions!$H$234)</f>
        <v>33605.794060618202</v>
      </c>
      <c r="Y241" s="624">
        <f>X241*(1+Assumptions!$H$234)</f>
        <v>34277.909941830563</v>
      </c>
      <c r="Z241" s="624">
        <f>Y241*(1+Assumptions!$H$234)</f>
        <v>34963.468140667173</v>
      </c>
      <c r="AA241" s="624">
        <f>Z241*(1+Assumptions!$H$234)</f>
        <v>35662.737503480515</v>
      </c>
    </row>
    <row r="242" spans="1:27" s="620" customFormat="1" hidden="1" x14ac:dyDescent="0.45">
      <c r="A242" s="803"/>
      <c r="B242" s="797"/>
      <c r="C242" s="797" t="s">
        <v>114</v>
      </c>
      <c r="D242" s="797" t="str">
        <f>Assumptions!D220</f>
        <v>Collection site annual training</v>
      </c>
      <c r="E242" s="798" t="s">
        <v>812</v>
      </c>
      <c r="F242" s="797"/>
      <c r="G242" s="799">
        <f>Assumptions!I220</f>
        <v>3502.938230383973</v>
      </c>
      <c r="H242" s="799">
        <f>G242*(1+Assumptions!$H$234)</f>
        <v>3572.9969949916526</v>
      </c>
      <c r="I242" s="799">
        <f>H242*(1+Assumptions!$H$234)</f>
        <v>3644.4569348914856</v>
      </c>
      <c r="J242" s="799">
        <f>I242*(1+Assumptions!$H$234)</f>
        <v>3717.3460735893154</v>
      </c>
      <c r="K242" s="800">
        <f>J242*(1+Assumptions!$H$234)</f>
        <v>3791.692995061102</v>
      </c>
      <c r="L242" s="624">
        <f>K242*(1+Assumptions!$H$234)</f>
        <v>3867.5268549623243</v>
      </c>
      <c r="M242" s="624">
        <f>L242*(1+Assumptions!$H$234)</f>
        <v>3944.8773920615708</v>
      </c>
      <c r="N242" s="624">
        <f>M242*(1+Assumptions!$H$234)</f>
        <v>4023.7749399028025</v>
      </c>
      <c r="O242" s="624">
        <f>N242*(1+Assumptions!$H$234)</f>
        <v>4104.2504387008585</v>
      </c>
      <c r="P242" s="624">
        <f>O242*(1+Assumptions!$H$234)</f>
        <v>4186.3354474748758</v>
      </c>
      <c r="Q242" s="624">
        <f>P242*(1+Assumptions!$H$234)</f>
        <v>4270.0621564243729</v>
      </c>
      <c r="R242" s="624">
        <f>Q242*(1+Assumptions!$H$234)</f>
        <v>4355.4633995528602</v>
      </c>
      <c r="S242" s="624">
        <f>R242*(1+Assumptions!$H$234)</f>
        <v>4442.5726675439173</v>
      </c>
      <c r="T242" s="624">
        <f>S242*(1+Assumptions!$H$234)</f>
        <v>4531.424120894796</v>
      </c>
      <c r="U242" s="624">
        <f>T242*(1+Assumptions!$H$234)</f>
        <v>4622.0526033126916</v>
      </c>
      <c r="V242" s="624">
        <f>U242*(1+Assumptions!$H$234)</f>
        <v>4714.4936553789457</v>
      </c>
      <c r="W242" s="624">
        <f>V242*(1+Assumptions!$H$234)</f>
        <v>4808.783528486525</v>
      </c>
      <c r="X242" s="624">
        <f>W242*(1+Assumptions!$H$234)</f>
        <v>4904.9591990562558</v>
      </c>
      <c r="Y242" s="624">
        <f>X242*(1+Assumptions!$H$234)</f>
        <v>5003.0583830373807</v>
      </c>
      <c r="Z242" s="624">
        <f>Y242*(1+Assumptions!$H$234)</f>
        <v>5103.1195506981285</v>
      </c>
      <c r="AA242" s="624">
        <f>Z242*(1+Assumptions!$H$234)</f>
        <v>5205.1819417120914</v>
      </c>
    </row>
    <row r="243" spans="1:27" s="620" customFormat="1" hidden="1" x14ac:dyDescent="0.45">
      <c r="A243" s="803"/>
      <c r="B243" s="797"/>
      <c r="C243" s="797" t="s">
        <v>114</v>
      </c>
      <c r="D243" s="797" t="str">
        <f>Assumptions!D224</f>
        <v>Dried mango purchased from women's groups</v>
      </c>
      <c r="E243" s="798" t="s">
        <v>812</v>
      </c>
      <c r="F243" s="797"/>
      <c r="G243" s="799">
        <f>Assumptions!I224</f>
        <v>0</v>
      </c>
      <c r="H243" s="799">
        <f>G243*(1+Assumptions!$H$234)</f>
        <v>0</v>
      </c>
      <c r="I243" s="799">
        <f>H243*(1+Assumptions!$H$234)</f>
        <v>0</v>
      </c>
      <c r="J243" s="799">
        <f>I243*(1+Assumptions!$H$234)</f>
        <v>0</v>
      </c>
      <c r="K243" s="800">
        <f>J243*(1+Assumptions!$H$234)</f>
        <v>0</v>
      </c>
      <c r="L243" s="624">
        <f>K243*(1+Assumptions!$H$234)</f>
        <v>0</v>
      </c>
      <c r="M243" s="624">
        <f>L243*(1+Assumptions!$H$234)</f>
        <v>0</v>
      </c>
      <c r="N243" s="624">
        <f>M243*(1+Assumptions!$H$234)</f>
        <v>0</v>
      </c>
      <c r="O243" s="624">
        <f>N243*(1+Assumptions!$H$234)</f>
        <v>0</v>
      </c>
      <c r="P243" s="624">
        <f>O243*(1+Assumptions!$H$234)</f>
        <v>0</v>
      </c>
      <c r="Q243" s="624">
        <f>P243*(1+Assumptions!$H$234)</f>
        <v>0</v>
      </c>
      <c r="R243" s="624">
        <f>Q243*(1+Assumptions!$H$234)</f>
        <v>0</v>
      </c>
      <c r="S243" s="624">
        <f>R243*(1+Assumptions!$H$234)</f>
        <v>0</v>
      </c>
      <c r="T243" s="624">
        <f>S243*(1+Assumptions!$H$234)</f>
        <v>0</v>
      </c>
      <c r="U243" s="624">
        <f>T243*(1+Assumptions!$H$234)</f>
        <v>0</v>
      </c>
      <c r="V243" s="624">
        <f>U243*(1+Assumptions!$H$234)</f>
        <v>0</v>
      </c>
      <c r="W243" s="624">
        <f>V243*(1+Assumptions!$H$234)</f>
        <v>0</v>
      </c>
      <c r="X243" s="624">
        <f>W243*(1+Assumptions!$H$234)</f>
        <v>0</v>
      </c>
      <c r="Y243" s="624">
        <f>X243*(1+Assumptions!$H$234)</f>
        <v>0</v>
      </c>
      <c r="Z243" s="624">
        <f>Y243*(1+Assumptions!$H$234)</f>
        <v>0</v>
      </c>
      <c r="AA243" s="624">
        <f>Z243*(1+Assumptions!$H$234)</f>
        <v>0</v>
      </c>
    </row>
    <row r="244" spans="1:27" s="620" customFormat="1" hidden="1" x14ac:dyDescent="0.45">
      <c r="A244" s="803"/>
      <c r="B244" s="797"/>
      <c r="C244" s="797"/>
      <c r="D244" s="797"/>
      <c r="E244" s="798"/>
      <c r="F244" s="797"/>
      <c r="G244" s="801"/>
      <c r="H244" s="801"/>
      <c r="I244" s="801"/>
      <c r="J244" s="801"/>
      <c r="K244" s="802"/>
      <c r="L244" s="622"/>
      <c r="M244" s="622"/>
      <c r="N244" s="622"/>
      <c r="O244" s="622"/>
      <c r="P244" s="622"/>
      <c r="Q244" s="622"/>
      <c r="R244" s="622"/>
      <c r="S244" s="622"/>
      <c r="T244" s="622"/>
      <c r="U244" s="622"/>
      <c r="V244" s="622"/>
      <c r="W244" s="622"/>
      <c r="X244" s="622"/>
      <c r="Y244" s="622"/>
      <c r="Z244" s="622"/>
      <c r="AA244" s="622"/>
    </row>
    <row r="245" spans="1:27" s="620" customFormat="1" hidden="1" x14ac:dyDescent="0.45">
      <c r="A245" s="803"/>
      <c r="B245" s="797"/>
      <c r="C245" s="797" t="s">
        <v>114</v>
      </c>
      <c r="D245" s="797" t="str">
        <f>D238</f>
        <v>Collection site management costs</v>
      </c>
      <c r="E245" s="798" t="s">
        <v>806</v>
      </c>
      <c r="F245" s="797"/>
      <c r="G245" s="799">
        <f>G238*Extracts!H$174</f>
        <v>160000</v>
      </c>
      <c r="H245" s="799">
        <f>H238*Extracts!H$174</f>
        <v>163200</v>
      </c>
      <c r="I245" s="799">
        <f>I238*Extracts!I$174</f>
        <v>166464</v>
      </c>
      <c r="J245" s="799">
        <f>J238*Extracts!J$174</f>
        <v>169793.28</v>
      </c>
      <c r="K245" s="800">
        <f>K238*Extracts!K$174</f>
        <v>173189.14559999999</v>
      </c>
      <c r="L245" s="624">
        <f>L238*Extracts!L$174</f>
        <v>176652.92851199998</v>
      </c>
      <c r="M245" s="624">
        <f>M238*Extracts!M$174</f>
        <v>180185.98708224</v>
      </c>
      <c r="N245" s="624">
        <f>N238*Extracts!N$174</f>
        <v>183789.7068238848</v>
      </c>
      <c r="O245" s="624">
        <f>O238*Extracts!O$174</f>
        <v>187465.50096036249</v>
      </c>
      <c r="P245" s="624">
        <f>P238*Extracts!P$174</f>
        <v>191214.81097956974</v>
      </c>
      <c r="Q245" s="624">
        <f>Q238*Extracts!Q$174</f>
        <v>195039.10719916114</v>
      </c>
      <c r="R245" s="624">
        <f>R238*Extracts!R$174</f>
        <v>198939.88934314437</v>
      </c>
      <c r="S245" s="624">
        <f>S238*Extracts!S$174</f>
        <v>202918.68713000725</v>
      </c>
      <c r="T245" s="624">
        <f>T238*Extracts!T$174</f>
        <v>206977.0608726074</v>
      </c>
      <c r="U245" s="624">
        <f>U238*Extracts!U$174</f>
        <v>211116.60209005955</v>
      </c>
      <c r="V245" s="624">
        <f>V238*Extracts!V$174</f>
        <v>215338.93413186073</v>
      </c>
      <c r="W245" s="624">
        <f>W238*Extracts!W$174</f>
        <v>219645.71281449797</v>
      </c>
      <c r="X245" s="624">
        <f>X238*Extracts!X$174</f>
        <v>224038.62707078792</v>
      </c>
      <c r="Y245" s="624">
        <f>Y238*Extracts!Y$174</f>
        <v>228519.39961220368</v>
      </c>
      <c r="Z245" s="624">
        <f>Z238*Extracts!Z$174</f>
        <v>233089.78760444775</v>
      </c>
      <c r="AA245" s="624">
        <f>AA238*Extracts!AA$174</f>
        <v>237751.58335653669</v>
      </c>
    </row>
    <row r="246" spans="1:27" s="620" customFormat="1" hidden="1" x14ac:dyDescent="0.45">
      <c r="A246" s="803"/>
      <c r="B246" s="797"/>
      <c r="C246" s="797" t="s">
        <v>114</v>
      </c>
      <c r="D246" s="797" t="str">
        <f>D239</f>
        <v>Collection site security and technical staff</v>
      </c>
      <c r="E246" s="798" t="s">
        <v>806</v>
      </c>
      <c r="F246" s="797"/>
      <c r="G246" s="799">
        <f>G239*Extracts!G$174</f>
        <v>0</v>
      </c>
      <c r="H246" s="799">
        <f>H239*Extracts!H$174</f>
        <v>195840</v>
      </c>
      <c r="I246" s="799">
        <f>I239*Extracts!I$174</f>
        <v>199756.80000000002</v>
      </c>
      <c r="J246" s="799">
        <f>J239*Extracts!J$174</f>
        <v>203751.93600000002</v>
      </c>
      <c r="K246" s="800">
        <f>K239*Extracts!K$174</f>
        <v>207826.97472000003</v>
      </c>
      <c r="L246" s="624">
        <f>L239*Extracts!L$174</f>
        <v>211983.51421440003</v>
      </c>
      <c r="M246" s="624">
        <f>M239*Extracts!M$174</f>
        <v>216223.18449868803</v>
      </c>
      <c r="N246" s="624">
        <f>N239*Extracts!N$174</f>
        <v>220547.64818866178</v>
      </c>
      <c r="O246" s="624">
        <f>O239*Extracts!O$174</f>
        <v>224958.60115243503</v>
      </c>
      <c r="P246" s="624">
        <f>P239*Extracts!P$174</f>
        <v>229457.77317548374</v>
      </c>
      <c r="Q246" s="624">
        <f>Q239*Extracts!Q$174</f>
        <v>234046.92863899341</v>
      </c>
      <c r="R246" s="624">
        <f>R239*Extracts!R$174</f>
        <v>238727.86721177329</v>
      </c>
      <c r="S246" s="624">
        <f>S239*Extracts!S$174</f>
        <v>243502.42455600877</v>
      </c>
      <c r="T246" s="624">
        <f>T239*Extracts!T$174</f>
        <v>248372.47304712897</v>
      </c>
      <c r="U246" s="624">
        <f>U239*Extracts!U$174</f>
        <v>253339.92250807156</v>
      </c>
      <c r="V246" s="624">
        <f>V239*Extracts!V$174</f>
        <v>258406.720958233</v>
      </c>
      <c r="W246" s="624">
        <f>W239*Extracts!W$174</f>
        <v>263574.85537739767</v>
      </c>
      <c r="X246" s="624">
        <f>X239*Extracts!X$174</f>
        <v>268846.35248494562</v>
      </c>
      <c r="Y246" s="624">
        <f>Y239*Extracts!Y$174</f>
        <v>274223.27953464451</v>
      </c>
      <c r="Z246" s="624">
        <f>Z239*Extracts!Z$174</f>
        <v>279707.74512533739</v>
      </c>
      <c r="AA246" s="624">
        <f>AA239*Extracts!AA$174</f>
        <v>285301.90002784412</v>
      </c>
    </row>
    <row r="247" spans="1:27" s="620" customFormat="1" hidden="1" x14ac:dyDescent="0.45">
      <c r="A247" s="803"/>
      <c r="B247" s="797"/>
      <c r="C247" s="797" t="s">
        <v>114</v>
      </c>
      <c r="D247" s="797" t="str">
        <f>D240</f>
        <v>Collection site supervision &amp; monitoring staff</v>
      </c>
      <c r="E247" s="798" t="s">
        <v>806</v>
      </c>
      <c r="F247" s="797"/>
      <c r="G247" s="799">
        <f>G240*Extracts!H$174</f>
        <v>1276800</v>
      </c>
      <c r="H247" s="799">
        <f>H240*Extracts!H$174</f>
        <v>1302336</v>
      </c>
      <c r="I247" s="799">
        <f>I240*Extracts!I$174</f>
        <v>1328382.72</v>
      </c>
      <c r="J247" s="799">
        <f>J240*Extracts!J$174</f>
        <v>1354950.3744000001</v>
      </c>
      <c r="K247" s="800">
        <f>K240*Extracts!K$174</f>
        <v>1382049.3818880001</v>
      </c>
      <c r="L247" s="624">
        <f>L240*Extracts!L$174</f>
        <v>1409690.3695257602</v>
      </c>
      <c r="M247" s="624">
        <f>M240*Extracts!M$174</f>
        <v>1437884.1769162754</v>
      </c>
      <c r="N247" s="624">
        <f>N240*Extracts!N$174</f>
        <v>1466641.860454601</v>
      </c>
      <c r="O247" s="624">
        <f>O240*Extracts!O$174</f>
        <v>1495974.697663693</v>
      </c>
      <c r="P247" s="624">
        <f>P240*Extracts!P$174</f>
        <v>1525894.1916169669</v>
      </c>
      <c r="Q247" s="624">
        <f>Q240*Extracts!Q$174</f>
        <v>1556412.0754493063</v>
      </c>
      <c r="R247" s="624">
        <f>R240*Extracts!R$174</f>
        <v>1587540.3169582924</v>
      </c>
      <c r="S247" s="624">
        <f>S240*Extracts!S$174</f>
        <v>1619291.1232974583</v>
      </c>
      <c r="T247" s="624">
        <f>T240*Extracts!T$174</f>
        <v>1651676.9457634075</v>
      </c>
      <c r="U247" s="624">
        <f>U240*Extracts!U$174</f>
        <v>1684710.4846786757</v>
      </c>
      <c r="V247" s="624">
        <f>V240*Extracts!V$174</f>
        <v>1718404.6943722493</v>
      </c>
      <c r="W247" s="624">
        <f>W240*Extracts!W$174</f>
        <v>1752772.7882596944</v>
      </c>
      <c r="X247" s="624">
        <f>X240*Extracts!X$174</f>
        <v>1787828.2440248884</v>
      </c>
      <c r="Y247" s="624">
        <f>Y240*Extracts!Y$174</f>
        <v>1823584.8089053861</v>
      </c>
      <c r="Z247" s="624">
        <f>Z240*Extracts!Z$174</f>
        <v>1860056.5050834939</v>
      </c>
      <c r="AA247" s="624">
        <f>AA240*Extracts!AA$174</f>
        <v>1897257.6351851637</v>
      </c>
    </row>
    <row r="248" spans="1:27" s="620" customFormat="1" hidden="1" x14ac:dyDescent="0.45">
      <c r="A248" s="803"/>
      <c r="B248" s="797"/>
      <c r="C248" s="797" t="s">
        <v>114</v>
      </c>
      <c r="D248" s="797" t="str">
        <f>D241</f>
        <v>Collection site transport costs</v>
      </c>
      <c r="E248" s="798" t="s">
        <v>806</v>
      </c>
      <c r="F248" s="797"/>
      <c r="G248" s="799">
        <f>G241*Extracts!G$174</f>
        <v>0</v>
      </c>
      <c r="H248" s="799">
        <f>H241*Extracts!H$174</f>
        <v>195840</v>
      </c>
      <c r="I248" s="799">
        <f>I241*Extracts!I$174</f>
        <v>199756.80000000002</v>
      </c>
      <c r="J248" s="799">
        <f>J241*Extracts!J$174</f>
        <v>203751.93600000002</v>
      </c>
      <c r="K248" s="800">
        <f>K241*Extracts!K$174</f>
        <v>207826.97472000003</v>
      </c>
      <c r="L248" s="624">
        <f>L241*Extracts!L$174</f>
        <v>211983.51421440003</v>
      </c>
      <c r="M248" s="624">
        <f>M241*Extracts!M$174</f>
        <v>216223.18449868803</v>
      </c>
      <c r="N248" s="624">
        <f>N241*Extracts!N$174</f>
        <v>220547.64818866178</v>
      </c>
      <c r="O248" s="624">
        <f>O241*Extracts!O$174</f>
        <v>224958.60115243503</v>
      </c>
      <c r="P248" s="624">
        <f>P241*Extracts!P$174</f>
        <v>229457.77317548374</v>
      </c>
      <c r="Q248" s="624">
        <f>Q241*Extracts!Q$174</f>
        <v>234046.92863899341</v>
      </c>
      <c r="R248" s="624">
        <f>R241*Extracts!R$174</f>
        <v>238727.86721177329</v>
      </c>
      <c r="S248" s="624">
        <f>S241*Extracts!S$174</f>
        <v>243502.42455600877</v>
      </c>
      <c r="T248" s="624">
        <f>T241*Extracts!T$174</f>
        <v>248372.47304712897</v>
      </c>
      <c r="U248" s="624">
        <f>U241*Extracts!U$174</f>
        <v>253339.92250807156</v>
      </c>
      <c r="V248" s="624">
        <f>V241*Extracts!V$174</f>
        <v>258406.720958233</v>
      </c>
      <c r="W248" s="624">
        <f>W241*Extracts!W$174</f>
        <v>263574.85537739767</v>
      </c>
      <c r="X248" s="624">
        <f>X241*Extracts!X$174</f>
        <v>268846.35248494562</v>
      </c>
      <c r="Y248" s="624">
        <f>Y241*Extracts!Y$174</f>
        <v>274223.27953464451</v>
      </c>
      <c r="Z248" s="624">
        <f>Z241*Extracts!Z$174</f>
        <v>279707.74512533739</v>
      </c>
      <c r="AA248" s="624">
        <f>AA241*Extracts!AA$174</f>
        <v>285301.90002784412</v>
      </c>
    </row>
    <row r="249" spans="1:27" s="620" customFormat="1" hidden="1" x14ac:dyDescent="0.45">
      <c r="A249" s="803"/>
      <c r="B249" s="797"/>
      <c r="C249" s="797" t="s">
        <v>114</v>
      </c>
      <c r="D249" s="797" t="str">
        <f>Assumptions!D227</f>
        <v>Processing centre General Manager costs</v>
      </c>
      <c r="E249" s="798" t="s">
        <v>806</v>
      </c>
      <c r="F249" s="797"/>
      <c r="G249" s="799">
        <f>G242*Extracts!G$174</f>
        <v>0</v>
      </c>
      <c r="H249" s="799">
        <f>H242*Extracts!H$174</f>
        <v>28583.975959933221</v>
      </c>
      <c r="I249" s="799">
        <f>I242*Extracts!I$174</f>
        <v>29155.655479131885</v>
      </c>
      <c r="J249" s="799">
        <f>J242*Extracts!J$174</f>
        <v>29738.768588714524</v>
      </c>
      <c r="K249" s="800">
        <f>K242*Extracts!K$174</f>
        <v>30333.543960488816</v>
      </c>
      <c r="L249" s="624">
        <f>L242*Extracts!L$174</f>
        <v>30940.214839698594</v>
      </c>
      <c r="M249" s="624">
        <f>M242*Extracts!M$174</f>
        <v>31559.019136492567</v>
      </c>
      <c r="N249" s="624">
        <f>N242*Extracts!N$174</f>
        <v>32190.19951922242</v>
      </c>
      <c r="O249" s="624">
        <f>O242*Extracts!O$174</f>
        <v>32834.003509606868</v>
      </c>
      <c r="P249" s="624">
        <f>P242*Extracts!P$174</f>
        <v>33490.683579799006</v>
      </c>
      <c r="Q249" s="624">
        <f>Q242*Extracts!Q$174</f>
        <v>34160.497251394983</v>
      </c>
      <c r="R249" s="624">
        <f>R242*Extracts!R$174</f>
        <v>34843.707196422882</v>
      </c>
      <c r="S249" s="624">
        <f>S242*Extracts!S$174</f>
        <v>35540.581340351338</v>
      </c>
      <c r="T249" s="624">
        <f>T242*Extracts!T$174</f>
        <v>36251.392967158368</v>
      </c>
      <c r="U249" s="624">
        <f>U242*Extracts!U$174</f>
        <v>36976.420826501533</v>
      </c>
      <c r="V249" s="624">
        <f>V242*Extracts!V$174</f>
        <v>37715.949243031566</v>
      </c>
      <c r="W249" s="624">
        <f>W242*Extracts!W$174</f>
        <v>38470.2682278922</v>
      </c>
      <c r="X249" s="624">
        <f>X242*Extracts!X$174</f>
        <v>39239.673592450046</v>
      </c>
      <c r="Y249" s="624">
        <f>Y242*Extracts!Y$174</f>
        <v>40024.467064299046</v>
      </c>
      <c r="Z249" s="624">
        <f>Z242*Extracts!Z$174</f>
        <v>40824.956405585028</v>
      </c>
      <c r="AA249" s="624">
        <f>AA242*Extracts!AA$174</f>
        <v>41641.455533696731</v>
      </c>
    </row>
    <row r="250" spans="1:27" s="620" customFormat="1" hidden="1" x14ac:dyDescent="0.45">
      <c r="A250" s="803"/>
      <c r="B250" s="797"/>
      <c r="C250" s="797" t="s">
        <v>114</v>
      </c>
      <c r="D250" s="797" t="str">
        <f>D243</f>
        <v>Dried mango purchased from women's groups</v>
      </c>
      <c r="E250" s="798" t="s">
        <v>806</v>
      </c>
      <c r="F250" s="797"/>
      <c r="G250" s="799">
        <f>G243*Extracts!G$174</f>
        <v>0</v>
      </c>
      <c r="H250" s="799">
        <f>H243*Extracts!H$174</f>
        <v>0</v>
      </c>
      <c r="I250" s="799">
        <f>I243*Extracts!I$174</f>
        <v>0</v>
      </c>
      <c r="J250" s="799">
        <f>J243*Extracts!J$174</f>
        <v>0</v>
      </c>
      <c r="K250" s="800">
        <f>K243*Extracts!K$174</f>
        <v>0</v>
      </c>
      <c r="L250" s="624">
        <f>L243*Extracts!L$174</f>
        <v>0</v>
      </c>
      <c r="M250" s="624">
        <f>M243*Extracts!M$174</f>
        <v>0</v>
      </c>
      <c r="N250" s="624">
        <f>N243*Extracts!N$174</f>
        <v>0</v>
      </c>
      <c r="O250" s="624">
        <f>O243*Extracts!O$174</f>
        <v>0</v>
      </c>
      <c r="P250" s="624">
        <f>P243*Extracts!P$174</f>
        <v>0</v>
      </c>
      <c r="Q250" s="624">
        <f>Q243*Extracts!Q$174</f>
        <v>0</v>
      </c>
      <c r="R250" s="624">
        <f>R243*Extracts!R$174</f>
        <v>0</v>
      </c>
      <c r="S250" s="624">
        <f>S243*Extracts!S$174</f>
        <v>0</v>
      </c>
      <c r="T250" s="624">
        <f>T243*Extracts!T$174</f>
        <v>0</v>
      </c>
      <c r="U250" s="624">
        <f>U243*Extracts!U$174</f>
        <v>0</v>
      </c>
      <c r="V250" s="624">
        <f>V243*Extracts!V$174</f>
        <v>0</v>
      </c>
      <c r="W250" s="624">
        <f>W243*Extracts!W$174</f>
        <v>0</v>
      </c>
      <c r="X250" s="624">
        <f>X243*Extracts!X$174</f>
        <v>0</v>
      </c>
      <c r="Y250" s="624">
        <f>Y243*Extracts!Y$174</f>
        <v>0</v>
      </c>
      <c r="Z250" s="624">
        <f>Z243*Extracts!Z$174</f>
        <v>0</v>
      </c>
      <c r="AA250" s="624">
        <f>AA243*Extracts!AA$174</f>
        <v>0</v>
      </c>
    </row>
    <row r="251" spans="1:27" s="620" customFormat="1" hidden="1" x14ac:dyDescent="0.45">
      <c r="A251" s="803"/>
      <c r="B251" s="797"/>
      <c r="C251" s="797"/>
      <c r="D251" s="797"/>
      <c r="E251" s="804"/>
      <c r="F251" s="805"/>
      <c r="G251" s="819" t="s">
        <v>22</v>
      </c>
      <c r="H251" s="819" t="s">
        <v>22</v>
      </c>
      <c r="I251" s="819" t="s">
        <v>22</v>
      </c>
      <c r="J251" s="819" t="s">
        <v>22</v>
      </c>
      <c r="K251" s="820" t="s">
        <v>22</v>
      </c>
      <c r="L251" s="569" t="s">
        <v>22</v>
      </c>
      <c r="M251" s="569" t="s">
        <v>22</v>
      </c>
      <c r="N251" s="569" t="s">
        <v>22</v>
      </c>
      <c r="O251" s="569" t="s">
        <v>22</v>
      </c>
      <c r="P251" s="569" t="s">
        <v>22</v>
      </c>
      <c r="Q251" s="569" t="s">
        <v>22</v>
      </c>
      <c r="R251" s="569" t="s">
        <v>22</v>
      </c>
      <c r="S251" s="569" t="s">
        <v>22</v>
      </c>
      <c r="T251" s="569" t="s">
        <v>22</v>
      </c>
      <c r="U251" s="569" t="s">
        <v>22</v>
      </c>
      <c r="V251" s="569" t="s">
        <v>22</v>
      </c>
      <c r="W251" s="569" t="s">
        <v>22</v>
      </c>
      <c r="X251" s="569" t="s">
        <v>22</v>
      </c>
      <c r="Y251" s="569" t="s">
        <v>22</v>
      </c>
      <c r="Z251" s="569" t="s">
        <v>22</v>
      </c>
      <c r="AA251" s="569" t="s">
        <v>22</v>
      </c>
    </row>
    <row r="252" spans="1:27" s="620" customFormat="1" x14ac:dyDescent="0.45">
      <c r="A252" s="803"/>
      <c r="B252" s="797"/>
      <c r="C252" s="797"/>
      <c r="D252" s="797" t="s">
        <v>525</v>
      </c>
      <c r="E252" s="804" t="s">
        <v>806</v>
      </c>
      <c r="F252" s="805"/>
      <c r="G252" s="837">
        <f>SUM(G245:G248)</f>
        <v>1436800</v>
      </c>
      <c r="H252" s="837">
        <f t="shared" ref="G252:AA252" si="38">SUM(H245:H248)</f>
        <v>1857216</v>
      </c>
      <c r="I252" s="837">
        <f t="shared" si="38"/>
        <v>1894360.32</v>
      </c>
      <c r="J252" s="837">
        <f t="shared" si="38"/>
        <v>1932247.5264000001</v>
      </c>
      <c r="K252" s="838">
        <f t="shared" si="38"/>
        <v>1970892.4769280001</v>
      </c>
      <c r="L252" s="623">
        <f t="shared" si="38"/>
        <v>2010310.3264665601</v>
      </c>
      <c r="M252" s="623">
        <f t="shared" si="38"/>
        <v>2050516.5329958915</v>
      </c>
      <c r="N252" s="623">
        <f t="shared" si="38"/>
        <v>2091526.8636558093</v>
      </c>
      <c r="O252" s="623">
        <f t="shared" si="38"/>
        <v>2133357.4009289257</v>
      </c>
      <c r="P252" s="623">
        <f t="shared" si="38"/>
        <v>2176024.5489475038</v>
      </c>
      <c r="Q252" s="623">
        <f t="shared" si="38"/>
        <v>2219545.0399264544</v>
      </c>
      <c r="R252" s="623">
        <f t="shared" si="38"/>
        <v>2263935.9407249833</v>
      </c>
      <c r="S252" s="623">
        <f t="shared" si="38"/>
        <v>2309214.659539483</v>
      </c>
      <c r="T252" s="623">
        <f t="shared" si="38"/>
        <v>2355398.9527302729</v>
      </c>
      <c r="U252" s="623">
        <f t="shared" si="38"/>
        <v>2402506.9317848785</v>
      </c>
      <c r="V252" s="623">
        <f t="shared" si="38"/>
        <v>2450557.0704205758</v>
      </c>
      <c r="W252" s="623">
        <f t="shared" si="38"/>
        <v>2499568.2118289876</v>
      </c>
      <c r="X252" s="623">
        <f t="shared" si="38"/>
        <v>2549559.5760655678</v>
      </c>
      <c r="Y252" s="623">
        <f t="shared" si="38"/>
        <v>2600550.7675868785</v>
      </c>
      <c r="Z252" s="623">
        <f t="shared" si="38"/>
        <v>2652561.7829386164</v>
      </c>
      <c r="AA252" s="623">
        <f t="shared" si="38"/>
        <v>2705613.0185973886</v>
      </c>
    </row>
    <row r="253" spans="1:27" s="620" customFormat="1" hidden="1" x14ac:dyDescent="0.45">
      <c r="A253" s="803"/>
      <c r="B253" s="797"/>
      <c r="C253" s="797"/>
      <c r="D253" s="797"/>
      <c r="E253" s="804"/>
      <c r="F253" s="805"/>
      <c r="G253" s="837"/>
      <c r="H253" s="837"/>
      <c r="I253" s="837"/>
      <c r="J253" s="837"/>
      <c r="K253" s="838"/>
      <c r="L253" s="623"/>
      <c r="M253" s="623"/>
      <c r="N253" s="623"/>
      <c r="O253" s="623"/>
      <c r="P253" s="623"/>
      <c r="Q253" s="623"/>
      <c r="R253" s="623"/>
      <c r="S253" s="623"/>
      <c r="T253" s="623"/>
      <c r="U253" s="623"/>
      <c r="V253" s="623"/>
      <c r="W253" s="623"/>
      <c r="X253" s="623"/>
      <c r="Y253" s="623"/>
      <c r="Z253" s="623"/>
      <c r="AA253" s="623"/>
    </row>
    <row r="254" spans="1:27" s="620" customFormat="1" hidden="1" x14ac:dyDescent="0.45">
      <c r="A254" s="803"/>
      <c r="B254" s="705"/>
      <c r="C254" s="797"/>
      <c r="D254" s="797"/>
      <c r="E254" s="798"/>
      <c r="F254" s="797"/>
      <c r="G254" s="801"/>
      <c r="H254" s="801"/>
      <c r="I254" s="801"/>
      <c r="J254" s="801"/>
      <c r="K254" s="802"/>
      <c r="L254" s="622"/>
      <c r="M254" s="622"/>
      <c r="N254" s="622"/>
      <c r="O254" s="622"/>
      <c r="P254" s="622"/>
      <c r="Q254" s="622"/>
      <c r="R254" s="622"/>
      <c r="S254" s="622"/>
      <c r="T254" s="622"/>
      <c r="U254" s="622"/>
      <c r="V254" s="622"/>
      <c r="W254" s="622"/>
      <c r="X254" s="622"/>
      <c r="Y254" s="622"/>
      <c r="Z254" s="622"/>
      <c r="AA254" s="622"/>
    </row>
    <row r="255" spans="1:27" s="620" customFormat="1" hidden="1" x14ac:dyDescent="0.45">
      <c r="A255" s="803"/>
      <c r="B255" s="797"/>
      <c r="C255" s="797"/>
      <c r="D255" s="797"/>
      <c r="E255" s="798"/>
      <c r="F255" s="797"/>
      <c r="G255" s="801"/>
      <c r="H255" s="801"/>
      <c r="I255" s="801"/>
      <c r="J255" s="801"/>
      <c r="K255" s="802"/>
      <c r="L255" s="622"/>
      <c r="M255" s="622"/>
      <c r="N255" s="622"/>
      <c r="O255" s="622"/>
      <c r="P255" s="622"/>
      <c r="Q255" s="622"/>
      <c r="R255" s="622"/>
      <c r="S255" s="622"/>
      <c r="T255" s="622"/>
      <c r="U255" s="622"/>
      <c r="V255" s="622"/>
      <c r="W255" s="622"/>
      <c r="X255" s="622"/>
      <c r="Y255" s="622"/>
      <c r="Z255" s="622"/>
      <c r="AA255" s="622"/>
    </row>
    <row r="256" spans="1:27" s="620" customFormat="1" hidden="1" x14ac:dyDescent="0.45">
      <c r="A256" s="803"/>
      <c r="B256" s="797"/>
      <c r="C256" s="797" t="s">
        <v>114</v>
      </c>
      <c r="D256" s="797" t="str">
        <f>Assumptions!D227</f>
        <v>Processing centre General Manager costs</v>
      </c>
      <c r="E256" s="798" t="s">
        <v>813</v>
      </c>
      <c r="F256" s="797"/>
      <c r="G256" s="799">
        <f>Assumptions!I227</f>
        <v>100000</v>
      </c>
      <c r="H256" s="799">
        <f>G256*(1+Assumptions!$H$234)</f>
        <v>102000</v>
      </c>
      <c r="I256" s="799">
        <f>H256*(1+Assumptions!$H$234)</f>
        <v>104040</v>
      </c>
      <c r="J256" s="799">
        <f>I256*(1+Assumptions!$H$234)</f>
        <v>106120.8</v>
      </c>
      <c r="K256" s="800">
        <f>J256*(1+Assumptions!$H$234)</f>
        <v>108243.216</v>
      </c>
      <c r="L256" s="624">
        <f>K256*(1+Assumptions!$H$234)</f>
        <v>110408.08032000001</v>
      </c>
      <c r="M256" s="624">
        <f>L256*(1+Assumptions!$H$234)</f>
        <v>112616.24192640001</v>
      </c>
      <c r="N256" s="624">
        <f>M256*(1+Assumptions!$H$234)</f>
        <v>114868.56676492801</v>
      </c>
      <c r="O256" s="624">
        <f>N256*(1+Assumptions!$H$234)</f>
        <v>117165.93810022657</v>
      </c>
      <c r="P256" s="624">
        <f>O256*(1+Assumptions!$H$234)</f>
        <v>119509.25686223111</v>
      </c>
      <c r="Q256" s="624">
        <f>P256*(1+Assumptions!$H$234)</f>
        <v>121899.44199947573</v>
      </c>
      <c r="R256" s="624">
        <f>Q256*(1+Assumptions!$H$234)</f>
        <v>124337.43083946525</v>
      </c>
      <c r="S256" s="624">
        <f>R256*(1+Assumptions!$H$234)</f>
        <v>126824.17945625455</v>
      </c>
      <c r="T256" s="624">
        <f>S256*(1+Assumptions!$H$234)</f>
        <v>129360.66304537965</v>
      </c>
      <c r="U256" s="624">
        <f>T256*(1+Assumptions!$H$234)</f>
        <v>131947.87630628725</v>
      </c>
      <c r="V256" s="624">
        <f>U256*(1+Assumptions!$H$234)</f>
        <v>134586.83383241299</v>
      </c>
      <c r="W256" s="624">
        <f>V256*(1+Assumptions!$H$234)</f>
        <v>137278.57050906125</v>
      </c>
      <c r="X256" s="624">
        <f>W256*(1+Assumptions!$H$234)</f>
        <v>140024.14191924248</v>
      </c>
      <c r="Y256" s="624">
        <f>X256*(1+Assumptions!$H$234)</f>
        <v>142824.62475762735</v>
      </c>
      <c r="Z256" s="624">
        <f>Y256*(1+Assumptions!$H$234)</f>
        <v>145681.11725277989</v>
      </c>
      <c r="AA256" s="624">
        <f>Z256*(1+Assumptions!$H$234)</f>
        <v>148594.73959783549</v>
      </c>
    </row>
    <row r="257" spans="1:27" s="620" customFormat="1" hidden="1" x14ac:dyDescent="0.45">
      <c r="A257" s="803"/>
      <c r="B257" s="797"/>
      <c r="C257" s="797" t="s">
        <v>114</v>
      </c>
      <c r="D257" s="797" t="str">
        <f>Assumptions!D228</f>
        <v>Processing centre security and technical staff</v>
      </c>
      <c r="E257" s="798" t="s">
        <v>813</v>
      </c>
      <c r="F257" s="797"/>
      <c r="G257" s="799">
        <f>Assumptions!I228</f>
        <v>30000</v>
      </c>
      <c r="H257" s="799">
        <f>G257*(1+Assumptions!$H$234)</f>
        <v>30600</v>
      </c>
      <c r="I257" s="799">
        <f>H257*(1+Assumptions!$H$234)</f>
        <v>31212</v>
      </c>
      <c r="J257" s="799">
        <f>I257*(1+Assumptions!$H$234)</f>
        <v>31836.240000000002</v>
      </c>
      <c r="K257" s="800">
        <f>J257*(1+Assumptions!$H$234)</f>
        <v>32472.964800000002</v>
      </c>
      <c r="L257" s="624">
        <f>K257*(1+Assumptions!$H$234)</f>
        <v>33122.424096000002</v>
      </c>
      <c r="M257" s="624">
        <f>L257*(1+Assumptions!$H$234)</f>
        <v>33784.872577920003</v>
      </c>
      <c r="N257" s="624">
        <f>M257*(1+Assumptions!$H$234)</f>
        <v>34460.570029478404</v>
      </c>
      <c r="O257" s="624">
        <f>N257*(1+Assumptions!$H$234)</f>
        <v>35149.781430067975</v>
      </c>
      <c r="P257" s="624">
        <f>O257*(1+Assumptions!$H$234)</f>
        <v>35852.777058669337</v>
      </c>
      <c r="Q257" s="624">
        <f>P257*(1+Assumptions!$H$234)</f>
        <v>36569.832599842724</v>
      </c>
      <c r="R257" s="624">
        <f>Q257*(1+Assumptions!$H$234)</f>
        <v>37301.229251839577</v>
      </c>
      <c r="S257" s="624">
        <f>R257*(1+Assumptions!$H$234)</f>
        <v>38047.253836876371</v>
      </c>
      <c r="T257" s="624">
        <f>S257*(1+Assumptions!$H$234)</f>
        <v>38808.198913613902</v>
      </c>
      <c r="U257" s="624">
        <f>T257*(1+Assumptions!$H$234)</f>
        <v>39584.36289188618</v>
      </c>
      <c r="V257" s="624">
        <f>U257*(1+Assumptions!$H$234)</f>
        <v>40376.050149723902</v>
      </c>
      <c r="W257" s="624">
        <f>V257*(1+Assumptions!$H$234)</f>
        <v>41183.571152718381</v>
      </c>
      <c r="X257" s="624">
        <f>W257*(1+Assumptions!$H$234)</f>
        <v>42007.242575772747</v>
      </c>
      <c r="Y257" s="624">
        <f>X257*(1+Assumptions!$H$234)</f>
        <v>42847.387427288202</v>
      </c>
      <c r="Z257" s="624">
        <f>Y257*(1+Assumptions!$H$234)</f>
        <v>43704.33517583397</v>
      </c>
      <c r="AA257" s="624">
        <f>Z257*(1+Assumptions!$H$234)</f>
        <v>44578.421879350652</v>
      </c>
    </row>
    <row r="258" spans="1:27" s="620" customFormat="1" hidden="1" x14ac:dyDescent="0.45">
      <c r="A258" s="803"/>
      <c r="B258" s="797"/>
      <c r="C258" s="797" t="s">
        <v>114</v>
      </c>
      <c r="D258" s="797" t="str">
        <f>Assumptions!D229</f>
        <v>Processing centre supervision &amp; monitoring staff</v>
      </c>
      <c r="E258" s="798" t="s">
        <v>813</v>
      </c>
      <c r="F258" s="797"/>
      <c r="G258" s="799">
        <f>Assumptions!I229</f>
        <v>54000</v>
      </c>
      <c r="H258" s="799">
        <f>G258*(1+Assumptions!$H$234)</f>
        <v>55080</v>
      </c>
      <c r="I258" s="799">
        <f>H258*(1+Assumptions!$H$234)</f>
        <v>56181.599999999999</v>
      </c>
      <c r="J258" s="799">
        <f>I258*(1+Assumptions!$H$234)</f>
        <v>57305.231999999996</v>
      </c>
      <c r="K258" s="800">
        <f>J258*(1+Assumptions!$H$234)</f>
        <v>58451.336639999994</v>
      </c>
      <c r="L258" s="624">
        <f>K258*(1+Assumptions!$H$234)</f>
        <v>59620.363372799999</v>
      </c>
      <c r="M258" s="624">
        <f>L258*(1+Assumptions!$H$234)</f>
        <v>60812.770640256</v>
      </c>
      <c r="N258" s="624">
        <f>M258*(1+Assumptions!$H$234)</f>
        <v>62029.026053061119</v>
      </c>
      <c r="O258" s="624">
        <f>N258*(1+Assumptions!$H$234)</f>
        <v>63269.606574122343</v>
      </c>
      <c r="P258" s="624">
        <f>O258*(1+Assumptions!$H$234)</f>
        <v>64534.99870560479</v>
      </c>
      <c r="Q258" s="624">
        <f>P258*(1+Assumptions!$H$234)</f>
        <v>65825.698679716894</v>
      </c>
      <c r="R258" s="624">
        <f>Q258*(1+Assumptions!$H$234)</f>
        <v>67142.212653311231</v>
      </c>
      <c r="S258" s="624">
        <f>R258*(1+Assumptions!$H$234)</f>
        <v>68485.05690637746</v>
      </c>
      <c r="T258" s="624">
        <f>S258*(1+Assumptions!$H$234)</f>
        <v>69854.758044505012</v>
      </c>
      <c r="U258" s="624">
        <f>T258*(1+Assumptions!$H$234)</f>
        <v>71251.85320539512</v>
      </c>
      <c r="V258" s="624">
        <f>U258*(1+Assumptions!$H$234)</f>
        <v>72676.890269503027</v>
      </c>
      <c r="W258" s="624">
        <f>V258*(1+Assumptions!$H$234)</f>
        <v>74130.428074893091</v>
      </c>
      <c r="X258" s="624">
        <f>W258*(1+Assumptions!$H$234)</f>
        <v>75613.036636390956</v>
      </c>
      <c r="Y258" s="624">
        <f>X258*(1+Assumptions!$H$234)</f>
        <v>77125.29736911878</v>
      </c>
      <c r="Z258" s="624">
        <f>Y258*(1+Assumptions!$H$234)</f>
        <v>78667.803316501158</v>
      </c>
      <c r="AA258" s="624">
        <f>Z258*(1+Assumptions!$H$234)</f>
        <v>80241.159382831189</v>
      </c>
    </row>
    <row r="259" spans="1:27" s="620" customFormat="1" hidden="1" x14ac:dyDescent="0.45">
      <c r="A259" s="803"/>
      <c r="B259" s="797"/>
      <c r="C259" s="797" t="s">
        <v>114</v>
      </c>
      <c r="D259" s="797" t="str">
        <f>Assumptions!D230</f>
        <v>Processing centre transport costs</v>
      </c>
      <c r="E259" s="798" t="s">
        <v>813</v>
      </c>
      <c r="F259" s="797"/>
      <c r="G259" s="799">
        <f>Assumptions!I230</f>
        <v>36000</v>
      </c>
      <c r="H259" s="799">
        <f>G259*(1+Assumptions!$H$234)</f>
        <v>36720</v>
      </c>
      <c r="I259" s="799">
        <f>H259*(1+Assumptions!$H$234)</f>
        <v>37454.400000000001</v>
      </c>
      <c r="J259" s="799">
        <f>I259*(1+Assumptions!$H$234)</f>
        <v>38203.488000000005</v>
      </c>
      <c r="K259" s="800">
        <f>J259*(1+Assumptions!$H$234)</f>
        <v>38967.557760000003</v>
      </c>
      <c r="L259" s="624">
        <f>K259*(1+Assumptions!$H$234)</f>
        <v>39746.908915200002</v>
      </c>
      <c r="M259" s="624">
        <f>L259*(1+Assumptions!$H$234)</f>
        <v>40541.847093504002</v>
      </c>
      <c r="N259" s="624">
        <f>M259*(1+Assumptions!$H$234)</f>
        <v>41352.684035374084</v>
      </c>
      <c r="O259" s="624">
        <f>N259*(1+Assumptions!$H$234)</f>
        <v>42179.737716081567</v>
      </c>
      <c r="P259" s="624">
        <f>O259*(1+Assumptions!$H$234)</f>
        <v>43023.332470403198</v>
      </c>
      <c r="Q259" s="624">
        <f>P259*(1+Assumptions!$H$234)</f>
        <v>43883.799119811265</v>
      </c>
      <c r="R259" s="624">
        <f>Q259*(1+Assumptions!$H$234)</f>
        <v>44761.475102207492</v>
      </c>
      <c r="S259" s="624">
        <f>R259*(1+Assumptions!$H$234)</f>
        <v>45656.704604251645</v>
      </c>
      <c r="T259" s="624">
        <f>S259*(1+Assumptions!$H$234)</f>
        <v>46569.838696336679</v>
      </c>
      <c r="U259" s="624">
        <f>T259*(1+Assumptions!$H$234)</f>
        <v>47501.235470263411</v>
      </c>
      <c r="V259" s="624">
        <f>U259*(1+Assumptions!$H$234)</f>
        <v>48451.260179668679</v>
      </c>
      <c r="W259" s="624">
        <f>V259*(1+Assumptions!$H$234)</f>
        <v>49420.285383262053</v>
      </c>
      <c r="X259" s="624">
        <f>W259*(1+Assumptions!$H$234)</f>
        <v>50408.691090927292</v>
      </c>
      <c r="Y259" s="624">
        <f>X259*(1+Assumptions!$H$234)</f>
        <v>51416.864912745841</v>
      </c>
      <c r="Z259" s="624">
        <f>Y259*(1+Assumptions!$H$234)</f>
        <v>52445.20221100076</v>
      </c>
      <c r="AA259" s="624">
        <f>Z259*(1+Assumptions!$H$234)</f>
        <v>53494.106255220773</v>
      </c>
    </row>
    <row r="260" spans="1:27" s="620" customFormat="1" hidden="1" x14ac:dyDescent="0.45">
      <c r="A260" s="803"/>
      <c r="B260" s="797"/>
      <c r="C260" s="797" t="s">
        <v>114</v>
      </c>
      <c r="D260" s="797" t="str">
        <f>Assumptions!D231</f>
        <v>Forestry fund</v>
      </c>
      <c r="E260" s="798" t="s">
        <v>813</v>
      </c>
      <c r="F260" s="797"/>
      <c r="G260" s="799">
        <f>Assumptions!I231</f>
        <v>15000</v>
      </c>
      <c r="H260" s="799">
        <f>G260*(1+Assumptions!$H$234)</f>
        <v>15300</v>
      </c>
      <c r="I260" s="799">
        <f>H260*(1+Assumptions!$H$234)</f>
        <v>15606</v>
      </c>
      <c r="J260" s="799">
        <f>I260*(1+Assumptions!$H$234)</f>
        <v>15918.12</v>
      </c>
      <c r="K260" s="800">
        <f>J260*(1+Assumptions!$H$234)</f>
        <v>16236.482400000001</v>
      </c>
      <c r="L260" s="624">
        <f>K260*(1+Assumptions!$H$234)</f>
        <v>16561.212048000001</v>
      </c>
      <c r="M260" s="624">
        <f>L260*(1+Assumptions!$H$234)</f>
        <v>16892.436288960002</v>
      </c>
      <c r="N260" s="624">
        <f>M260*(1+Assumptions!$H$234)</f>
        <v>17230.285014739202</v>
      </c>
      <c r="O260" s="624">
        <f>N260*(1+Assumptions!$H$234)</f>
        <v>17574.890715033987</v>
      </c>
      <c r="P260" s="624">
        <f>O260*(1+Assumptions!$H$234)</f>
        <v>17926.388529334668</v>
      </c>
      <c r="Q260" s="624">
        <f>P260*(1+Assumptions!$H$234)</f>
        <v>18284.916299921362</v>
      </c>
      <c r="R260" s="624">
        <f>Q260*(1+Assumptions!$H$234)</f>
        <v>18650.614625919789</v>
      </c>
      <c r="S260" s="624">
        <f>R260*(1+Assumptions!$H$234)</f>
        <v>19023.626918438185</v>
      </c>
      <c r="T260" s="624">
        <f>S260*(1+Assumptions!$H$234)</f>
        <v>19404.099456806951</v>
      </c>
      <c r="U260" s="624">
        <f>T260*(1+Assumptions!$H$234)</f>
        <v>19792.18144594309</v>
      </c>
      <c r="V260" s="624">
        <f>U260*(1+Assumptions!$H$234)</f>
        <v>20188.025074861951</v>
      </c>
      <c r="W260" s="624">
        <f>V260*(1+Assumptions!$H$234)</f>
        <v>20591.785576359191</v>
      </c>
      <c r="X260" s="624">
        <f>W260*(1+Assumptions!$H$234)</f>
        <v>21003.621287886373</v>
      </c>
      <c r="Y260" s="624">
        <f>X260*(1+Assumptions!$H$234)</f>
        <v>21423.693713644101</v>
      </c>
      <c r="Z260" s="624">
        <f>Y260*(1+Assumptions!$H$234)</f>
        <v>21852.167587916985</v>
      </c>
      <c r="AA260" s="624">
        <f>Z260*(1+Assumptions!$H$234)</f>
        <v>22289.210939675326</v>
      </c>
    </row>
    <row r="261" spans="1:27" s="620" customFormat="1" hidden="1" x14ac:dyDescent="0.45">
      <c r="A261" s="803"/>
      <c r="B261" s="797"/>
      <c r="C261" s="797" t="s">
        <v>114</v>
      </c>
      <c r="D261" s="797" t="str">
        <f>Assumptions!D232</f>
        <v>Shea kernels purchased from women's groups</v>
      </c>
      <c r="E261" s="798" t="s">
        <v>813</v>
      </c>
      <c r="F261" s="797"/>
      <c r="G261" s="799">
        <f>Assumptions!I232</f>
        <v>750000</v>
      </c>
      <c r="H261" s="799">
        <f>G261*(1+Assumptions!$H$234)</f>
        <v>765000</v>
      </c>
      <c r="I261" s="799">
        <f>H261*(1+Assumptions!$H$234)</f>
        <v>780300</v>
      </c>
      <c r="J261" s="799">
        <f>I261*(1+Assumptions!$H$234)</f>
        <v>795906</v>
      </c>
      <c r="K261" s="800">
        <f>J261*(1+Assumptions!$H$234)</f>
        <v>811824.12</v>
      </c>
      <c r="L261" s="624">
        <f>K261*(1+Assumptions!$H$234)</f>
        <v>828060.60239999997</v>
      </c>
      <c r="M261" s="624">
        <f>L261*(1+Assumptions!$H$234)</f>
        <v>844621.81444799993</v>
      </c>
      <c r="N261" s="624">
        <f>M261*(1+Assumptions!$H$234)</f>
        <v>861514.25073695998</v>
      </c>
      <c r="O261" s="624">
        <f>N261*(1+Assumptions!$H$234)</f>
        <v>878744.53575169924</v>
      </c>
      <c r="P261" s="624">
        <f>O261*(1+Assumptions!$H$234)</f>
        <v>896319.42646673322</v>
      </c>
      <c r="Q261" s="624">
        <f>P261*(1+Assumptions!$H$234)</f>
        <v>914245.8149960679</v>
      </c>
      <c r="R261" s="624">
        <f>Q261*(1+Assumptions!$H$234)</f>
        <v>932530.73129598924</v>
      </c>
      <c r="S261" s="624">
        <f>R261*(1+Assumptions!$H$234)</f>
        <v>951181.34592190909</v>
      </c>
      <c r="T261" s="624">
        <f>S261*(1+Assumptions!$H$234)</f>
        <v>970204.97284034733</v>
      </c>
      <c r="U261" s="624">
        <f>T261*(1+Assumptions!$H$234)</f>
        <v>989609.07229715434</v>
      </c>
      <c r="V261" s="624">
        <f>U261*(1+Assumptions!$H$234)</f>
        <v>1009401.2537430974</v>
      </c>
      <c r="W261" s="624">
        <f>V261*(1+Assumptions!$H$234)</f>
        <v>1029589.2788179594</v>
      </c>
      <c r="X261" s="624">
        <f>W261*(1+Assumptions!$H$234)</f>
        <v>1050181.0643943185</v>
      </c>
      <c r="Y261" s="624">
        <f>X261*(1+Assumptions!$H$234)</f>
        <v>1071184.6856822048</v>
      </c>
      <c r="Z261" s="624">
        <f>Y261*(1+Assumptions!$H$234)</f>
        <v>1092608.3793958488</v>
      </c>
      <c r="AA261" s="624">
        <f>Z261*(1+Assumptions!$H$234)</f>
        <v>1114460.5469837659</v>
      </c>
    </row>
    <row r="262" spans="1:27" s="620" customFormat="1" hidden="1" x14ac:dyDescent="0.45">
      <c r="A262" s="803"/>
      <c r="B262" s="797"/>
      <c r="C262" s="797"/>
      <c r="D262" s="797"/>
      <c r="E262" s="798"/>
      <c r="F262" s="797"/>
      <c r="G262" s="801"/>
      <c r="H262" s="801"/>
      <c r="I262" s="801"/>
      <c r="J262" s="801"/>
      <c r="K262" s="802"/>
      <c r="L262" s="622"/>
      <c r="M262" s="622"/>
      <c r="N262" s="622"/>
      <c r="O262" s="622"/>
      <c r="P262" s="622"/>
      <c r="Q262" s="622"/>
      <c r="R262" s="622"/>
      <c r="S262" s="622"/>
      <c r="T262" s="622"/>
      <c r="U262" s="622"/>
      <c r="V262" s="622"/>
      <c r="W262" s="622"/>
      <c r="X262" s="622"/>
      <c r="Y262" s="622"/>
      <c r="Z262" s="622"/>
      <c r="AA262" s="622"/>
    </row>
    <row r="263" spans="1:27" s="620" customFormat="1" hidden="1" x14ac:dyDescent="0.45">
      <c r="A263" s="803"/>
      <c r="B263" s="797"/>
      <c r="C263" s="797" t="s">
        <v>114</v>
      </c>
      <c r="D263" s="797" t="str">
        <f t="shared" ref="D263:D268" si="39">D256</f>
        <v>Processing centre General Manager costs</v>
      </c>
      <c r="E263" s="798" t="s">
        <v>806</v>
      </c>
      <c r="F263" s="797"/>
      <c r="G263" s="799">
        <f>G256*Extracts!H$177</f>
        <v>400000</v>
      </c>
      <c r="H263" s="799">
        <f>H256*Extracts!H$177</f>
        <v>408000</v>
      </c>
      <c r="I263" s="799">
        <f>I256*Extracts!I$177</f>
        <v>416160</v>
      </c>
      <c r="J263" s="799">
        <f>J256*Extracts!J$177</f>
        <v>424483.2</v>
      </c>
      <c r="K263" s="800">
        <f>K256*Extracts!K$177</f>
        <v>432972.864</v>
      </c>
      <c r="L263" s="624">
        <f>L256*Extracts!L$177</f>
        <v>441632.32128000003</v>
      </c>
      <c r="M263" s="624">
        <f>M256*Extracts!M$177</f>
        <v>450464.96770560002</v>
      </c>
      <c r="N263" s="624">
        <f>N256*Extracts!N$177</f>
        <v>459474.26705971203</v>
      </c>
      <c r="O263" s="624">
        <f>O256*Extracts!O$177</f>
        <v>468663.75240090629</v>
      </c>
      <c r="P263" s="624">
        <f>P256*Extracts!P$177</f>
        <v>478037.02744892443</v>
      </c>
      <c r="Q263" s="624">
        <f>Q256*Extracts!Q$177</f>
        <v>487597.76799790293</v>
      </c>
      <c r="R263" s="624">
        <f>R256*Extracts!R$177</f>
        <v>497349.72335786099</v>
      </c>
      <c r="S263" s="624">
        <f>S256*Extracts!S$177</f>
        <v>507296.71782501822</v>
      </c>
      <c r="T263" s="624">
        <f>T256*Extracts!T$177</f>
        <v>517442.65218151861</v>
      </c>
      <c r="U263" s="624">
        <f>U256*Extracts!U$177</f>
        <v>527791.50522514898</v>
      </c>
      <c r="V263" s="624">
        <f>V256*Extracts!V$177</f>
        <v>538347.33532965195</v>
      </c>
      <c r="W263" s="624">
        <f>W256*Extracts!W$177</f>
        <v>549114.28203624499</v>
      </c>
      <c r="X263" s="624">
        <f>X256*Extracts!X$177</f>
        <v>560096.56767696992</v>
      </c>
      <c r="Y263" s="624">
        <f>Y256*Extracts!Y$177</f>
        <v>571298.49903050938</v>
      </c>
      <c r="Z263" s="624">
        <f>Z256*Extracts!Z$177</f>
        <v>582724.46901111957</v>
      </c>
      <c r="AA263" s="624">
        <f>AA256*Extracts!AA$177</f>
        <v>594378.95839134196</v>
      </c>
    </row>
    <row r="264" spans="1:27" s="620" customFormat="1" hidden="1" x14ac:dyDescent="0.45">
      <c r="A264" s="803"/>
      <c r="B264" s="797"/>
      <c r="C264" s="797" t="s">
        <v>114</v>
      </c>
      <c r="D264" s="797" t="str">
        <f t="shared" si="39"/>
        <v>Processing centre security and technical staff</v>
      </c>
      <c r="E264" s="798" t="s">
        <v>806</v>
      </c>
      <c r="F264" s="797"/>
      <c r="G264" s="799">
        <f>G257*Extracts!G$177</f>
        <v>0</v>
      </c>
      <c r="H264" s="799">
        <f>H257*Extracts!H$177</f>
        <v>122400</v>
      </c>
      <c r="I264" s="799">
        <f>I257*Extracts!I$177</f>
        <v>124848</v>
      </c>
      <c r="J264" s="799">
        <f>J257*Extracts!J$177</f>
        <v>127344.96000000001</v>
      </c>
      <c r="K264" s="800">
        <f>K257*Extracts!K$177</f>
        <v>129891.85920000001</v>
      </c>
      <c r="L264" s="624">
        <f>L257*Extracts!L$177</f>
        <v>132489.69638400001</v>
      </c>
      <c r="M264" s="624">
        <f>M257*Extracts!M$177</f>
        <v>135139.49031168001</v>
      </c>
      <c r="N264" s="624">
        <f>N257*Extracts!N$177</f>
        <v>137842.28011791361</v>
      </c>
      <c r="O264" s="624">
        <f>O257*Extracts!O$177</f>
        <v>140599.1257202719</v>
      </c>
      <c r="P264" s="624">
        <f>P257*Extracts!P$177</f>
        <v>143411.10823467735</v>
      </c>
      <c r="Q264" s="624">
        <f>Q257*Extracts!Q$177</f>
        <v>146279.3303993709</v>
      </c>
      <c r="R264" s="624">
        <f>R257*Extracts!R$177</f>
        <v>149204.91700735831</v>
      </c>
      <c r="S264" s="624">
        <f>S257*Extracts!S$177</f>
        <v>152189.01534750548</v>
      </c>
      <c r="T264" s="624">
        <f>T257*Extracts!T$177</f>
        <v>155232.79565445561</v>
      </c>
      <c r="U264" s="624">
        <f>U257*Extracts!U$177</f>
        <v>158337.45156754472</v>
      </c>
      <c r="V264" s="624">
        <f>V257*Extracts!V$177</f>
        <v>161504.20059889561</v>
      </c>
      <c r="W264" s="624">
        <f>W257*Extracts!W$177</f>
        <v>164734.28461087352</v>
      </c>
      <c r="X264" s="624">
        <f>X257*Extracts!X$177</f>
        <v>168028.97030309099</v>
      </c>
      <c r="Y264" s="624">
        <f>Y257*Extracts!Y$177</f>
        <v>171389.54970915281</v>
      </c>
      <c r="Z264" s="624">
        <f>Z257*Extracts!Z$177</f>
        <v>174817.34070333588</v>
      </c>
      <c r="AA264" s="624">
        <f>AA257*Extracts!AA$177</f>
        <v>178313.68751740261</v>
      </c>
    </row>
    <row r="265" spans="1:27" s="620" customFormat="1" hidden="1" x14ac:dyDescent="0.45">
      <c r="A265" s="803"/>
      <c r="B265" s="797"/>
      <c r="C265" s="797" t="s">
        <v>114</v>
      </c>
      <c r="D265" s="797" t="str">
        <f t="shared" si="39"/>
        <v>Processing centre supervision &amp; monitoring staff</v>
      </c>
      <c r="E265" s="798" t="s">
        <v>806</v>
      </c>
      <c r="F265" s="797"/>
      <c r="G265" s="799">
        <f>G258*Extracts!H$177</f>
        <v>216000</v>
      </c>
      <c r="H265" s="799">
        <f>H258*Extracts!H$177</f>
        <v>220320</v>
      </c>
      <c r="I265" s="799">
        <f>I258*Extracts!I$177</f>
        <v>224726.39999999999</v>
      </c>
      <c r="J265" s="799">
        <f>J258*Extracts!J$177</f>
        <v>229220.92799999999</v>
      </c>
      <c r="K265" s="800">
        <f>K258*Extracts!K$177</f>
        <v>233805.34655999998</v>
      </c>
      <c r="L265" s="624">
        <f>L258*Extracts!L$177</f>
        <v>238481.45349119999</v>
      </c>
      <c r="M265" s="624">
        <f>M258*Extracts!M$177</f>
        <v>243251.082561024</v>
      </c>
      <c r="N265" s="624">
        <f>N258*Extracts!N$177</f>
        <v>248116.10421224448</v>
      </c>
      <c r="O265" s="624">
        <f>O258*Extracts!O$177</f>
        <v>253078.42629648937</v>
      </c>
      <c r="P265" s="624">
        <f>P258*Extracts!P$177</f>
        <v>258139.99482241916</v>
      </c>
      <c r="Q265" s="624">
        <f>Q258*Extracts!Q$177</f>
        <v>263302.79471886758</v>
      </c>
      <c r="R265" s="624">
        <f>R258*Extracts!R$177</f>
        <v>268568.85061324493</v>
      </c>
      <c r="S265" s="624">
        <f>S258*Extracts!S$177</f>
        <v>273940.22762550984</v>
      </c>
      <c r="T265" s="624">
        <f>T258*Extracts!T$177</f>
        <v>279419.03217802005</v>
      </c>
      <c r="U265" s="624">
        <f>U258*Extracts!U$177</f>
        <v>285007.41282158048</v>
      </c>
      <c r="V265" s="624">
        <f>V258*Extracts!V$177</f>
        <v>290707.56107801211</v>
      </c>
      <c r="W265" s="624">
        <f>W258*Extracts!W$177</f>
        <v>296521.71229957236</v>
      </c>
      <c r="X265" s="624">
        <f>X258*Extracts!X$177</f>
        <v>302452.14654556382</v>
      </c>
      <c r="Y265" s="624">
        <f>Y258*Extracts!Y$177</f>
        <v>308501.18947647512</v>
      </c>
      <c r="Z265" s="624">
        <f>Z258*Extracts!Z$177</f>
        <v>314671.21326600463</v>
      </c>
      <c r="AA265" s="624">
        <f>AA258*Extracts!AA$177</f>
        <v>320964.63753132476</v>
      </c>
    </row>
    <row r="266" spans="1:27" s="620" customFormat="1" hidden="1" x14ac:dyDescent="0.45">
      <c r="A266" s="803"/>
      <c r="B266" s="797"/>
      <c r="C266" s="797" t="s">
        <v>114</v>
      </c>
      <c r="D266" s="797" t="str">
        <f t="shared" si="39"/>
        <v>Processing centre transport costs</v>
      </c>
      <c r="E266" s="798" t="s">
        <v>806</v>
      </c>
      <c r="F266" s="797"/>
      <c r="G266" s="799">
        <f>G259*Extracts!G$177</f>
        <v>0</v>
      </c>
      <c r="H266" s="799">
        <f>H259*Extracts!H$177</f>
        <v>146880</v>
      </c>
      <c r="I266" s="799">
        <f>I259*Extracts!I$177</f>
        <v>149817.60000000001</v>
      </c>
      <c r="J266" s="799">
        <f>J259*Extracts!J$177</f>
        <v>152813.95200000002</v>
      </c>
      <c r="K266" s="800">
        <f>K259*Extracts!K$177</f>
        <v>155870.23104000001</v>
      </c>
      <c r="L266" s="624">
        <f>L259*Extracts!L$177</f>
        <v>158987.63566080001</v>
      </c>
      <c r="M266" s="624">
        <f>M259*Extracts!M$177</f>
        <v>162167.38837401601</v>
      </c>
      <c r="N266" s="624">
        <f>N259*Extracts!N$177</f>
        <v>165410.73614149634</v>
      </c>
      <c r="O266" s="624">
        <f>O259*Extracts!O$177</f>
        <v>168718.95086432627</v>
      </c>
      <c r="P266" s="624">
        <f>P259*Extracts!P$177</f>
        <v>172093.32988161279</v>
      </c>
      <c r="Q266" s="624">
        <f>Q259*Extracts!Q$177</f>
        <v>175535.19647924506</v>
      </c>
      <c r="R266" s="624">
        <f>R259*Extracts!R$177</f>
        <v>179045.90040882997</v>
      </c>
      <c r="S266" s="624">
        <f>S259*Extracts!S$177</f>
        <v>182626.81841700658</v>
      </c>
      <c r="T266" s="624">
        <f>T259*Extracts!T$177</f>
        <v>186279.35478534672</v>
      </c>
      <c r="U266" s="624">
        <f>U259*Extracts!U$177</f>
        <v>190004.94188105364</v>
      </c>
      <c r="V266" s="624">
        <f>V259*Extracts!V$177</f>
        <v>193805.04071867472</v>
      </c>
      <c r="W266" s="624">
        <f>W259*Extracts!W$177</f>
        <v>197681.14153304821</v>
      </c>
      <c r="X266" s="624">
        <f>X259*Extracts!X$177</f>
        <v>201634.76436370917</v>
      </c>
      <c r="Y266" s="624">
        <f>Y259*Extracts!Y$177</f>
        <v>205667.45965098336</v>
      </c>
      <c r="Z266" s="624">
        <f>Z259*Extracts!Z$177</f>
        <v>209780.80884400304</v>
      </c>
      <c r="AA266" s="624">
        <f>AA259*Extracts!AA$177</f>
        <v>213976.42502088309</v>
      </c>
    </row>
    <row r="267" spans="1:27" s="620" customFormat="1" hidden="1" x14ac:dyDescent="0.45">
      <c r="A267" s="803"/>
      <c r="B267" s="797"/>
      <c r="C267" s="797" t="s">
        <v>114</v>
      </c>
      <c r="D267" s="797" t="str">
        <f t="shared" si="39"/>
        <v>Forestry fund</v>
      </c>
      <c r="E267" s="798" t="s">
        <v>806</v>
      </c>
      <c r="F267" s="797"/>
      <c r="G267" s="799">
        <f>G260*Extracts!G$177</f>
        <v>0</v>
      </c>
      <c r="H267" s="799">
        <f>H260*Extracts!H$177</f>
        <v>61200</v>
      </c>
      <c r="I267" s="799">
        <f>I260*Extracts!I$177</f>
        <v>62424</v>
      </c>
      <c r="J267" s="799">
        <f>J260*Extracts!J$177</f>
        <v>63672.480000000003</v>
      </c>
      <c r="K267" s="800">
        <f>K260*Extracts!K$177</f>
        <v>64945.929600000003</v>
      </c>
      <c r="L267" s="624">
        <f>L260*Extracts!L$177</f>
        <v>66244.848192000005</v>
      </c>
      <c r="M267" s="624">
        <f>M260*Extracts!M$177</f>
        <v>67569.745155840006</v>
      </c>
      <c r="N267" s="624">
        <f>N260*Extracts!N$177</f>
        <v>68921.140058956807</v>
      </c>
      <c r="O267" s="624">
        <f>O260*Extracts!O$177</f>
        <v>70299.562860135949</v>
      </c>
      <c r="P267" s="624">
        <f>P260*Extracts!P$177</f>
        <v>71705.554117338674</v>
      </c>
      <c r="Q267" s="624">
        <f>Q260*Extracts!Q$177</f>
        <v>73139.665199685449</v>
      </c>
      <c r="R267" s="624">
        <f>R260*Extracts!R$177</f>
        <v>74602.458503679154</v>
      </c>
      <c r="S267" s="624">
        <f>S260*Extracts!S$177</f>
        <v>76094.507673752742</v>
      </c>
      <c r="T267" s="624">
        <f>T260*Extracts!T$177</f>
        <v>77616.397827227804</v>
      </c>
      <c r="U267" s="624">
        <f>U260*Extracts!U$177</f>
        <v>79168.725783772359</v>
      </c>
      <c r="V267" s="624">
        <f>V260*Extracts!V$177</f>
        <v>80752.100299447804</v>
      </c>
      <c r="W267" s="624">
        <f>W260*Extracts!W$177</f>
        <v>82367.142305436762</v>
      </c>
      <c r="X267" s="624">
        <f>X260*Extracts!X$177</f>
        <v>84014.485151545494</v>
      </c>
      <c r="Y267" s="624">
        <f>Y260*Extracts!Y$177</f>
        <v>85694.774854576404</v>
      </c>
      <c r="Z267" s="624">
        <f>Z260*Extracts!Z$177</f>
        <v>87408.670351667941</v>
      </c>
      <c r="AA267" s="624">
        <f>AA260*Extracts!AA$177</f>
        <v>89156.843758701303</v>
      </c>
    </row>
    <row r="268" spans="1:27" s="620" customFormat="1" hidden="1" x14ac:dyDescent="0.45">
      <c r="A268" s="803"/>
      <c r="B268" s="797"/>
      <c r="C268" s="797" t="s">
        <v>114</v>
      </c>
      <c r="D268" s="797" t="str">
        <f t="shared" si="39"/>
        <v>Shea kernels purchased from women's groups</v>
      </c>
      <c r="E268" s="798" t="s">
        <v>806</v>
      </c>
      <c r="F268" s="797"/>
      <c r="G268" s="799">
        <f>G261*Extracts!G$177</f>
        <v>0</v>
      </c>
      <c r="H268" s="799">
        <f>H261*Extracts!H$177</f>
        <v>3060000</v>
      </c>
      <c r="I268" s="799">
        <f>I261*Extracts!I$177</f>
        <v>3121200</v>
      </c>
      <c r="J268" s="799">
        <f>J261*Extracts!J$177</f>
        <v>3183624</v>
      </c>
      <c r="K268" s="800">
        <f>K261*Extracts!K$177</f>
        <v>3247296.48</v>
      </c>
      <c r="L268" s="624">
        <f>L261*Extracts!L$177</f>
        <v>3312242.4095999999</v>
      </c>
      <c r="M268" s="624">
        <f>M261*Extracts!M$177</f>
        <v>3378487.2577919997</v>
      </c>
      <c r="N268" s="624">
        <f>N261*Extracts!N$177</f>
        <v>3446057.0029478399</v>
      </c>
      <c r="O268" s="624">
        <f>O261*Extracts!O$177</f>
        <v>3514978.1430067969</v>
      </c>
      <c r="P268" s="624">
        <f>P261*Extracts!P$177</f>
        <v>3585277.7058669329</v>
      </c>
      <c r="Q268" s="624">
        <f>Q261*Extracts!Q$177</f>
        <v>3656983.2599842716</v>
      </c>
      <c r="R268" s="624">
        <f>R261*Extracts!R$177</f>
        <v>3730122.925183957</v>
      </c>
      <c r="S268" s="624">
        <f>S261*Extracts!S$177</f>
        <v>3804725.3836876363</v>
      </c>
      <c r="T268" s="624">
        <f>T261*Extracts!T$177</f>
        <v>3880819.8913613893</v>
      </c>
      <c r="U268" s="624">
        <f>U261*Extracts!U$177</f>
        <v>3958436.2891886174</v>
      </c>
      <c r="V268" s="624">
        <f>V261*Extracts!V$177</f>
        <v>4037605.0149723897</v>
      </c>
      <c r="W268" s="624">
        <f>W261*Extracts!W$177</f>
        <v>4118357.1152718375</v>
      </c>
      <c r="X268" s="624">
        <f>X261*Extracts!X$177</f>
        <v>4200724.257577274</v>
      </c>
      <c r="Y268" s="624">
        <f>Y261*Extracts!Y$177</f>
        <v>4284738.7427288191</v>
      </c>
      <c r="Z268" s="624">
        <f>Z261*Extracts!Z$177</f>
        <v>4370433.5175833954</v>
      </c>
      <c r="AA268" s="624">
        <f>AA261*Extracts!AA$177</f>
        <v>4457842.1879350636</v>
      </c>
    </row>
    <row r="269" spans="1:27" s="620" customFormat="1" hidden="1" x14ac:dyDescent="0.45">
      <c r="A269" s="803"/>
      <c r="B269" s="797"/>
      <c r="C269" s="797"/>
      <c r="D269" s="797"/>
      <c r="E269" s="804"/>
      <c r="F269" s="805"/>
      <c r="G269" s="819" t="s">
        <v>22</v>
      </c>
      <c r="H269" s="819" t="s">
        <v>22</v>
      </c>
      <c r="I269" s="819" t="s">
        <v>22</v>
      </c>
      <c r="J269" s="819" t="s">
        <v>22</v>
      </c>
      <c r="K269" s="820" t="s">
        <v>22</v>
      </c>
      <c r="L269" s="569" t="s">
        <v>22</v>
      </c>
      <c r="M269" s="569" t="s">
        <v>22</v>
      </c>
      <c r="N269" s="569" t="s">
        <v>22</v>
      </c>
      <c r="O269" s="569" t="s">
        <v>22</v>
      </c>
      <c r="P269" s="569" t="s">
        <v>22</v>
      </c>
      <c r="Q269" s="569" t="s">
        <v>22</v>
      </c>
      <c r="R269" s="569" t="s">
        <v>22</v>
      </c>
      <c r="S269" s="569" t="s">
        <v>22</v>
      </c>
      <c r="T269" s="569" t="s">
        <v>22</v>
      </c>
      <c r="U269" s="569" t="s">
        <v>22</v>
      </c>
      <c r="V269" s="569" t="s">
        <v>22</v>
      </c>
      <c r="W269" s="569" t="s">
        <v>22</v>
      </c>
      <c r="X269" s="569" t="s">
        <v>22</v>
      </c>
      <c r="Y269" s="569" t="s">
        <v>22</v>
      </c>
      <c r="Z269" s="569" t="s">
        <v>22</v>
      </c>
      <c r="AA269" s="569" t="s">
        <v>22</v>
      </c>
    </row>
    <row r="270" spans="1:27" s="620" customFormat="1" x14ac:dyDescent="0.45">
      <c r="A270" s="803"/>
      <c r="B270" s="797"/>
      <c r="C270" s="797"/>
      <c r="D270" s="797" t="s">
        <v>527</v>
      </c>
      <c r="E270" s="804" t="s">
        <v>806</v>
      </c>
      <c r="F270" s="805"/>
      <c r="G270" s="837">
        <f t="shared" ref="G270:AA270" si="40">SUM(G263:G268)</f>
        <v>616000</v>
      </c>
      <c r="H270" s="837">
        <f t="shared" si="40"/>
        <v>4018800</v>
      </c>
      <c r="I270" s="837">
        <f t="shared" si="40"/>
        <v>4099176</v>
      </c>
      <c r="J270" s="837">
        <f t="shared" si="40"/>
        <v>4181159.52</v>
      </c>
      <c r="K270" s="838">
        <f t="shared" si="40"/>
        <v>4264782.7104000002</v>
      </c>
      <c r="L270" s="623">
        <f t="shared" si="40"/>
        <v>4350078.364608</v>
      </c>
      <c r="M270" s="623">
        <f t="shared" si="40"/>
        <v>4437079.9319001604</v>
      </c>
      <c r="N270" s="623">
        <f t="shared" si="40"/>
        <v>4525821.5305381631</v>
      </c>
      <c r="O270" s="623">
        <f t="shared" si="40"/>
        <v>4616337.961148927</v>
      </c>
      <c r="P270" s="623">
        <f t="shared" si="40"/>
        <v>4708664.7203719057</v>
      </c>
      <c r="Q270" s="623">
        <f t="shared" si="40"/>
        <v>4802838.0147793433</v>
      </c>
      <c r="R270" s="623">
        <f t="shared" si="40"/>
        <v>4898894.7750749309</v>
      </c>
      <c r="S270" s="623">
        <f t="shared" si="40"/>
        <v>4996872.670576429</v>
      </c>
      <c r="T270" s="623">
        <f t="shared" si="40"/>
        <v>5096810.1239879578</v>
      </c>
      <c r="U270" s="623">
        <f t="shared" si="40"/>
        <v>5198746.3264677171</v>
      </c>
      <c r="V270" s="623">
        <f t="shared" si="40"/>
        <v>5302721.2529970724</v>
      </c>
      <c r="W270" s="623">
        <f t="shared" si="40"/>
        <v>5408775.6780570131</v>
      </c>
      <c r="X270" s="623">
        <f t="shared" si="40"/>
        <v>5516951.1916181538</v>
      </c>
      <c r="Y270" s="623">
        <f t="shared" si="40"/>
        <v>5627290.215450516</v>
      </c>
      <c r="Z270" s="623">
        <f t="shared" si="40"/>
        <v>5739836.0197595265</v>
      </c>
      <c r="AA270" s="623">
        <f t="shared" si="40"/>
        <v>5854632.7401547171</v>
      </c>
    </row>
    <row r="271" spans="1:27" x14ac:dyDescent="0.45">
      <c r="A271" s="792"/>
      <c r="B271" s="705"/>
      <c r="C271" s="705"/>
      <c r="D271" s="707"/>
      <c r="E271" s="793"/>
      <c r="F271" s="704"/>
      <c r="G271" s="819" t="s">
        <v>22</v>
      </c>
      <c r="H271" s="819" t="s">
        <v>22</v>
      </c>
      <c r="I271" s="819" t="s">
        <v>22</v>
      </c>
      <c r="J271" s="819" t="s">
        <v>22</v>
      </c>
      <c r="K271" s="820" t="s">
        <v>22</v>
      </c>
      <c r="L271" s="569" t="s">
        <v>22</v>
      </c>
      <c r="M271" s="569" t="s">
        <v>22</v>
      </c>
      <c r="N271" s="569" t="s">
        <v>22</v>
      </c>
      <c r="O271" s="569" t="s">
        <v>22</v>
      </c>
      <c r="P271" s="569" t="s">
        <v>22</v>
      </c>
      <c r="Q271" s="569" t="s">
        <v>22</v>
      </c>
      <c r="R271" s="569" t="s">
        <v>22</v>
      </c>
      <c r="S271" s="569" t="s">
        <v>22</v>
      </c>
      <c r="T271" s="569" t="s">
        <v>22</v>
      </c>
      <c r="U271" s="569" t="s">
        <v>22</v>
      </c>
      <c r="V271" s="569" t="s">
        <v>22</v>
      </c>
      <c r="W271" s="569" t="s">
        <v>22</v>
      </c>
      <c r="X271" s="569" t="s">
        <v>22</v>
      </c>
      <c r="Y271" s="569" t="s">
        <v>22</v>
      </c>
      <c r="Z271" s="569" t="s">
        <v>22</v>
      </c>
      <c r="AA271" s="569" t="s">
        <v>22</v>
      </c>
    </row>
    <row r="272" spans="1:27" s="552" customFormat="1" x14ac:dyDescent="0.45">
      <c r="A272" s="810"/>
      <c r="B272" s="705"/>
      <c r="C272" s="705"/>
      <c r="D272" s="705" t="s">
        <v>800</v>
      </c>
      <c r="E272" s="706" t="s">
        <v>806</v>
      </c>
      <c r="F272" s="811"/>
      <c r="G272" s="821">
        <f>G270+G252+G235</f>
        <v>2128800</v>
      </c>
      <c r="H272" s="821">
        <f t="shared" ref="H272:AA272" si="41">H270+H252+H235</f>
        <v>5953536</v>
      </c>
      <c r="I272" s="821">
        <f t="shared" si="41"/>
        <v>6072606.7200000007</v>
      </c>
      <c r="J272" s="821">
        <f t="shared" si="41"/>
        <v>6194058.8544000005</v>
      </c>
      <c r="K272" s="822">
        <f t="shared" si="41"/>
        <v>6317940.0314880004</v>
      </c>
      <c r="L272" s="570">
        <f t="shared" si="41"/>
        <v>6444298.8321177606</v>
      </c>
      <c r="M272" s="570">
        <f t="shared" si="41"/>
        <v>6573184.8087601159</v>
      </c>
      <c r="N272" s="570">
        <f t="shared" si="41"/>
        <v>6704648.5049353177</v>
      </c>
      <c r="O272" s="570">
        <f t="shared" si="41"/>
        <v>6838741.4750340246</v>
      </c>
      <c r="P272" s="570">
        <f t="shared" si="41"/>
        <v>6975516.3045347054</v>
      </c>
      <c r="Q272" s="570">
        <f t="shared" si="41"/>
        <v>7115026.6306253988</v>
      </c>
      <c r="R272" s="570">
        <f t="shared" si="41"/>
        <v>7257327.1632379079</v>
      </c>
      <c r="S272" s="570">
        <f t="shared" si="41"/>
        <v>7402473.7065026658</v>
      </c>
      <c r="T272" s="570">
        <f t="shared" si="41"/>
        <v>7550523.1806327188</v>
      </c>
      <c r="U272" s="570">
        <f t="shared" si="41"/>
        <v>7701533.644245374</v>
      </c>
      <c r="V272" s="570">
        <f t="shared" si="41"/>
        <v>7855564.3171302825</v>
      </c>
      <c r="W272" s="570">
        <f t="shared" si="41"/>
        <v>8012675.6034728875</v>
      </c>
      <c r="X272" s="570">
        <f t="shared" si="41"/>
        <v>8172929.1155423466</v>
      </c>
      <c r="Y272" s="570">
        <f t="shared" si="41"/>
        <v>8336387.6978531908</v>
      </c>
      <c r="Z272" s="570">
        <f t="shared" si="41"/>
        <v>8503115.4518102556</v>
      </c>
      <c r="AA272" s="570">
        <f t="shared" si="41"/>
        <v>8673177.7608464602</v>
      </c>
    </row>
    <row r="273" spans="1:27" s="552" customFormat="1" x14ac:dyDescent="0.45">
      <c r="A273" s="810"/>
      <c r="B273" s="705"/>
      <c r="C273" s="705"/>
      <c r="D273" s="705"/>
      <c r="E273" s="706"/>
      <c r="F273" s="811"/>
      <c r="G273" s="821"/>
      <c r="H273" s="821"/>
      <c r="I273" s="821"/>
      <c r="J273" s="821"/>
      <c r="K273" s="822"/>
      <c r="L273" s="570"/>
      <c r="M273" s="570"/>
      <c r="N273" s="570"/>
      <c r="O273" s="570"/>
      <c r="P273" s="570"/>
      <c r="Q273" s="570"/>
      <c r="R273" s="570"/>
      <c r="S273" s="570"/>
      <c r="T273" s="570"/>
      <c r="U273" s="570"/>
      <c r="V273" s="570"/>
      <c r="W273" s="570"/>
      <c r="X273" s="570"/>
      <c r="Y273" s="570"/>
      <c r="Z273" s="570"/>
      <c r="AA273" s="570"/>
    </row>
    <row r="274" spans="1:27" x14ac:dyDescent="0.45">
      <c r="A274" s="792"/>
      <c r="B274" s="705"/>
      <c r="C274" s="705"/>
      <c r="D274" s="707" t="s">
        <v>2</v>
      </c>
      <c r="E274" s="793" t="s">
        <v>806</v>
      </c>
      <c r="F274" s="704"/>
      <c r="G274" s="839">
        <f t="shared" ref="G274:AA274" si="42">G272</f>
        <v>2128800</v>
      </c>
      <c r="H274" s="839">
        <f t="shared" si="42"/>
        <v>5953536</v>
      </c>
      <c r="I274" s="839">
        <f t="shared" si="42"/>
        <v>6072606.7200000007</v>
      </c>
      <c r="J274" s="839">
        <f t="shared" si="42"/>
        <v>6194058.8544000005</v>
      </c>
      <c r="K274" s="840">
        <f t="shared" si="42"/>
        <v>6317940.0314880004</v>
      </c>
      <c r="L274" s="572">
        <f t="shared" si="42"/>
        <v>6444298.8321177606</v>
      </c>
      <c r="M274" s="572">
        <f t="shared" si="42"/>
        <v>6573184.8087601159</v>
      </c>
      <c r="N274" s="572">
        <f t="shared" si="42"/>
        <v>6704648.5049353177</v>
      </c>
      <c r="O274" s="572">
        <f t="shared" si="42"/>
        <v>6838741.4750340246</v>
      </c>
      <c r="P274" s="572">
        <f t="shared" si="42"/>
        <v>6975516.3045347054</v>
      </c>
      <c r="Q274" s="572">
        <f t="shared" si="42"/>
        <v>7115026.6306253988</v>
      </c>
      <c r="R274" s="572">
        <f t="shared" si="42"/>
        <v>7257327.1632379079</v>
      </c>
      <c r="S274" s="572">
        <f t="shared" si="42"/>
        <v>7402473.7065026658</v>
      </c>
      <c r="T274" s="572">
        <f t="shared" si="42"/>
        <v>7550523.1806327188</v>
      </c>
      <c r="U274" s="572">
        <f t="shared" si="42"/>
        <v>7701533.644245374</v>
      </c>
      <c r="V274" s="572">
        <f t="shared" si="42"/>
        <v>7855564.3171302825</v>
      </c>
      <c r="W274" s="572">
        <f t="shared" si="42"/>
        <v>8012675.6034728875</v>
      </c>
      <c r="X274" s="572">
        <f t="shared" si="42"/>
        <v>8172929.1155423466</v>
      </c>
      <c r="Y274" s="572">
        <f t="shared" si="42"/>
        <v>8336387.6978531908</v>
      </c>
      <c r="Z274" s="572">
        <f t="shared" si="42"/>
        <v>8503115.4518102556</v>
      </c>
      <c r="AA274" s="572">
        <f t="shared" si="42"/>
        <v>8673177.7608464602</v>
      </c>
    </row>
    <row r="275" spans="1:27" x14ac:dyDescent="0.45">
      <c r="A275" s="792"/>
      <c r="B275" s="705"/>
      <c r="C275" s="705"/>
      <c r="D275" s="707" t="s">
        <v>1</v>
      </c>
      <c r="E275" s="793" t="s">
        <v>806</v>
      </c>
      <c r="F275" s="704"/>
      <c r="G275" s="839">
        <f t="shared" ref="G275:AA275" ca="1" si="43">G163</f>
        <v>259867.19836090453</v>
      </c>
      <c r="H275" s="839">
        <f t="shared" ca="1" si="43"/>
        <v>259867.19836090453</v>
      </c>
      <c r="I275" s="839">
        <f t="shared" ca="1" si="43"/>
        <v>259867.19836090453</v>
      </c>
      <c r="J275" s="839">
        <f t="shared" ca="1" si="43"/>
        <v>259867.19836090453</v>
      </c>
      <c r="K275" s="840">
        <f t="shared" ca="1" si="43"/>
        <v>259867.19836090453</v>
      </c>
      <c r="L275" s="572">
        <f t="shared" ca="1" si="43"/>
        <v>259867.19836090453</v>
      </c>
      <c r="M275" s="572">
        <f t="shared" ca="1" si="43"/>
        <v>259867.19836090453</v>
      </c>
      <c r="N275" s="572">
        <f t="shared" ca="1" si="43"/>
        <v>259867.19836090453</v>
      </c>
      <c r="O275" s="572">
        <f t="shared" ca="1" si="43"/>
        <v>259867.19836090453</v>
      </c>
      <c r="P275" s="572">
        <f t="shared" ca="1" si="43"/>
        <v>259867.19836090453</v>
      </c>
      <c r="Q275" s="572">
        <f t="shared" ca="1" si="43"/>
        <v>259867.19836090453</v>
      </c>
      <c r="R275" s="572">
        <f t="shared" ca="1" si="43"/>
        <v>259867.19836090453</v>
      </c>
      <c r="S275" s="572">
        <f t="shared" ca="1" si="43"/>
        <v>259867.19836090453</v>
      </c>
      <c r="T275" s="572">
        <f t="shared" ca="1" si="43"/>
        <v>259867.19836090453</v>
      </c>
      <c r="U275" s="572">
        <f t="shared" ca="1" si="43"/>
        <v>259867.19836090453</v>
      </c>
      <c r="V275" s="572">
        <f t="shared" ca="1" si="43"/>
        <v>259867.19836090453</v>
      </c>
      <c r="W275" s="572">
        <f t="shared" ca="1" si="43"/>
        <v>259867.19836090453</v>
      </c>
      <c r="X275" s="572">
        <f t="shared" ca="1" si="43"/>
        <v>259867.19836090453</v>
      </c>
      <c r="Y275" s="572">
        <f t="shared" ca="1" si="43"/>
        <v>259867.19836090453</v>
      </c>
      <c r="Z275" s="572">
        <f t="shared" ca="1" si="43"/>
        <v>259867.19836090453</v>
      </c>
      <c r="AA275" s="572">
        <f t="shared" ca="1" si="43"/>
        <v>259867.19836090453</v>
      </c>
    </row>
    <row r="276" spans="1:27" hidden="1" x14ac:dyDescent="0.45">
      <c r="A276" s="792"/>
      <c r="B276" s="705"/>
      <c r="C276" s="705"/>
      <c r="D276" s="707" t="s">
        <v>488</v>
      </c>
      <c r="E276" s="793" t="s">
        <v>806</v>
      </c>
      <c r="F276" s="704"/>
      <c r="G276" s="839">
        <f>-('Financing Template'!G146+'Financing Template'!G166)</f>
        <v>0</v>
      </c>
      <c r="H276" s="839">
        <f>-('Financing Template'!H146+'Financing Template'!H166)</f>
        <v>0</v>
      </c>
      <c r="I276" s="839">
        <f>-('Financing Template'!I146+'Financing Template'!I166)</f>
        <v>0</v>
      </c>
      <c r="J276" s="839">
        <f>-('Financing Template'!J146+'Financing Template'!J166)</f>
        <v>0</v>
      </c>
      <c r="K276" s="840">
        <f>-('Financing Template'!K146+'Financing Template'!K166)</f>
        <v>0</v>
      </c>
      <c r="L276" s="572">
        <f>-('Financing Template'!L146+'Financing Template'!L166)</f>
        <v>0</v>
      </c>
      <c r="M276" s="572">
        <f>-('Financing Template'!M146+'Financing Template'!M166)</f>
        <v>0</v>
      </c>
      <c r="N276" s="572">
        <f>-('Financing Template'!N146+'Financing Template'!N166)</f>
        <v>0</v>
      </c>
      <c r="O276" s="572">
        <f>-('Financing Template'!O146+'Financing Template'!O166)</f>
        <v>0</v>
      </c>
      <c r="P276" s="572">
        <f>-('Financing Template'!P146+'Financing Template'!P166)</f>
        <v>0</v>
      </c>
      <c r="Q276" s="572">
        <f>-('Financing Template'!Q146+'Financing Template'!Q166)</f>
        <v>0</v>
      </c>
      <c r="R276" s="572">
        <f>-('Financing Template'!R146+'Financing Template'!R166)</f>
        <v>0</v>
      </c>
      <c r="S276" s="572">
        <f>-('Financing Template'!S146+'Financing Template'!S166)</f>
        <v>0</v>
      </c>
      <c r="T276" s="572">
        <f>-('Financing Template'!T146+'Financing Template'!T166)</f>
        <v>0</v>
      </c>
      <c r="U276" s="572">
        <f>-('Financing Template'!U146+'Financing Template'!U166)</f>
        <v>0</v>
      </c>
      <c r="V276" s="572">
        <f>-('Financing Template'!V146+'Financing Template'!V166)</f>
        <v>0</v>
      </c>
      <c r="W276" s="572">
        <f>-('Financing Template'!W146+'Financing Template'!W166)</f>
        <v>0</v>
      </c>
      <c r="X276" s="572">
        <f>-('Financing Template'!X146+'Financing Template'!X166)</f>
        <v>0</v>
      </c>
      <c r="Y276" s="572">
        <f>-('Financing Template'!Y146+'Financing Template'!Y166)</f>
        <v>0</v>
      </c>
      <c r="Z276" s="572">
        <f>-('Financing Template'!Z146+'Financing Template'!Z166)</f>
        <v>0</v>
      </c>
      <c r="AA276" s="572">
        <f>-('Financing Template'!AA146+'Financing Template'!AA166)</f>
        <v>0</v>
      </c>
    </row>
    <row r="277" spans="1:27" hidden="1" x14ac:dyDescent="0.45">
      <c r="A277" s="792"/>
      <c r="B277" s="705"/>
      <c r="C277" s="705"/>
      <c r="D277" s="707" t="s">
        <v>489</v>
      </c>
      <c r="E277" s="793" t="s">
        <v>806</v>
      </c>
      <c r="F277" s="704"/>
      <c r="G277" s="839"/>
      <c r="H277" s="839"/>
      <c r="I277" s="839"/>
      <c r="J277" s="839"/>
      <c r="K277" s="840"/>
      <c r="L277" s="572"/>
      <c r="M277" s="572"/>
      <c r="N277" s="572"/>
      <c r="O277" s="572"/>
      <c r="P277" s="572"/>
      <c r="Q277" s="572"/>
      <c r="R277" s="572"/>
      <c r="S277" s="572"/>
      <c r="T277" s="572"/>
      <c r="U277" s="572"/>
      <c r="V277" s="572"/>
      <c r="W277" s="572"/>
      <c r="X277" s="572"/>
      <c r="Y277" s="572"/>
      <c r="Z277" s="572"/>
      <c r="AA277" s="572"/>
    </row>
    <row r="278" spans="1:27" x14ac:dyDescent="0.45">
      <c r="A278" s="792"/>
      <c r="B278" s="705"/>
      <c r="C278" s="705"/>
      <c r="D278" s="707"/>
      <c r="E278" s="783"/>
      <c r="F278" s="704"/>
      <c r="G278" s="794" t="s">
        <v>22</v>
      </c>
      <c r="H278" s="794" t="s">
        <v>22</v>
      </c>
      <c r="I278" s="794" t="s">
        <v>22</v>
      </c>
      <c r="J278" s="794" t="s">
        <v>22</v>
      </c>
      <c r="K278" s="795" t="s">
        <v>22</v>
      </c>
      <c r="L278" s="566" t="s">
        <v>22</v>
      </c>
      <c r="M278" s="566" t="s">
        <v>22</v>
      </c>
      <c r="N278" s="566" t="s">
        <v>22</v>
      </c>
      <c r="O278" s="566" t="s">
        <v>22</v>
      </c>
      <c r="P278" s="566" t="s">
        <v>22</v>
      </c>
      <c r="Q278" s="566" t="s">
        <v>22</v>
      </c>
      <c r="R278" s="566" t="s">
        <v>22</v>
      </c>
      <c r="S278" s="566" t="s">
        <v>22</v>
      </c>
      <c r="T278" s="566" t="s">
        <v>22</v>
      </c>
      <c r="U278" s="566" t="s">
        <v>22</v>
      </c>
      <c r="V278" s="566" t="s">
        <v>22</v>
      </c>
      <c r="W278" s="566" t="s">
        <v>22</v>
      </c>
      <c r="X278" s="566" t="s">
        <v>22</v>
      </c>
      <c r="Y278" s="566" t="s">
        <v>22</v>
      </c>
      <c r="Z278" s="566" t="s">
        <v>22</v>
      </c>
      <c r="AA278" s="566" t="s">
        <v>22</v>
      </c>
    </row>
    <row r="279" spans="1:27" s="552" customFormat="1" x14ac:dyDescent="0.45">
      <c r="A279" s="810"/>
      <c r="B279" s="705"/>
      <c r="C279" s="705"/>
      <c r="D279" s="705" t="s">
        <v>3</v>
      </c>
      <c r="E279" s="706" t="s">
        <v>806</v>
      </c>
      <c r="F279" s="811"/>
      <c r="G279" s="821">
        <f t="shared" ref="G279:AA279" ca="1" si="44">SUM(G274:G278)</f>
        <v>2388667.1983609046</v>
      </c>
      <c r="H279" s="821">
        <f t="shared" ca="1" si="44"/>
        <v>6213403.1983609041</v>
      </c>
      <c r="I279" s="821">
        <f t="shared" ca="1" si="44"/>
        <v>6332473.9183609048</v>
      </c>
      <c r="J279" s="821">
        <f t="shared" ca="1" si="44"/>
        <v>6453926.0527609047</v>
      </c>
      <c r="K279" s="822">
        <f t="shared" ca="1" si="44"/>
        <v>6577807.2298489045</v>
      </c>
      <c r="L279" s="570">
        <f t="shared" ca="1" si="44"/>
        <v>6704166.0304786647</v>
      </c>
      <c r="M279" s="570">
        <f t="shared" ca="1" si="44"/>
        <v>6833052.00712102</v>
      </c>
      <c r="N279" s="570">
        <f t="shared" ca="1" si="44"/>
        <v>6964515.7032962218</v>
      </c>
      <c r="O279" s="570">
        <f t="shared" ca="1" si="44"/>
        <v>7098608.6733949287</v>
      </c>
      <c r="P279" s="570">
        <f t="shared" ca="1" si="44"/>
        <v>7235383.5028956095</v>
      </c>
      <c r="Q279" s="570">
        <f t="shared" ca="1" si="44"/>
        <v>7374893.8289863029</v>
      </c>
      <c r="R279" s="570">
        <f t="shared" ca="1" si="44"/>
        <v>7517194.361598812</v>
      </c>
      <c r="S279" s="570">
        <f t="shared" ca="1" si="44"/>
        <v>7662340.9048635699</v>
      </c>
      <c r="T279" s="570">
        <f t="shared" ca="1" si="44"/>
        <v>7810390.378993623</v>
      </c>
      <c r="U279" s="570">
        <f t="shared" ca="1" si="44"/>
        <v>7961400.8426062781</v>
      </c>
      <c r="V279" s="570">
        <f t="shared" ca="1" si="44"/>
        <v>8115431.5154911866</v>
      </c>
      <c r="W279" s="570">
        <f t="shared" ca="1" si="44"/>
        <v>8272542.8018337917</v>
      </c>
      <c r="X279" s="570">
        <f t="shared" ca="1" si="44"/>
        <v>8432796.3139032517</v>
      </c>
      <c r="Y279" s="570">
        <f t="shared" ca="1" si="44"/>
        <v>8596254.8962140959</v>
      </c>
      <c r="Z279" s="570">
        <f t="shared" ca="1" si="44"/>
        <v>8762982.6501711607</v>
      </c>
      <c r="AA279" s="570">
        <f t="shared" ca="1" si="44"/>
        <v>8933044.9592073653</v>
      </c>
    </row>
    <row r="280" spans="1:27" x14ac:dyDescent="0.45">
      <c r="A280" s="792"/>
      <c r="B280" s="705"/>
      <c r="C280" s="705"/>
      <c r="D280" s="707"/>
      <c r="E280" s="783"/>
      <c r="F280" s="707"/>
      <c r="G280" s="841"/>
      <c r="H280" s="841"/>
      <c r="I280" s="841"/>
      <c r="J280" s="841"/>
      <c r="K280" s="842"/>
      <c r="L280" s="632"/>
      <c r="M280" s="632"/>
      <c r="N280" s="632"/>
      <c r="O280" s="632"/>
      <c r="P280" s="632"/>
      <c r="Q280" s="632"/>
      <c r="R280" s="632"/>
      <c r="S280" s="632"/>
      <c r="T280" s="632"/>
      <c r="U280" s="632"/>
      <c r="V280" s="632"/>
      <c r="W280" s="632"/>
      <c r="X280" s="632"/>
      <c r="Y280" s="632"/>
      <c r="Z280" s="632"/>
      <c r="AA280" s="632"/>
    </row>
    <row r="281" spans="1:27" s="552" customFormat="1" x14ac:dyDescent="0.45">
      <c r="A281" s="810"/>
      <c r="B281" s="705"/>
      <c r="C281" s="705"/>
      <c r="D281" s="705" t="s">
        <v>5</v>
      </c>
      <c r="E281" s="706" t="s">
        <v>806</v>
      </c>
      <c r="F281" s="811"/>
      <c r="G281" s="708">
        <f t="shared" ref="G281:AA281" ca="1" si="45">G233-G279</f>
        <v>-2388667.1983609046</v>
      </c>
      <c r="H281" s="708">
        <f t="shared" ca="1" si="45"/>
        <v>2844196.8016390959</v>
      </c>
      <c r="I281" s="708">
        <f t="shared" ca="1" si="45"/>
        <v>2906278.0816390952</v>
      </c>
      <c r="J281" s="708">
        <f t="shared" ca="1" si="45"/>
        <v>2969600.9872390963</v>
      </c>
      <c r="K281" s="843">
        <f t="shared" ca="1" si="45"/>
        <v>3034190.350951096</v>
      </c>
      <c r="L281" s="633">
        <f t="shared" ca="1" si="45"/>
        <v>3100071.5019373344</v>
      </c>
      <c r="M281" s="633">
        <f t="shared" ca="1" si="45"/>
        <v>3167270.2759433007</v>
      </c>
      <c r="N281" s="633">
        <f t="shared" ca="1" si="45"/>
        <v>3235813.0254293866</v>
      </c>
      <c r="O281" s="633">
        <f t="shared" ca="1" si="45"/>
        <v>3305726.6299051894</v>
      </c>
      <c r="P281" s="633">
        <f t="shared" ca="1" si="45"/>
        <v>3377038.5064705135</v>
      </c>
      <c r="Q281" s="633">
        <f t="shared" ca="1" si="45"/>
        <v>3449776.620567142</v>
      </c>
      <c r="R281" s="633">
        <f t="shared" ca="1" si="45"/>
        <v>3523969.4969457034</v>
      </c>
      <c r="S281" s="633">
        <f t="shared" ca="1" si="45"/>
        <v>3599646.2308518365</v>
      </c>
      <c r="T281" s="633">
        <f t="shared" ca="1" si="45"/>
        <v>3676836.4994360898</v>
      </c>
      <c r="U281" s="633">
        <f t="shared" ca="1" si="45"/>
        <v>3755570.5733920299</v>
      </c>
      <c r="V281" s="633">
        <f t="shared" ca="1" si="45"/>
        <v>3835879.3288270878</v>
      </c>
      <c r="W281" s="633">
        <f t="shared" ca="1" si="45"/>
        <v>3917794.2593708467</v>
      </c>
      <c r="X281" s="633">
        <f t="shared" ca="1" si="45"/>
        <v>4001347.4885254819</v>
      </c>
      <c r="Y281" s="633">
        <f t="shared" ca="1" si="45"/>
        <v>4086571.7822632138</v>
      </c>
      <c r="Z281" s="633">
        <f t="shared" ca="1" si="45"/>
        <v>4173500.5618756935</v>
      </c>
      <c r="AA281" s="633">
        <f t="shared" ca="1" si="45"/>
        <v>4262167.9170804285</v>
      </c>
    </row>
    <row r="282" spans="1:27" x14ac:dyDescent="0.45">
      <c r="A282" s="792"/>
      <c r="B282" s="705"/>
      <c r="C282" s="705"/>
      <c r="D282" s="707"/>
      <c r="E282" s="793"/>
      <c r="F282" s="704"/>
      <c r="G282" s="841"/>
      <c r="H282" s="841"/>
      <c r="I282" s="841"/>
      <c r="J282" s="841"/>
      <c r="K282" s="842"/>
      <c r="L282" s="632"/>
      <c r="M282" s="632"/>
      <c r="N282" s="632"/>
      <c r="O282" s="632"/>
      <c r="P282" s="632"/>
      <c r="Q282" s="632"/>
      <c r="R282" s="632"/>
      <c r="S282" s="632"/>
      <c r="T282" s="632"/>
      <c r="U282" s="632"/>
      <c r="V282" s="632"/>
      <c r="W282" s="632"/>
      <c r="X282" s="632"/>
      <c r="Y282" s="632"/>
      <c r="Z282" s="632"/>
      <c r="AA282" s="632"/>
    </row>
    <row r="283" spans="1:27" x14ac:dyDescent="0.45">
      <c r="A283" s="792"/>
      <c r="B283" s="705"/>
      <c r="C283" s="705"/>
      <c r="D283" s="707" t="s">
        <v>26</v>
      </c>
      <c r="E283" s="793" t="s">
        <v>806</v>
      </c>
      <c r="F283" s="704"/>
      <c r="G283" s="841">
        <f ca="1">G358+'Financing Template'!G153+'Financing Template'!G173+'Financing Template'!G193+'Financing Template'!G211+'Financing Template'!G229+'Financing Template'!G247+'Financing Template'!G274</f>
        <v>-17381.786068104375</v>
      </c>
      <c r="H283" s="841">
        <f ca="1">H358+'Financing Template'!H153+'Financing Template'!H173+'Financing Template'!H193+'Financing Template'!H211+'Financing Template'!H229+'Financing Template'!H247+'Financing Template'!H274</f>
        <v>-41969.294564926931</v>
      </c>
      <c r="I283" s="841">
        <f ca="1">I358+'Financing Template'!I153+'Financing Template'!I173+'Financing Template'!I193+'Financing Template'!I211+'Financing Template'!I229+'Financing Template'!I247+'Financing Template'!I274</f>
        <v>-121729.87498324328</v>
      </c>
      <c r="J283" s="841">
        <f ca="1">J358+'Financing Template'!J153+'Financing Template'!J173+'Financing Template'!J193+'Financing Template'!J211+'Financing Template'!J229+'Financing Template'!J247+'Financing Template'!J274</f>
        <v>-267127.68201571703</v>
      </c>
      <c r="K283" s="842">
        <f ca="1">K358+'Financing Template'!K153+'Financing Template'!K173+'Financing Template'!K193+'Financing Template'!K211+'Financing Template'!K229+'Financing Template'!K247+'Financing Template'!K274</f>
        <v>-400130.49700335029</v>
      </c>
      <c r="L283" s="632">
        <f ca="1">L358+'Financing Template'!L153+'Financing Template'!L173+'Financing Template'!L193+'Financing Template'!L211+'Financing Template'!L229+'Financing Template'!L247+'Financing Template'!L274</f>
        <v>-540901.99169758172</v>
      </c>
      <c r="M283" s="632">
        <f ca="1">M358+'Financing Template'!M153+'Financing Template'!M173+'Financing Template'!M193+'Financing Template'!M211+'Financing Template'!M229+'Financing Template'!M247+'Financing Template'!M274</f>
        <v>-689995.8060199623</v>
      </c>
      <c r="N283" s="632">
        <f ca="1">N358+'Financing Template'!N153+'Financing Template'!N173+'Financing Template'!N193+'Financing Template'!N211+'Financing Template'!N229+'Financing Template'!N247+'Financing Template'!N274</f>
        <v>-847813.26012884057</v>
      </c>
      <c r="O283" s="632">
        <f ca="1">O358+'Financing Template'!O153+'Financing Template'!O173+'Financing Template'!O193+'Financing Template'!O211+'Financing Template'!O229+'Financing Template'!O247+'Financing Template'!O274</f>
        <v>-1014772.0947508407</v>
      </c>
      <c r="P283" s="632">
        <f ca="1">P358+'Financing Template'!P153+'Financing Template'!P173+'Financing Template'!P193+'Financing Template'!P211+'Financing Template'!P229+'Financing Template'!P247+'Financing Template'!P274</f>
        <v>-1191308.6982277029</v>
      </c>
      <c r="Q283" s="632">
        <f ca="1">Q358+'Financing Template'!Q153+'Financing Template'!Q173+'Financing Template'!Q193+'Financing Template'!Q211+'Financing Template'!Q229+'Financing Template'!Q247+'Financing Template'!Q274</f>
        <v>-1377878.9288539295</v>
      </c>
      <c r="R283" s="632">
        <f ca="1">R358+'Financing Template'!R153+'Financing Template'!R173+'Financing Template'!R193+'Financing Template'!R211+'Financing Template'!R229+'Financing Template'!R247+'Financing Template'!R274</f>
        <v>-1574958.9594921169</v>
      </c>
      <c r="S283" s="632">
        <f ca="1">S358+'Financing Template'!S153+'Financing Template'!S173+'Financing Template'!S193+'Financing Template'!S211+'Financing Template'!S229+'Financing Template'!S247+'Financing Template'!S274</f>
        <v>-1783046.1582521577</v>
      </c>
      <c r="T283" s="632">
        <f ca="1">T358+'Financing Template'!T153+'Financing Template'!T173+'Financing Template'!T193+'Financing Template'!T211+'Financing Template'!T229+'Financing Template'!T247+'Financing Template'!T274</f>
        <v>-2002660.0068808573</v>
      </c>
      <c r="U283" s="632">
        <f ca="1">U358+'Financing Template'!U153+'Financing Template'!U173+'Financing Template'!U193+'Financing Template'!U211+'Financing Template'!U229+'Financing Template'!U247+'Financing Template'!U274</f>
        <v>-2234343.0584685728</v>
      </c>
      <c r="V283" s="632">
        <f ca="1">V358+'Financing Template'!V153+'Financing Template'!V173+'Financing Template'!V193+'Financing Template'!V211+'Financing Template'!V229+'Financing Template'!V247+'Financing Template'!V274</f>
        <v>-2478661.9361467524</v>
      </c>
      <c r="W283" s="632">
        <f ca="1">W358+'Financing Template'!W153+'Financing Template'!W173+'Financing Template'!W193+'Financing Template'!W211+'Financing Template'!W229+'Financing Template'!W247+'Financing Template'!W274</f>
        <v>-2736208.3745213221</v>
      </c>
      <c r="X283" s="632">
        <f ca="1">X358+'Financing Template'!X153+'Financing Template'!X173+'Financing Template'!X193+'Financing Template'!X211+'Financing Template'!X229+'Financing Template'!X247+'Financing Template'!X274</f>
        <v>-3007600.3056609649</v>
      </c>
      <c r="Y283" s="632">
        <f ca="1">Y358+'Financing Template'!Y153+'Financing Template'!Y173+'Financing Template'!Y193+'Financing Template'!Y211+'Financing Template'!Y229+'Financing Template'!Y247+'Financing Template'!Y274</f>
        <v>-3293482.991536574</v>
      </c>
      <c r="Z283" s="632">
        <f ca="1">Z358+'Financing Template'!Z153+'Financing Template'!Z173+'Financing Template'!Z193+'Financing Template'!Z211+'Financing Template'!Z229+'Financing Template'!Z247+'Financing Template'!Z274</f>
        <v>-3594530.2048886609</v>
      </c>
      <c r="AA283" s="632">
        <f ca="1">AA358+'Financing Template'!AA153+'Financing Template'!AA173+'Financing Template'!AA193+'Financing Template'!AA211+'Financing Template'!AA229+'Financing Template'!AA247+'Financing Template'!AA274</f>
        <v>-3911445.4605834461</v>
      </c>
    </row>
    <row r="284" spans="1:27" x14ac:dyDescent="0.45">
      <c r="A284" s="792"/>
      <c r="B284" s="705"/>
      <c r="C284" s="705"/>
      <c r="D284" s="707" t="s">
        <v>883</v>
      </c>
      <c r="E284" s="793" t="s">
        <v>806</v>
      </c>
      <c r="F284" s="704"/>
      <c r="G284" s="841">
        <f ca="1">IF((G281-G283)&gt;0,IF(G283&gt;0,(G281-G283)*Assumptions!$H$265,G281*Assumptions!$H$265),0)</f>
        <v>0</v>
      </c>
      <c r="H284" s="841">
        <f ca="1">IF((H281-H283)&gt;0,IF(H283&gt;0,(H281-H283)*Assumptions!$H$265,H281*Assumptions!$H$265),0)</f>
        <v>284419.68016390962</v>
      </c>
      <c r="I284" s="841">
        <f ca="1">IF((I281-I283)&gt;0,IF(I283&gt;0,(I281-I283)*Assumptions!$H$265,I281*Assumptions!$H$265),0)</f>
        <v>290627.80816390953</v>
      </c>
      <c r="J284" s="841">
        <f ca="1">IF((J281-J283)&gt;0,IF(J283&gt;0,(J281-J283)*Assumptions!$H$265,J281*Assumptions!$H$265),0)</f>
        <v>296960.09872390964</v>
      </c>
      <c r="K284" s="842">
        <f ca="1">IF((K281-K283)&gt;0,IF(K283&gt;0,(K281-K283)*Assumptions!$H$265,K281*Assumptions!$H$265),0)</f>
        <v>303419.0350951096</v>
      </c>
      <c r="L284" s="632">
        <f ca="1">IF((L281-L283)&gt;0,IF(L283&gt;0,(L281-L283)*Assumptions!$H$265,L281*Assumptions!$H$265),0)</f>
        <v>310007.15019373345</v>
      </c>
      <c r="M284" s="632">
        <f ca="1">IF((M281-M283)&gt;0,IF(M283&gt;0,(M281-M283)*Assumptions!$H$265,M281*Assumptions!$H$265),0)</f>
        <v>316727.02759433008</v>
      </c>
      <c r="N284" s="632">
        <f ca="1">IF((N281-N283)&gt;0,IF(N283&gt;0,(N281-N283)*Assumptions!$H$265,N281*Assumptions!$H$265),0)</f>
        <v>323581.30254293868</v>
      </c>
      <c r="O284" s="632">
        <f ca="1">IF((O281-O283)&gt;0,IF(O283&gt;0,(O281-O283)*Assumptions!$H$265,O281*Assumptions!$H$265),0)</f>
        <v>330572.66299051896</v>
      </c>
      <c r="P284" s="632">
        <f ca="1">IF((P281-P283)&gt;0,IF(P283&gt;0,(P281-P283)*Assumptions!$H$265,P281*Assumptions!$H$265),0)</f>
        <v>337703.85064705135</v>
      </c>
      <c r="Q284" s="632">
        <f ca="1">IF((Q281-Q283)&gt;0,IF(Q283&gt;0,(Q281-Q283)*Assumptions!$H$265,Q281*Assumptions!$H$265),0)</f>
        <v>344977.66205671424</v>
      </c>
      <c r="R284" s="632">
        <f ca="1">IF((R281-R283)&gt;0,IF(R283&gt;0,(R281-R283)*Assumptions!$H$265,R281*Assumptions!$H$265),0)</f>
        <v>352396.94969457039</v>
      </c>
      <c r="S284" s="632">
        <f ca="1">IF((S281-S283)&gt;0,IF(S283&gt;0,(S281-S283)*Assumptions!$H$265,S281*Assumptions!$H$265),0)</f>
        <v>359964.62308518367</v>
      </c>
      <c r="T284" s="632">
        <f ca="1">IF((T281-T283)&gt;0,IF(T283&gt;0,(T281-T283)*Assumptions!$H$265,T281*Assumptions!$H$265),0)</f>
        <v>367683.64994360902</v>
      </c>
      <c r="U284" s="632">
        <f ca="1">IF((U281-U283)&gt;0,IF(U283&gt;0,(U281-U283)*Assumptions!$H$265,U281*Assumptions!$H$265),0)</f>
        <v>375557.05733920302</v>
      </c>
      <c r="V284" s="632">
        <f ca="1">IF((V281-V283)&gt;0,IF(V283&gt;0,(V281-V283)*Assumptions!$H$265,V281*Assumptions!$H$265),0)</f>
        <v>383587.93288270879</v>
      </c>
      <c r="W284" s="632">
        <f ca="1">IF((W281-W283)&gt;0,IF(W283&gt;0,(W281-W283)*Assumptions!$H$265,W281*Assumptions!$H$265),0)</f>
        <v>391779.42593708471</v>
      </c>
      <c r="X284" s="632">
        <f ca="1">IF((X281-X283)&gt;0,IF(X283&gt;0,(X281-X283)*Assumptions!$H$265,X281*Assumptions!$H$265),0)</f>
        <v>400134.74885254819</v>
      </c>
      <c r="Y284" s="632">
        <f ca="1">IF((Y281-Y283)&gt;0,IF(Y283&gt;0,(Y281-Y283)*Assumptions!$H$265,Y281*Assumptions!$H$265),0)</f>
        <v>408657.17822632141</v>
      </c>
      <c r="Z284" s="632">
        <f ca="1">IF((Z281-Z283)&gt;0,IF(Z283&gt;0,(Z281-Z283)*Assumptions!$H$265,Z281*Assumptions!$H$265),0)</f>
        <v>417350.0561875694</v>
      </c>
      <c r="AA284" s="632">
        <f ca="1">IF((AA281-AA283)&gt;0,IF(AA283&gt;0,(AA281-AA283)*Assumptions!$H$265,AA281*Assumptions!$H$265),0)</f>
        <v>426216.79170804285</v>
      </c>
    </row>
    <row r="285" spans="1:27" hidden="1" x14ac:dyDescent="0.45">
      <c r="A285" s="792"/>
      <c r="B285" s="705"/>
      <c r="C285" s="705"/>
      <c r="D285" s="707" t="s">
        <v>27</v>
      </c>
      <c r="E285" s="793" t="s">
        <v>806</v>
      </c>
      <c r="F285" s="704"/>
      <c r="G285" s="841"/>
      <c r="H285" s="841"/>
      <c r="I285" s="841"/>
      <c r="J285" s="841"/>
      <c r="K285" s="842"/>
      <c r="L285" s="632"/>
      <c r="M285" s="632"/>
      <c r="N285" s="632"/>
      <c r="O285" s="632"/>
      <c r="P285" s="632"/>
      <c r="Q285" s="632"/>
      <c r="R285" s="632"/>
      <c r="S285" s="632"/>
      <c r="T285" s="632"/>
      <c r="U285" s="632"/>
      <c r="V285" s="632"/>
      <c r="W285" s="632"/>
      <c r="X285" s="632"/>
      <c r="Y285" s="632"/>
      <c r="Z285" s="632"/>
      <c r="AA285" s="632"/>
    </row>
    <row r="286" spans="1:27" x14ac:dyDescent="0.45">
      <c r="A286" s="792"/>
      <c r="B286" s="705"/>
      <c r="C286" s="705"/>
      <c r="D286" s="707"/>
      <c r="E286" s="793"/>
      <c r="F286" s="704"/>
      <c r="G286" s="794" t="s">
        <v>22</v>
      </c>
      <c r="H286" s="794" t="s">
        <v>22</v>
      </c>
      <c r="I286" s="794" t="s">
        <v>22</v>
      </c>
      <c r="J286" s="794" t="s">
        <v>22</v>
      </c>
      <c r="K286" s="795" t="s">
        <v>22</v>
      </c>
      <c r="L286" s="566" t="s">
        <v>22</v>
      </c>
      <c r="M286" s="566" t="s">
        <v>22</v>
      </c>
      <c r="N286" s="566" t="s">
        <v>22</v>
      </c>
      <c r="O286" s="566" t="s">
        <v>22</v>
      </c>
      <c r="P286" s="566" t="s">
        <v>22</v>
      </c>
      <c r="Q286" s="566" t="s">
        <v>22</v>
      </c>
      <c r="R286" s="566" t="s">
        <v>22</v>
      </c>
      <c r="S286" s="566" t="s">
        <v>22</v>
      </c>
      <c r="T286" s="566" t="s">
        <v>22</v>
      </c>
      <c r="U286" s="566" t="s">
        <v>22</v>
      </c>
      <c r="V286" s="566" t="s">
        <v>22</v>
      </c>
      <c r="W286" s="566" t="s">
        <v>22</v>
      </c>
      <c r="X286" s="566" t="s">
        <v>22</v>
      </c>
      <c r="Y286" s="566" t="s">
        <v>22</v>
      </c>
      <c r="Z286" s="566" t="s">
        <v>22</v>
      </c>
      <c r="AA286" s="566" t="s">
        <v>22</v>
      </c>
    </row>
    <row r="287" spans="1:27" x14ac:dyDescent="0.45">
      <c r="A287" s="792"/>
      <c r="B287" s="705"/>
      <c r="C287" s="705"/>
      <c r="D287" s="707" t="s">
        <v>28</v>
      </c>
      <c r="E287" s="793" t="s">
        <v>806</v>
      </c>
      <c r="F287" s="704"/>
      <c r="G287" s="841">
        <f ca="1">SUM(G283:G286)</f>
        <v>-17381.786068104375</v>
      </c>
      <c r="H287" s="841">
        <f ca="1">SUM(H283:H286)</f>
        <v>242450.38559898268</v>
      </c>
      <c r="I287" s="841">
        <f t="shared" ref="I287:AA287" ca="1" si="46">SUM(I283:I286)</f>
        <v>168897.93318066624</v>
      </c>
      <c r="J287" s="841">
        <f t="shared" ca="1" si="46"/>
        <v>29832.416708192613</v>
      </c>
      <c r="K287" s="842">
        <f t="shared" ca="1" si="46"/>
        <v>-96711.461908240686</v>
      </c>
      <c r="L287" s="632">
        <f t="shared" ca="1" si="46"/>
        <v>-230894.84150384826</v>
      </c>
      <c r="M287" s="632">
        <f t="shared" ca="1" si="46"/>
        <v>-373268.77842563222</v>
      </c>
      <c r="N287" s="632">
        <f t="shared" ca="1" si="46"/>
        <v>-524231.9575859019</v>
      </c>
      <c r="O287" s="632">
        <f t="shared" ca="1" si="46"/>
        <v>-684199.43176032172</v>
      </c>
      <c r="P287" s="632">
        <f t="shared" ca="1" si="46"/>
        <v>-853604.84758065152</v>
      </c>
      <c r="Q287" s="632">
        <f t="shared" ca="1" si="46"/>
        <v>-1032901.2667972152</v>
      </c>
      <c r="R287" s="632">
        <f t="shared" ca="1" si="46"/>
        <v>-1222562.0097975465</v>
      </c>
      <c r="S287" s="632">
        <f t="shared" ca="1" si="46"/>
        <v>-1423081.5351669742</v>
      </c>
      <c r="T287" s="632">
        <f t="shared" ca="1" si="46"/>
        <v>-1634976.3569372483</v>
      </c>
      <c r="U287" s="632">
        <f t="shared" ca="1" si="46"/>
        <v>-1858786.0011293697</v>
      </c>
      <c r="V287" s="632">
        <f t="shared" ca="1" si="46"/>
        <v>-2095074.0032640437</v>
      </c>
      <c r="W287" s="632">
        <f t="shared" ca="1" si="46"/>
        <v>-2344428.9485842371</v>
      </c>
      <c r="X287" s="632">
        <f t="shared" ca="1" si="46"/>
        <v>-2607465.5568084167</v>
      </c>
      <c r="Y287" s="632">
        <f t="shared" ca="1" si="46"/>
        <v>-2884825.8133102525</v>
      </c>
      <c r="Z287" s="632">
        <f t="shared" ca="1" si="46"/>
        <v>-3177180.1487010913</v>
      </c>
      <c r="AA287" s="632">
        <f t="shared" ca="1" si="46"/>
        <v>-3485228.6688754032</v>
      </c>
    </row>
    <row r="288" spans="1:27" x14ac:dyDescent="0.45">
      <c r="A288" s="792"/>
      <c r="B288" s="705"/>
      <c r="C288" s="705"/>
      <c r="D288" s="707"/>
      <c r="E288" s="783"/>
      <c r="F288" s="707"/>
      <c r="G288" s="841"/>
      <c r="H288" s="841"/>
      <c r="I288" s="841"/>
      <c r="J288" s="841"/>
      <c r="K288" s="842"/>
      <c r="L288" s="632"/>
      <c r="M288" s="632"/>
      <c r="N288" s="632"/>
      <c r="O288" s="632"/>
      <c r="P288" s="632"/>
      <c r="Q288" s="632"/>
      <c r="R288" s="632"/>
      <c r="S288" s="632"/>
      <c r="T288" s="632"/>
      <c r="U288" s="632"/>
      <c r="V288" s="632"/>
      <c r="W288" s="632"/>
      <c r="X288" s="632"/>
      <c r="Y288" s="632"/>
      <c r="Z288" s="632"/>
      <c r="AA288" s="632"/>
    </row>
    <row r="289" spans="1:27" x14ac:dyDescent="0.45">
      <c r="A289" s="792"/>
      <c r="B289" s="705"/>
      <c r="C289" s="705"/>
      <c r="D289" s="707" t="s">
        <v>29</v>
      </c>
      <c r="E289" s="793" t="s">
        <v>806</v>
      </c>
      <c r="F289" s="704"/>
      <c r="G289" s="841">
        <f t="shared" ref="G289:AA289" ca="1" si="47">G281-G287</f>
        <v>-2371285.4122928004</v>
      </c>
      <c r="H289" s="841">
        <f t="shared" ca="1" si="47"/>
        <v>2601746.4160401132</v>
      </c>
      <c r="I289" s="841">
        <f t="shared" ca="1" si="47"/>
        <v>2737380.1484584291</v>
      </c>
      <c r="J289" s="841">
        <f t="shared" ca="1" si="47"/>
        <v>2939768.5705309035</v>
      </c>
      <c r="K289" s="842">
        <f t="shared" ca="1" si="47"/>
        <v>3130901.8128593368</v>
      </c>
      <c r="L289" s="632">
        <f t="shared" ca="1" si="47"/>
        <v>3330966.3434411827</v>
      </c>
      <c r="M289" s="632">
        <f t="shared" ca="1" si="47"/>
        <v>3540539.0543689327</v>
      </c>
      <c r="N289" s="632">
        <f t="shared" ca="1" si="47"/>
        <v>3760044.9830152886</v>
      </c>
      <c r="O289" s="632">
        <f t="shared" ca="1" si="47"/>
        <v>3989926.0616655112</v>
      </c>
      <c r="P289" s="632">
        <f t="shared" ca="1" si="47"/>
        <v>4230643.3540511653</v>
      </c>
      <c r="Q289" s="632">
        <f t="shared" ca="1" si="47"/>
        <v>4482677.8873643577</v>
      </c>
      <c r="R289" s="632">
        <f t="shared" ca="1" si="47"/>
        <v>4746531.5067432504</v>
      </c>
      <c r="S289" s="632">
        <f t="shared" ca="1" si="47"/>
        <v>5022727.7660188107</v>
      </c>
      <c r="T289" s="632">
        <f t="shared" ca="1" si="47"/>
        <v>5311812.856373338</v>
      </c>
      <c r="U289" s="632">
        <f t="shared" ca="1" si="47"/>
        <v>5614356.5745214</v>
      </c>
      <c r="V289" s="632">
        <f t="shared" ca="1" si="47"/>
        <v>5930953.3320911312</v>
      </c>
      <c r="W289" s="632">
        <f t="shared" ca="1" si="47"/>
        <v>6262223.2079550838</v>
      </c>
      <c r="X289" s="632">
        <f t="shared" ca="1" si="47"/>
        <v>6608813.0453338986</v>
      </c>
      <c r="Y289" s="632">
        <f t="shared" ca="1" si="47"/>
        <v>6971397.5955734663</v>
      </c>
      <c r="Z289" s="632">
        <f t="shared" ca="1" si="47"/>
        <v>7350680.7105767848</v>
      </c>
      <c r="AA289" s="632">
        <f t="shared" ca="1" si="47"/>
        <v>7747396.5859558322</v>
      </c>
    </row>
    <row r="290" spans="1:27" x14ac:dyDescent="0.45">
      <c r="A290" s="792"/>
      <c r="B290" s="705"/>
      <c r="C290" s="705"/>
      <c r="D290" s="707" t="s">
        <v>30</v>
      </c>
      <c r="E290" s="793" t="s">
        <v>806</v>
      </c>
      <c r="F290" s="844">
        <f>Assumptions!H13</f>
        <v>0.3</v>
      </c>
      <c r="G290" s="841">
        <f t="shared" ref="G290:AA290" ca="1" si="48">G289*$F$290</f>
        <v>-711385.62368784007</v>
      </c>
      <c r="H290" s="841">
        <f t="shared" ca="1" si="48"/>
        <v>780523.92481203389</v>
      </c>
      <c r="I290" s="841">
        <f t="shared" ca="1" si="48"/>
        <v>821214.04453752877</v>
      </c>
      <c r="J290" s="841">
        <f t="shared" ca="1" si="48"/>
        <v>881930.57115927106</v>
      </c>
      <c r="K290" s="842">
        <f t="shared" ca="1" si="48"/>
        <v>939270.54385780101</v>
      </c>
      <c r="L290" s="632">
        <f t="shared" ca="1" si="48"/>
        <v>999289.90303235478</v>
      </c>
      <c r="M290" s="632">
        <f t="shared" ca="1" si="48"/>
        <v>1062161.7163106797</v>
      </c>
      <c r="N290" s="632">
        <f t="shared" ca="1" si="48"/>
        <v>1128013.4949045866</v>
      </c>
      <c r="O290" s="632">
        <f t="shared" ca="1" si="48"/>
        <v>1196977.8184996534</v>
      </c>
      <c r="P290" s="632">
        <f t="shared" ca="1" si="48"/>
        <v>1269193.0062153495</v>
      </c>
      <c r="Q290" s="632">
        <f t="shared" ca="1" si="48"/>
        <v>1344803.3662093072</v>
      </c>
      <c r="R290" s="632">
        <f t="shared" ca="1" si="48"/>
        <v>1423959.4520229751</v>
      </c>
      <c r="S290" s="632">
        <f t="shared" ca="1" si="48"/>
        <v>1506818.3298056431</v>
      </c>
      <c r="T290" s="632">
        <f t="shared" ca="1" si="48"/>
        <v>1593543.8569120013</v>
      </c>
      <c r="U290" s="632">
        <f t="shared" ca="1" si="48"/>
        <v>1684306.97235642</v>
      </c>
      <c r="V290" s="632">
        <f t="shared" ca="1" si="48"/>
        <v>1779285.9996273394</v>
      </c>
      <c r="W290" s="632">
        <f t="shared" ca="1" si="48"/>
        <v>1878666.962386525</v>
      </c>
      <c r="X290" s="632">
        <f t="shared" ca="1" si="48"/>
        <v>1982643.9136001696</v>
      </c>
      <c r="Y290" s="632">
        <f t="shared" ca="1" si="48"/>
        <v>2091419.2786720397</v>
      </c>
      <c r="Z290" s="632">
        <f t="shared" ca="1" si="48"/>
        <v>2205204.2131730355</v>
      </c>
      <c r="AA290" s="632">
        <f t="shared" ca="1" si="48"/>
        <v>2324218.9757867497</v>
      </c>
    </row>
    <row r="291" spans="1:27" x14ac:dyDescent="0.45">
      <c r="A291" s="792"/>
      <c r="B291" s="705"/>
      <c r="C291" s="705"/>
      <c r="D291" s="707"/>
      <c r="E291" s="783"/>
      <c r="F291" s="707"/>
      <c r="G291" s="841"/>
      <c r="H291" s="841"/>
      <c r="I291" s="841"/>
      <c r="J291" s="841"/>
      <c r="K291" s="842"/>
      <c r="L291" s="632"/>
      <c r="M291" s="632"/>
      <c r="N291" s="632"/>
      <c r="O291" s="632"/>
      <c r="P291" s="632"/>
      <c r="Q291" s="632"/>
      <c r="R291" s="632"/>
      <c r="S291" s="632"/>
      <c r="T291" s="632"/>
      <c r="U291" s="632"/>
      <c r="V291" s="632"/>
      <c r="W291" s="632"/>
      <c r="X291" s="632"/>
      <c r="Y291" s="632"/>
      <c r="Z291" s="632"/>
      <c r="AA291" s="632"/>
    </row>
    <row r="292" spans="1:27" x14ac:dyDescent="0.45">
      <c r="A292" s="845"/>
      <c r="B292" s="559"/>
      <c r="C292" s="559"/>
      <c r="D292" s="558" t="s">
        <v>31</v>
      </c>
      <c r="E292" s="846" t="s">
        <v>806</v>
      </c>
      <c r="F292" s="847"/>
      <c r="G292" s="848">
        <f ca="1">G289-G290</f>
        <v>-1659899.7886049603</v>
      </c>
      <c r="H292" s="848">
        <f t="shared" ref="H292:AA292" ca="1" si="49">H289-H290</f>
        <v>1821222.4912280794</v>
      </c>
      <c r="I292" s="848">
        <f t="shared" ca="1" si="49"/>
        <v>1916166.1039209003</v>
      </c>
      <c r="J292" s="848">
        <f t="shared" ca="1" si="49"/>
        <v>2057837.9993716325</v>
      </c>
      <c r="K292" s="849">
        <f t="shared" ca="1" si="49"/>
        <v>2191631.2690015361</v>
      </c>
      <c r="L292" s="632">
        <f t="shared" ca="1" si="49"/>
        <v>2331676.4404088277</v>
      </c>
      <c r="M292" s="632">
        <f t="shared" ca="1" si="49"/>
        <v>2478377.3380582528</v>
      </c>
      <c r="N292" s="632">
        <f t="shared" ca="1" si="49"/>
        <v>2632031.488110702</v>
      </c>
      <c r="O292" s="632">
        <f t="shared" ca="1" si="49"/>
        <v>2792948.2431658581</v>
      </c>
      <c r="P292" s="632">
        <f t="shared" ca="1" si="49"/>
        <v>2961450.3478358155</v>
      </c>
      <c r="Q292" s="632">
        <f t="shared" ca="1" si="49"/>
        <v>3137874.5211550505</v>
      </c>
      <c r="R292" s="632">
        <f t="shared" ca="1" si="49"/>
        <v>3322572.0547202751</v>
      </c>
      <c r="S292" s="632">
        <f t="shared" ca="1" si="49"/>
        <v>3515909.4362131674</v>
      </c>
      <c r="T292" s="632">
        <f t="shared" ca="1" si="49"/>
        <v>3718268.999461337</v>
      </c>
      <c r="U292" s="632">
        <f t="shared" ca="1" si="49"/>
        <v>3930049.60216498</v>
      </c>
      <c r="V292" s="632">
        <f t="shared" ca="1" si="49"/>
        <v>4151667.3324637916</v>
      </c>
      <c r="W292" s="632">
        <f t="shared" ca="1" si="49"/>
        <v>4383556.2455685586</v>
      </c>
      <c r="X292" s="632">
        <f t="shared" ca="1" si="49"/>
        <v>4626169.1317337286</v>
      </c>
      <c r="Y292" s="632">
        <f t="shared" ca="1" si="49"/>
        <v>4879978.3169014268</v>
      </c>
      <c r="Z292" s="632">
        <f t="shared" ca="1" si="49"/>
        <v>5145476.4974037493</v>
      </c>
      <c r="AA292" s="632">
        <f t="shared" ca="1" si="49"/>
        <v>5423177.6101690829</v>
      </c>
    </row>
    <row r="293" spans="1:27" ht="15" hidden="1" customHeight="1" x14ac:dyDescent="0.45">
      <c r="A293" s="563"/>
      <c r="B293" s="552"/>
      <c r="C293" s="552"/>
      <c r="E293" s="564"/>
      <c r="F293" s="565"/>
      <c r="G293" s="632"/>
      <c r="H293" s="632"/>
      <c r="I293" s="632"/>
      <c r="J293" s="632"/>
      <c r="K293" s="632"/>
      <c r="L293" s="632"/>
      <c r="M293" s="632"/>
      <c r="N293" s="632"/>
      <c r="O293" s="632"/>
      <c r="P293" s="632"/>
      <c r="Q293" s="632"/>
      <c r="R293" s="632"/>
      <c r="S293" s="632"/>
      <c r="T293" s="632"/>
      <c r="U293" s="632"/>
      <c r="V293" s="632"/>
      <c r="W293" s="632"/>
      <c r="X293" s="632"/>
      <c r="Y293" s="632"/>
      <c r="Z293" s="632"/>
      <c r="AA293" s="632"/>
    </row>
    <row r="294" spans="1:27" ht="15" hidden="1" customHeight="1" x14ac:dyDescent="0.45">
      <c r="A294" s="563"/>
      <c r="B294" s="552"/>
      <c r="C294" s="552"/>
      <c r="D294" s="549" t="s">
        <v>187</v>
      </c>
      <c r="E294" s="564" t="s">
        <v>806</v>
      </c>
      <c r="F294" s="565"/>
      <c r="G294" s="632">
        <v>0</v>
      </c>
      <c r="H294" s="632">
        <v>0</v>
      </c>
      <c r="I294" s="632">
        <v>0</v>
      </c>
      <c r="J294" s="632">
        <v>0</v>
      </c>
      <c r="K294" s="632">
        <v>0</v>
      </c>
      <c r="L294" s="632">
        <v>0</v>
      </c>
      <c r="M294" s="632">
        <v>0</v>
      </c>
      <c r="N294" s="632">
        <v>0</v>
      </c>
      <c r="O294" s="632">
        <v>0</v>
      </c>
      <c r="P294" s="632">
        <v>0</v>
      </c>
      <c r="Q294" s="632">
        <v>0</v>
      </c>
      <c r="R294" s="632">
        <v>0</v>
      </c>
      <c r="S294" s="632">
        <v>0</v>
      </c>
      <c r="T294" s="632">
        <v>0</v>
      </c>
      <c r="U294" s="632">
        <v>0</v>
      </c>
      <c r="V294" s="632">
        <v>0</v>
      </c>
      <c r="W294" s="632">
        <v>0</v>
      </c>
      <c r="X294" s="632">
        <v>0</v>
      </c>
      <c r="Y294" s="632">
        <v>0</v>
      </c>
      <c r="Z294" s="632">
        <v>0</v>
      </c>
      <c r="AA294" s="632">
        <v>0</v>
      </c>
    </row>
    <row r="295" spans="1:27" ht="15" hidden="1" customHeight="1" x14ac:dyDescent="0.45">
      <c r="A295" s="563"/>
      <c r="B295" s="552"/>
      <c r="C295" s="552"/>
      <c r="E295" s="564"/>
      <c r="F295" s="565"/>
      <c r="G295" s="632"/>
      <c r="H295" s="632"/>
      <c r="I295" s="632"/>
      <c r="J295" s="632"/>
      <c r="K295" s="632"/>
      <c r="L295" s="632"/>
      <c r="M295" s="632"/>
      <c r="N295" s="632"/>
      <c r="O295" s="632"/>
      <c r="P295" s="632"/>
      <c r="Q295" s="632"/>
      <c r="R295" s="632"/>
      <c r="S295" s="632"/>
      <c r="T295" s="632"/>
      <c r="U295" s="632"/>
      <c r="V295" s="632"/>
      <c r="W295" s="632"/>
      <c r="X295" s="632"/>
      <c r="Y295" s="632"/>
      <c r="Z295" s="632"/>
      <c r="AA295" s="632"/>
    </row>
    <row r="296" spans="1:27" ht="15" hidden="1" customHeight="1" x14ac:dyDescent="0.45">
      <c r="A296" s="563"/>
      <c r="B296" s="552"/>
      <c r="C296" s="552"/>
      <c r="D296" s="549" t="s">
        <v>180</v>
      </c>
      <c r="E296" s="564" t="s">
        <v>806</v>
      </c>
      <c r="F296" s="565"/>
      <c r="G296" s="632">
        <f ca="1">G292-G294</f>
        <v>-1659899.7886049603</v>
      </c>
      <c r="H296" s="632">
        <f t="shared" ref="H296:AA296" ca="1" si="50">H292-H294</f>
        <v>1821222.4912280794</v>
      </c>
      <c r="I296" s="632">
        <f t="shared" ca="1" si="50"/>
        <v>1916166.1039209003</v>
      </c>
      <c r="J296" s="632">
        <f t="shared" ca="1" si="50"/>
        <v>2057837.9993716325</v>
      </c>
      <c r="K296" s="632">
        <f t="shared" ca="1" si="50"/>
        <v>2191631.2690015361</v>
      </c>
      <c r="L296" s="632">
        <f t="shared" ca="1" si="50"/>
        <v>2331676.4404088277</v>
      </c>
      <c r="M296" s="632">
        <f t="shared" ca="1" si="50"/>
        <v>2478377.3380582528</v>
      </c>
      <c r="N296" s="632">
        <f t="shared" ca="1" si="50"/>
        <v>2632031.488110702</v>
      </c>
      <c r="O296" s="632">
        <f t="shared" ca="1" si="50"/>
        <v>2792948.2431658581</v>
      </c>
      <c r="P296" s="632">
        <f t="shared" ca="1" si="50"/>
        <v>2961450.3478358155</v>
      </c>
      <c r="Q296" s="632">
        <f t="shared" ca="1" si="50"/>
        <v>3137874.5211550505</v>
      </c>
      <c r="R296" s="632">
        <f t="shared" ca="1" si="50"/>
        <v>3322572.0547202751</v>
      </c>
      <c r="S296" s="632">
        <f t="shared" ca="1" si="50"/>
        <v>3515909.4362131674</v>
      </c>
      <c r="T296" s="632">
        <f t="shared" ca="1" si="50"/>
        <v>3718268.999461337</v>
      </c>
      <c r="U296" s="632">
        <f t="shared" ca="1" si="50"/>
        <v>3930049.60216498</v>
      </c>
      <c r="V296" s="632">
        <f t="shared" ca="1" si="50"/>
        <v>4151667.3324637916</v>
      </c>
      <c r="W296" s="632">
        <f t="shared" ca="1" si="50"/>
        <v>4383556.2455685586</v>
      </c>
      <c r="X296" s="632">
        <f t="shared" ca="1" si="50"/>
        <v>4626169.1317337286</v>
      </c>
      <c r="Y296" s="632">
        <f t="shared" ca="1" si="50"/>
        <v>4879978.3169014268</v>
      </c>
      <c r="Z296" s="632">
        <f t="shared" ca="1" si="50"/>
        <v>5145476.4974037493</v>
      </c>
      <c r="AA296" s="632">
        <f t="shared" ca="1" si="50"/>
        <v>5423177.6101690829</v>
      </c>
    </row>
    <row r="297" spans="1:27" s="558" customFormat="1" ht="15" customHeight="1" x14ac:dyDescent="0.45">
      <c r="A297" s="579"/>
      <c r="B297" s="559"/>
      <c r="C297" s="559"/>
      <c r="E297" s="585"/>
      <c r="G297" s="684"/>
      <c r="H297" s="684"/>
      <c r="I297" s="684"/>
      <c r="J297" s="684"/>
      <c r="K297" s="684"/>
      <c r="L297" s="684"/>
      <c r="M297" s="684"/>
      <c r="N297" s="684"/>
      <c r="O297" s="684"/>
      <c r="P297" s="684"/>
      <c r="Q297" s="684"/>
      <c r="R297" s="684"/>
      <c r="S297" s="684"/>
      <c r="T297" s="684"/>
      <c r="U297" s="684"/>
      <c r="V297" s="684"/>
      <c r="W297" s="684"/>
      <c r="X297" s="684"/>
      <c r="Y297" s="684"/>
      <c r="Z297" s="684"/>
      <c r="AA297" s="684"/>
    </row>
    <row r="298" spans="1:27" s="685" customFormat="1" x14ac:dyDescent="0.45">
      <c r="A298" s="688"/>
      <c r="B298" s="689"/>
      <c r="C298" s="689"/>
      <c r="D298" s="689"/>
      <c r="E298" s="690"/>
      <c r="F298" s="689"/>
      <c r="G298" s="691">
        <v>1</v>
      </c>
      <c r="H298" s="691">
        <v>2</v>
      </c>
      <c r="I298" s="691">
        <v>3</v>
      </c>
      <c r="J298" s="691">
        <v>4</v>
      </c>
      <c r="K298" s="692">
        <v>5</v>
      </c>
      <c r="L298" s="686">
        <v>6</v>
      </c>
      <c r="M298" s="686">
        <v>7</v>
      </c>
      <c r="N298" s="686">
        <v>8</v>
      </c>
      <c r="O298" s="686">
        <v>9</v>
      </c>
      <c r="P298" s="686">
        <v>10</v>
      </c>
      <c r="Q298" s="686">
        <v>11</v>
      </c>
      <c r="R298" s="686">
        <v>12</v>
      </c>
      <c r="S298" s="686">
        <v>13</v>
      </c>
      <c r="T298" s="686">
        <v>14</v>
      </c>
      <c r="U298" s="686">
        <v>15</v>
      </c>
      <c r="V298" s="686">
        <v>16</v>
      </c>
      <c r="W298" s="686">
        <v>17</v>
      </c>
      <c r="X298" s="686">
        <v>18</v>
      </c>
      <c r="Y298" s="686">
        <v>19</v>
      </c>
      <c r="Z298" s="686">
        <v>20</v>
      </c>
      <c r="AA298" s="686">
        <v>21</v>
      </c>
    </row>
    <row r="299" spans="1:27" s="642" customFormat="1" x14ac:dyDescent="0.45">
      <c r="A299" s="693"/>
      <c r="C299" s="643"/>
      <c r="D299" s="643"/>
      <c r="E299" s="644" t="s">
        <v>0</v>
      </c>
      <c r="F299" s="645"/>
      <c r="G299" s="646">
        <v>2021</v>
      </c>
      <c r="H299" s="646">
        <v>2022</v>
      </c>
      <c r="I299" s="646">
        <v>2023</v>
      </c>
      <c r="J299" s="646">
        <v>2024</v>
      </c>
      <c r="K299" s="694">
        <v>2025</v>
      </c>
      <c r="L299" s="646">
        <v>2026</v>
      </c>
      <c r="M299" s="646">
        <v>2027</v>
      </c>
      <c r="N299" s="646">
        <v>2028</v>
      </c>
      <c r="O299" s="646">
        <v>2029</v>
      </c>
      <c r="P299" s="646">
        <v>2030</v>
      </c>
      <c r="Q299" s="646">
        <v>2031</v>
      </c>
      <c r="R299" s="646">
        <v>2032</v>
      </c>
      <c r="S299" s="646">
        <v>2033</v>
      </c>
      <c r="T299" s="646">
        <v>2034</v>
      </c>
      <c r="U299" s="646">
        <v>2035</v>
      </c>
      <c r="V299" s="646">
        <v>2036</v>
      </c>
      <c r="W299" s="646">
        <v>2037</v>
      </c>
      <c r="X299" s="646">
        <v>2038</v>
      </c>
      <c r="Y299" s="646">
        <v>2039</v>
      </c>
      <c r="Z299" s="646">
        <v>2040</v>
      </c>
      <c r="AA299" s="646">
        <v>2041</v>
      </c>
    </row>
    <row r="300" spans="1:27" ht="15" customHeight="1" x14ac:dyDescent="0.45">
      <c r="A300" s="792"/>
      <c r="B300" s="705" t="s">
        <v>32</v>
      </c>
      <c r="C300" s="705"/>
      <c r="D300" s="707"/>
      <c r="E300" s="783"/>
      <c r="F300" s="707"/>
      <c r="G300" s="815"/>
      <c r="H300" s="815"/>
      <c r="I300" s="815"/>
      <c r="J300" s="815"/>
      <c r="K300" s="816"/>
      <c r="L300" s="568"/>
      <c r="M300" s="568"/>
      <c r="N300" s="568"/>
      <c r="O300" s="568"/>
      <c r="P300" s="568"/>
      <c r="Q300" s="568"/>
      <c r="R300" s="568"/>
      <c r="S300" s="568"/>
      <c r="T300" s="568"/>
      <c r="U300" s="568"/>
      <c r="V300" s="568"/>
      <c r="W300" s="568"/>
      <c r="X300" s="568"/>
      <c r="Y300" s="568"/>
      <c r="Z300" s="568"/>
      <c r="AA300" s="568"/>
    </row>
    <row r="301" spans="1:27" ht="15" customHeight="1" x14ac:dyDescent="0.45">
      <c r="A301" s="792"/>
      <c r="B301" s="705"/>
      <c r="C301" s="705"/>
      <c r="D301" s="707" t="s">
        <v>33</v>
      </c>
      <c r="E301" s="793" t="s">
        <v>806</v>
      </c>
      <c r="F301" s="707"/>
      <c r="G301" s="815"/>
      <c r="H301" s="815"/>
      <c r="I301" s="815"/>
      <c r="J301" s="815"/>
      <c r="K301" s="816"/>
      <c r="L301" s="568"/>
      <c r="M301" s="568"/>
      <c r="N301" s="568"/>
      <c r="O301" s="568"/>
      <c r="P301" s="568"/>
      <c r="Q301" s="568"/>
      <c r="R301" s="568"/>
      <c r="S301" s="568"/>
      <c r="T301" s="568"/>
      <c r="U301" s="568"/>
      <c r="V301" s="568"/>
      <c r="W301" s="568"/>
      <c r="X301" s="568"/>
      <c r="Y301" s="568"/>
      <c r="Z301" s="568"/>
      <c r="AA301" s="568"/>
    </row>
    <row r="302" spans="1:27" ht="15" customHeight="1" x14ac:dyDescent="0.45">
      <c r="A302" s="792"/>
      <c r="B302" s="705"/>
      <c r="C302" s="705"/>
      <c r="D302" s="707" t="s">
        <v>34</v>
      </c>
      <c r="E302" s="793" t="s">
        <v>806</v>
      </c>
      <c r="F302" s="704"/>
      <c r="G302" s="841">
        <f ca="1">F302+G397</f>
        <v>5717078.3639399</v>
      </c>
      <c r="H302" s="841">
        <f t="shared" ref="H302:AA302" ca="1" si="51">G302+H397</f>
        <v>5786458.4213288818</v>
      </c>
      <c r="I302" s="841">
        <f t="shared" ca="1" si="51"/>
        <v>5857226.0798656428</v>
      </c>
      <c r="J302" s="841">
        <f t="shared" ca="1" si="51"/>
        <v>5929409.0915731397</v>
      </c>
      <c r="K302" s="842">
        <f t="shared" ca="1" si="51"/>
        <v>6003035.763514786</v>
      </c>
      <c r="L302" s="632">
        <f t="shared" ca="1" si="51"/>
        <v>6078134.9688952658</v>
      </c>
      <c r="M302" s="632">
        <f t="shared" ca="1" si="51"/>
        <v>6154736.1583833545</v>
      </c>
      <c r="N302" s="632">
        <f t="shared" ca="1" si="51"/>
        <v>6232869.3716612048</v>
      </c>
      <c r="O302" s="632">
        <f t="shared" ca="1" si="51"/>
        <v>6312565.2492046123</v>
      </c>
      <c r="P302" s="632">
        <f t="shared" ca="1" si="51"/>
        <v>6393855.0442988882</v>
      </c>
      <c r="Q302" s="632">
        <f t="shared" ca="1" si="51"/>
        <v>6476770.6352950493</v>
      </c>
      <c r="R302" s="632">
        <f t="shared" ca="1" si="51"/>
        <v>6561344.5381111335</v>
      </c>
      <c r="S302" s="632">
        <f t="shared" ca="1" si="51"/>
        <v>6647609.9189835396</v>
      </c>
      <c r="T302" s="632">
        <f t="shared" ca="1" si="51"/>
        <v>6735600.6074733939</v>
      </c>
      <c r="U302" s="632">
        <f t="shared" ca="1" si="51"/>
        <v>6825351.1097330451</v>
      </c>
      <c r="V302" s="632">
        <f t="shared" ca="1" si="51"/>
        <v>6916896.6220378894</v>
      </c>
      <c r="W302" s="632">
        <f t="shared" ca="1" si="51"/>
        <v>7010273.0445888313</v>
      </c>
      <c r="X302" s="632">
        <f t="shared" ca="1" si="51"/>
        <v>7105516.995590792</v>
      </c>
      <c r="Y302" s="632">
        <f t="shared" ca="1" si="51"/>
        <v>7202665.8256127918</v>
      </c>
      <c r="Z302" s="632">
        <f t="shared" ca="1" si="51"/>
        <v>7301757.6322352309</v>
      </c>
      <c r="AA302" s="632">
        <f t="shared" ca="1" si="51"/>
        <v>7402831.274990119</v>
      </c>
    </row>
    <row r="303" spans="1:27" ht="15" customHeight="1" x14ac:dyDescent="0.45">
      <c r="A303" s="792"/>
      <c r="B303" s="705"/>
      <c r="C303" s="705"/>
      <c r="D303" s="707" t="s">
        <v>35</v>
      </c>
      <c r="E303" s="793" t="s">
        <v>806</v>
      </c>
      <c r="F303" s="704"/>
      <c r="G303" s="841">
        <f ca="1">F303+G275</f>
        <v>259867.19836090453</v>
      </c>
      <c r="H303" s="841">
        <f t="shared" ref="H303:AA303" ca="1" si="52">G303+H275</f>
        <v>519734.39672180905</v>
      </c>
      <c r="I303" s="841">
        <f t="shared" ca="1" si="52"/>
        <v>779601.59508271352</v>
      </c>
      <c r="J303" s="841">
        <f t="shared" ca="1" si="52"/>
        <v>1039468.7934436181</v>
      </c>
      <c r="K303" s="842">
        <f t="shared" ca="1" si="52"/>
        <v>1299335.9918045227</v>
      </c>
      <c r="L303" s="632">
        <f t="shared" ca="1" si="52"/>
        <v>1559203.1901654273</v>
      </c>
      <c r="M303" s="632">
        <f t="shared" ca="1" si="52"/>
        <v>1819070.3885263319</v>
      </c>
      <c r="N303" s="632">
        <f t="shared" ca="1" si="52"/>
        <v>2078937.5868872365</v>
      </c>
      <c r="O303" s="632">
        <f t="shared" ca="1" si="52"/>
        <v>2338804.7852481408</v>
      </c>
      <c r="P303" s="632">
        <f t="shared" ca="1" si="52"/>
        <v>2598671.9836090454</v>
      </c>
      <c r="Q303" s="632">
        <f t="shared" ca="1" si="52"/>
        <v>2858539.18196995</v>
      </c>
      <c r="R303" s="632">
        <f t="shared" ca="1" si="52"/>
        <v>3118406.3803308546</v>
      </c>
      <c r="S303" s="632">
        <f t="shared" ca="1" si="52"/>
        <v>3378273.5786917591</v>
      </c>
      <c r="T303" s="632">
        <f t="shared" ca="1" si="52"/>
        <v>3638140.7770526637</v>
      </c>
      <c r="U303" s="632">
        <f t="shared" ca="1" si="52"/>
        <v>3898007.9754135683</v>
      </c>
      <c r="V303" s="632">
        <f t="shared" ca="1" si="52"/>
        <v>4157875.1737744729</v>
      </c>
      <c r="W303" s="632">
        <f t="shared" ca="1" si="52"/>
        <v>4417742.3721353775</v>
      </c>
      <c r="X303" s="632">
        <f t="shared" ca="1" si="52"/>
        <v>4677609.5704962816</v>
      </c>
      <c r="Y303" s="632">
        <f t="shared" ca="1" si="52"/>
        <v>4937476.7688571857</v>
      </c>
      <c r="Z303" s="632">
        <f t="shared" ca="1" si="52"/>
        <v>5197343.9672180898</v>
      </c>
      <c r="AA303" s="632">
        <f t="shared" ca="1" si="52"/>
        <v>5457211.165578994</v>
      </c>
    </row>
    <row r="304" spans="1:27" ht="15" customHeight="1" x14ac:dyDescent="0.45">
      <c r="A304" s="792"/>
      <c r="B304" s="705"/>
      <c r="C304" s="705"/>
      <c r="D304" s="707"/>
      <c r="E304" s="783"/>
      <c r="F304" s="707"/>
      <c r="G304" s="819" t="s">
        <v>22</v>
      </c>
      <c r="H304" s="819" t="s">
        <v>22</v>
      </c>
      <c r="I304" s="819" t="s">
        <v>22</v>
      </c>
      <c r="J304" s="819" t="s">
        <v>22</v>
      </c>
      <c r="K304" s="820" t="s">
        <v>22</v>
      </c>
      <c r="L304" s="569" t="s">
        <v>22</v>
      </c>
      <c r="M304" s="569" t="s">
        <v>22</v>
      </c>
      <c r="N304" s="569" t="s">
        <v>22</v>
      </c>
      <c r="O304" s="569" t="s">
        <v>22</v>
      </c>
      <c r="P304" s="569" t="s">
        <v>22</v>
      </c>
      <c r="Q304" s="569" t="s">
        <v>22</v>
      </c>
      <c r="R304" s="569" t="s">
        <v>22</v>
      </c>
      <c r="S304" s="569" t="s">
        <v>22</v>
      </c>
      <c r="T304" s="569" t="s">
        <v>22</v>
      </c>
      <c r="U304" s="569" t="s">
        <v>22</v>
      </c>
      <c r="V304" s="569" t="s">
        <v>22</v>
      </c>
      <c r="W304" s="569" t="s">
        <v>22</v>
      </c>
      <c r="X304" s="569" t="s">
        <v>22</v>
      </c>
      <c r="Y304" s="569" t="s">
        <v>22</v>
      </c>
      <c r="Z304" s="569" t="s">
        <v>22</v>
      </c>
      <c r="AA304" s="569" t="s">
        <v>22</v>
      </c>
    </row>
    <row r="305" spans="1:27" ht="15" customHeight="1" x14ac:dyDescent="0.45">
      <c r="A305" s="792"/>
      <c r="B305" s="705"/>
      <c r="C305" s="705"/>
      <c r="D305" s="707" t="s">
        <v>285</v>
      </c>
      <c r="E305" s="793" t="s">
        <v>806</v>
      </c>
      <c r="F305" s="704"/>
      <c r="G305" s="841">
        <f ca="1">G302-G303</f>
        <v>5457211.1655789958</v>
      </c>
      <c r="H305" s="841">
        <f t="shared" ref="H305:P305" ca="1" si="53">H302-H303</f>
        <v>5266724.0246070726</v>
      </c>
      <c r="I305" s="841">
        <f t="shared" ca="1" si="53"/>
        <v>5077624.4847829295</v>
      </c>
      <c r="J305" s="841">
        <f ca="1">J302-J303</f>
        <v>4889940.2981295213</v>
      </c>
      <c r="K305" s="842">
        <f ca="1">K302-K303</f>
        <v>4703699.7717102636</v>
      </c>
      <c r="L305" s="632">
        <f t="shared" ca="1" si="53"/>
        <v>4518931.7787298383</v>
      </c>
      <c r="M305" s="632">
        <f t="shared" ca="1" si="53"/>
        <v>4335665.7698570229</v>
      </c>
      <c r="N305" s="632">
        <f t="shared" ca="1" si="53"/>
        <v>4153931.7847739682</v>
      </c>
      <c r="O305" s="632">
        <f t="shared" ca="1" si="53"/>
        <v>3973760.4639564715</v>
      </c>
      <c r="P305" s="632">
        <f t="shared" ca="1" si="53"/>
        <v>3795183.0606898428</v>
      </c>
      <c r="Q305" s="632">
        <f ca="1">Q302-Q303</f>
        <v>3618231.4533250993</v>
      </c>
      <c r="R305" s="632">
        <f ca="1">R302-R303</f>
        <v>3442938.1577802789</v>
      </c>
      <c r="S305" s="632">
        <f ca="1">S302-S303</f>
        <v>3269336.3402917804</v>
      </c>
      <c r="T305" s="632">
        <f ca="1">T302-T303</f>
        <v>3097459.8304207302</v>
      </c>
      <c r="U305" s="632">
        <f ca="1">U302-U303</f>
        <v>2927343.1343194768</v>
      </c>
      <c r="V305" s="632">
        <f t="shared" ref="V305:AA305" ca="1" si="54">V302-V303</f>
        <v>2759021.4482634165</v>
      </c>
      <c r="W305" s="632">
        <f t="shared" ca="1" si="54"/>
        <v>2592530.6724534538</v>
      </c>
      <c r="X305" s="632">
        <f t="shared" ca="1" si="54"/>
        <v>2427907.4250945104</v>
      </c>
      <c r="Y305" s="632">
        <f t="shared" ca="1" si="54"/>
        <v>2265189.0567556061</v>
      </c>
      <c r="Z305" s="632">
        <f t="shared" ca="1" si="54"/>
        <v>2104413.665017141</v>
      </c>
      <c r="AA305" s="632">
        <f t="shared" ca="1" si="54"/>
        <v>1945620.1094111251</v>
      </c>
    </row>
    <row r="306" spans="1:27" ht="15" customHeight="1" x14ac:dyDescent="0.45">
      <c r="A306" s="792"/>
      <c r="B306" s="705"/>
      <c r="C306" s="705"/>
      <c r="D306" s="707"/>
      <c r="E306" s="783"/>
      <c r="F306" s="707"/>
      <c r="G306" s="841"/>
      <c r="H306" s="841"/>
      <c r="I306" s="841"/>
      <c r="J306" s="841"/>
      <c r="K306" s="842"/>
      <c r="L306" s="632"/>
      <c r="M306" s="632"/>
      <c r="N306" s="632"/>
      <c r="O306" s="632"/>
      <c r="P306" s="632"/>
      <c r="Q306" s="632"/>
      <c r="R306" s="632"/>
      <c r="S306" s="632"/>
      <c r="T306" s="632"/>
      <c r="U306" s="632"/>
      <c r="V306" s="632"/>
      <c r="W306" s="632"/>
      <c r="X306" s="632"/>
      <c r="Y306" s="632"/>
      <c r="Z306" s="632"/>
      <c r="AA306" s="632"/>
    </row>
    <row r="307" spans="1:27" ht="15" customHeight="1" x14ac:dyDescent="0.45">
      <c r="A307" s="792"/>
      <c r="B307" s="705"/>
      <c r="C307" s="705"/>
      <c r="D307" s="707" t="s">
        <v>36</v>
      </c>
      <c r="E307" s="793" t="s">
        <v>806</v>
      </c>
      <c r="F307" s="707"/>
      <c r="G307" s="841">
        <f t="shared" ref="G307:AA307" si="55">G380</f>
        <v>1574728.7671232875</v>
      </c>
      <c r="H307" s="841">
        <f t="shared" si="55"/>
        <v>4403985.5342465751</v>
      </c>
      <c r="I307" s="841">
        <f t="shared" si="55"/>
        <v>4492065.2449315069</v>
      </c>
      <c r="J307" s="841">
        <f t="shared" si="55"/>
        <v>4581906.5498301368</v>
      </c>
      <c r="K307" s="842">
        <f t="shared" si="55"/>
        <v>4673544.6808267394</v>
      </c>
      <c r="L307" s="632">
        <f t="shared" si="55"/>
        <v>4767015.5744432751</v>
      </c>
      <c r="M307" s="632">
        <f t="shared" si="55"/>
        <v>4862355.8859321401</v>
      </c>
      <c r="N307" s="632">
        <f t="shared" si="55"/>
        <v>4959603.0036507826</v>
      </c>
      <c r="O307" s="632">
        <f t="shared" si="55"/>
        <v>5058795.0637237988</v>
      </c>
      <c r="P307" s="632">
        <f t="shared" si="55"/>
        <v>5159970.964998275</v>
      </c>
      <c r="Q307" s="632">
        <f t="shared" si="55"/>
        <v>5263170.3842982398</v>
      </c>
      <c r="R307" s="632">
        <f t="shared" si="55"/>
        <v>5368433.7919842051</v>
      </c>
      <c r="S307" s="632">
        <f t="shared" si="55"/>
        <v>5475802.4678238891</v>
      </c>
      <c r="T307" s="632">
        <f t="shared" si="55"/>
        <v>5585318.5171803674</v>
      </c>
      <c r="U307" s="632">
        <f t="shared" si="55"/>
        <v>5697024.8875239752</v>
      </c>
      <c r="V307" s="632">
        <f t="shared" si="55"/>
        <v>5810965.385274455</v>
      </c>
      <c r="W307" s="632">
        <f t="shared" si="55"/>
        <v>5927184.6929799439</v>
      </c>
      <c r="X307" s="632">
        <f t="shared" si="55"/>
        <v>6045728.3868395435</v>
      </c>
      <c r="Y307" s="632">
        <f t="shared" si="55"/>
        <v>6166642.9545763331</v>
      </c>
      <c r="Z307" s="632">
        <f t="shared" si="55"/>
        <v>6289975.8136678599</v>
      </c>
      <c r="AA307" s="632">
        <f t="shared" si="55"/>
        <v>6415775.3299412169</v>
      </c>
    </row>
    <row r="308" spans="1:27" ht="12.75" customHeight="1" x14ac:dyDescent="0.45">
      <c r="A308" s="792"/>
      <c r="B308" s="705"/>
      <c r="C308" s="705"/>
      <c r="D308" s="707"/>
      <c r="E308" s="783"/>
      <c r="F308" s="707"/>
      <c r="G308" s="841"/>
      <c r="H308" s="841"/>
      <c r="I308" s="841"/>
      <c r="J308" s="841"/>
      <c r="K308" s="842"/>
      <c r="L308" s="632"/>
      <c r="M308" s="632"/>
      <c r="N308" s="632"/>
      <c r="O308" s="632"/>
      <c r="P308" s="632"/>
      <c r="Q308" s="632"/>
      <c r="R308" s="632"/>
      <c r="S308" s="632"/>
      <c r="T308" s="632"/>
      <c r="U308" s="632"/>
      <c r="V308" s="632"/>
      <c r="W308" s="632"/>
      <c r="X308" s="632"/>
      <c r="Y308" s="632"/>
      <c r="Z308" s="632"/>
      <c r="AA308" s="632"/>
    </row>
    <row r="309" spans="1:27" ht="15" customHeight="1" x14ac:dyDescent="0.45">
      <c r="A309" s="792"/>
      <c r="B309" s="705"/>
      <c r="C309" s="705"/>
      <c r="D309" s="707" t="s">
        <v>37</v>
      </c>
      <c r="E309" s="793" t="s">
        <v>806</v>
      </c>
      <c r="F309" s="704"/>
      <c r="G309" s="841">
        <f ca="1">F309+G372</f>
        <v>596774.65500491671</v>
      </c>
      <c r="H309" s="841">
        <f t="shared" ref="H309:AA309" ca="1" si="56">G309+H372</f>
        <v>559751.44489366515</v>
      </c>
      <c r="I309" s="841">
        <f t="shared" ca="1" si="56"/>
        <v>3329013.1213671113</v>
      </c>
      <c r="J309" s="841">
        <f ca="1">I309+J372</f>
        <v>5545410.5291152643</v>
      </c>
      <c r="K309" s="842">
        <f t="shared" ca="1" si="56"/>
        <v>7888984.1662379857</v>
      </c>
      <c r="L309" s="632">
        <f t="shared" ca="1" si="56"/>
        <v>10371977.065185256</v>
      </c>
      <c r="M309" s="632">
        <f t="shared" ca="1" si="56"/>
        <v>13001151.913905784</v>
      </c>
      <c r="N309" s="632">
        <f t="shared" ca="1" si="56"/>
        <v>15783522.047974804</v>
      </c>
      <c r="O309" s="632">
        <f t="shared" ca="1" si="56"/>
        <v>18726413.875480209</v>
      </c>
      <c r="P309" s="632">
        <f t="shared" ca="1" si="56"/>
        <v>21837480.913023874</v>
      </c>
      <c r="Q309" s="632">
        <f t="shared" ca="1" si="56"/>
        <v>25124717.982237659</v>
      </c>
      <c r="R309" s="632">
        <f t="shared" ca="1" si="56"/>
        <v>28596476.010630459</v>
      </c>
      <c r="S309" s="632">
        <f t="shared" ca="1" si="56"/>
        <v>32261477.466275111</v>
      </c>
      <c r="T309" s="632">
        <f t="shared" ca="1" si="56"/>
        <v>36128832.453357376</v>
      </c>
      <c r="U309" s="632">
        <f t="shared" ca="1" si="56"/>
        <v>40208055.496724419</v>
      </c>
      <c r="V309" s="632">
        <f t="shared" ca="1" si="56"/>
        <v>44509083.044764712</v>
      </c>
      <c r="W309" s="632">
        <f t="shared" ca="1" si="56"/>
        <v>49042291.721196935</v>
      </c>
      <c r="X309" s="632">
        <f t="shared" ca="1" si="56"/>
        <v>53818517.357643649</v>
      </c>
      <c r="Y309" s="632">
        <f t="shared" ca="1" si="56"/>
        <v>58849074.840219058</v>
      </c>
      <c r="Z309" s="632">
        <f t="shared" ca="1" si="56"/>
        <v>64145778.804770738</v>
      </c>
      <c r="AA309" s="632">
        <f t="shared" ca="1" si="56"/>
        <v>69720965.216886193</v>
      </c>
    </row>
    <row r="310" spans="1:27" ht="15" customHeight="1" x14ac:dyDescent="0.45">
      <c r="A310" s="792"/>
      <c r="B310" s="705"/>
      <c r="C310" s="705"/>
      <c r="D310" s="707"/>
      <c r="E310" s="783"/>
      <c r="F310" s="707"/>
      <c r="G310" s="850" t="s">
        <v>38</v>
      </c>
      <c r="H310" s="850" t="s">
        <v>38</v>
      </c>
      <c r="I310" s="850" t="s">
        <v>38</v>
      </c>
      <c r="J310" s="850" t="s">
        <v>38</v>
      </c>
      <c r="K310" s="851" t="s">
        <v>38</v>
      </c>
      <c r="L310" s="634" t="s">
        <v>38</v>
      </c>
      <c r="M310" s="634" t="s">
        <v>38</v>
      </c>
      <c r="N310" s="634" t="s">
        <v>38</v>
      </c>
      <c r="O310" s="634" t="s">
        <v>38</v>
      </c>
      <c r="P310" s="634" t="s">
        <v>38</v>
      </c>
      <c r="Q310" s="634" t="s">
        <v>38</v>
      </c>
      <c r="R310" s="634" t="s">
        <v>38</v>
      </c>
      <c r="S310" s="634" t="s">
        <v>38</v>
      </c>
      <c r="T310" s="634" t="s">
        <v>38</v>
      </c>
      <c r="U310" s="634" t="s">
        <v>38</v>
      </c>
      <c r="V310" s="634" t="s">
        <v>38</v>
      </c>
      <c r="W310" s="634" t="s">
        <v>38</v>
      </c>
      <c r="X310" s="634" t="s">
        <v>38</v>
      </c>
      <c r="Y310" s="634" t="s">
        <v>38</v>
      </c>
      <c r="Z310" s="634" t="s">
        <v>38</v>
      </c>
      <c r="AA310" s="634" t="s">
        <v>38</v>
      </c>
    </row>
    <row r="311" spans="1:27" ht="15" customHeight="1" x14ac:dyDescent="0.45">
      <c r="A311" s="792"/>
      <c r="B311" s="705"/>
      <c r="C311" s="705"/>
      <c r="D311" s="707" t="s">
        <v>39</v>
      </c>
      <c r="E311" s="793" t="s">
        <v>806</v>
      </c>
      <c r="F311" s="704"/>
      <c r="G311" s="841">
        <f t="shared" ref="G311:AA311" ca="1" si="57">G305+G307+G309</f>
        <v>7628714.5877072001</v>
      </c>
      <c r="H311" s="841">
        <f t="shared" ca="1" si="57"/>
        <v>10230461.003747314</v>
      </c>
      <c r="I311" s="841">
        <f t="shared" ca="1" si="57"/>
        <v>12898702.851081548</v>
      </c>
      <c r="J311" s="841">
        <f t="shared" ca="1" si="57"/>
        <v>15017257.377074923</v>
      </c>
      <c r="K311" s="842">
        <f t="shared" ca="1" si="57"/>
        <v>17266228.618774988</v>
      </c>
      <c r="L311" s="632">
        <f t="shared" ca="1" si="57"/>
        <v>19657924.418358371</v>
      </c>
      <c r="M311" s="632">
        <f t="shared" ca="1" si="57"/>
        <v>22199173.569694947</v>
      </c>
      <c r="N311" s="632">
        <f t="shared" ca="1" si="57"/>
        <v>24897056.836399555</v>
      </c>
      <c r="O311" s="632">
        <f t="shared" ca="1" si="57"/>
        <v>27758969.403160479</v>
      </c>
      <c r="P311" s="632">
        <f t="shared" ca="1" si="57"/>
        <v>30792634.938711993</v>
      </c>
      <c r="Q311" s="632">
        <f t="shared" ca="1" si="57"/>
        <v>34006119.819860995</v>
      </c>
      <c r="R311" s="632">
        <f t="shared" ca="1" si="57"/>
        <v>37407847.960394941</v>
      </c>
      <c r="S311" s="632">
        <f t="shared" ca="1" si="57"/>
        <v>41006616.274390779</v>
      </c>
      <c r="T311" s="632">
        <f t="shared" ca="1" si="57"/>
        <v>44811610.80095847</v>
      </c>
      <c r="U311" s="632">
        <f t="shared" ca="1" si="57"/>
        <v>48832423.518567875</v>
      </c>
      <c r="V311" s="632">
        <f t="shared" ca="1" si="57"/>
        <v>53079069.878302582</v>
      </c>
      <c r="W311" s="632">
        <f t="shared" ca="1" si="57"/>
        <v>57562007.086630329</v>
      </c>
      <c r="X311" s="632">
        <f t="shared" ca="1" si="57"/>
        <v>62292153.169577703</v>
      </c>
      <c r="Y311" s="632">
        <f t="shared" ca="1" si="57"/>
        <v>67280906.851550996</v>
      </c>
      <c r="Z311" s="632">
        <f t="shared" ca="1" si="57"/>
        <v>72540168.283455744</v>
      </c>
      <c r="AA311" s="632">
        <f t="shared" ca="1" si="57"/>
        <v>78082360.656238541</v>
      </c>
    </row>
    <row r="312" spans="1:27" ht="15" customHeight="1" x14ac:dyDescent="0.45">
      <c r="A312" s="792"/>
      <c r="B312" s="705"/>
      <c r="C312" s="705"/>
      <c r="D312" s="707"/>
      <c r="E312" s="783"/>
      <c r="F312" s="707"/>
      <c r="G312" s="841"/>
      <c r="H312" s="841"/>
      <c r="I312" s="841"/>
      <c r="J312" s="841"/>
      <c r="K312" s="842"/>
      <c r="L312" s="632"/>
      <c r="M312" s="632"/>
      <c r="N312" s="632"/>
      <c r="O312" s="632"/>
      <c r="P312" s="632"/>
      <c r="Q312" s="632"/>
      <c r="R312" s="632"/>
      <c r="S312" s="632"/>
      <c r="T312" s="632"/>
      <c r="U312" s="632"/>
      <c r="V312" s="632"/>
      <c r="W312" s="632"/>
      <c r="X312" s="632"/>
      <c r="Y312" s="632"/>
      <c r="Z312" s="632"/>
      <c r="AA312" s="632"/>
    </row>
    <row r="313" spans="1:27" ht="15" customHeight="1" x14ac:dyDescent="0.45">
      <c r="A313" s="792"/>
      <c r="B313" s="705"/>
      <c r="C313" s="705"/>
      <c r="D313" s="707" t="s">
        <v>40</v>
      </c>
      <c r="E313" s="793" t="s">
        <v>806</v>
      </c>
      <c r="F313" s="704"/>
      <c r="G313" s="841">
        <f ca="1">IF(G388&lt;0,G388,F313+G290-G351)</f>
        <v>-711385.62368784007</v>
      </c>
      <c r="H313" s="841">
        <f t="shared" ref="H313:AA313" ca="1" si="58">IF(H388&lt;0,H388,G313+H290-H351)</f>
        <v>69138.301124193822</v>
      </c>
      <c r="I313" s="841">
        <f t="shared" ca="1" si="58"/>
        <v>821214.04453752877</v>
      </c>
      <c r="J313" s="841">
        <f t="shared" ca="1" si="58"/>
        <v>881930.57115927117</v>
      </c>
      <c r="K313" s="842">
        <f t="shared" ca="1" si="58"/>
        <v>939270.54385780112</v>
      </c>
      <c r="L313" s="632">
        <f t="shared" ca="1" si="58"/>
        <v>999289.90303235466</v>
      </c>
      <c r="M313" s="632">
        <f t="shared" ca="1" si="58"/>
        <v>1062161.7163106799</v>
      </c>
      <c r="N313" s="632">
        <f t="shared" ca="1" si="58"/>
        <v>1128013.4949045866</v>
      </c>
      <c r="O313" s="632">
        <f t="shared" ca="1" si="58"/>
        <v>1196977.8184996531</v>
      </c>
      <c r="P313" s="632">
        <f t="shared" ca="1" si="58"/>
        <v>1269193.0062153493</v>
      </c>
      <c r="Q313" s="632">
        <f t="shared" ca="1" si="58"/>
        <v>1344803.3662093072</v>
      </c>
      <c r="R313" s="632">
        <f t="shared" ca="1" si="58"/>
        <v>1423959.4520229748</v>
      </c>
      <c r="S313" s="632">
        <f t="shared" ca="1" si="58"/>
        <v>1506818.3298056428</v>
      </c>
      <c r="T313" s="632">
        <f t="shared" ca="1" si="58"/>
        <v>1593543.8569120015</v>
      </c>
      <c r="U313" s="632">
        <f t="shared" ca="1" si="58"/>
        <v>1684306.97235642</v>
      </c>
      <c r="V313" s="632">
        <f t="shared" ca="1" si="58"/>
        <v>1779285.9996273397</v>
      </c>
      <c r="W313" s="632">
        <f t="shared" ca="1" si="58"/>
        <v>1878666.9623865252</v>
      </c>
      <c r="X313" s="632">
        <f t="shared" ca="1" si="58"/>
        <v>1982643.9136001696</v>
      </c>
      <c r="Y313" s="632">
        <f t="shared" ca="1" si="58"/>
        <v>2091419.27867204</v>
      </c>
      <c r="Z313" s="632">
        <f t="shared" ca="1" si="58"/>
        <v>2205204.2131730351</v>
      </c>
      <c r="AA313" s="632">
        <f t="shared" ca="1" si="58"/>
        <v>2324218.9757867497</v>
      </c>
    </row>
    <row r="314" spans="1:27" ht="15" hidden="1" customHeight="1" x14ac:dyDescent="0.45">
      <c r="A314" s="792"/>
      <c r="B314" s="705"/>
      <c r="C314" s="705"/>
      <c r="D314" s="707" t="s">
        <v>41</v>
      </c>
      <c r="E314" s="793" t="s">
        <v>806</v>
      </c>
      <c r="F314" s="704"/>
      <c r="G314" s="841">
        <f>'Financing Template'!G149+'Financing Template'!G169</f>
        <v>0</v>
      </c>
      <c r="H314" s="841">
        <f>'Financing Template'!H149+'Financing Template'!H169</f>
        <v>0</v>
      </c>
      <c r="I314" s="841">
        <f>'Financing Template'!I149+'Financing Template'!I169</f>
        <v>0</v>
      </c>
      <c r="J314" s="841">
        <f>'Financing Template'!J149+'Financing Template'!J169</f>
        <v>0</v>
      </c>
      <c r="K314" s="842">
        <f>'Financing Template'!K149+'Financing Template'!K169</f>
        <v>0</v>
      </c>
      <c r="L314" s="632">
        <f>'Financing Template'!L149+'Financing Template'!L169</f>
        <v>0</v>
      </c>
      <c r="M314" s="632">
        <f>'Financing Template'!M149+'Financing Template'!M169</f>
        <v>0</v>
      </c>
      <c r="N314" s="632">
        <f>'Financing Template'!N149+'Financing Template'!N169</f>
        <v>0</v>
      </c>
      <c r="O314" s="632">
        <f>'Financing Template'!O149+'Financing Template'!O169</f>
        <v>0</v>
      </c>
      <c r="P314" s="632">
        <f>'Financing Template'!P149+'Financing Template'!P169</f>
        <v>0</v>
      </c>
      <c r="Q314" s="632">
        <f>'Financing Template'!Q149+'Financing Template'!Q169</f>
        <v>0</v>
      </c>
      <c r="R314" s="632">
        <f>'Financing Template'!R149+'Financing Template'!R169</f>
        <v>0</v>
      </c>
      <c r="S314" s="632">
        <f>'Financing Template'!S149+'Financing Template'!S169</f>
        <v>0</v>
      </c>
      <c r="T314" s="632">
        <f>'Financing Template'!T149+'Financing Template'!T169</f>
        <v>0</v>
      </c>
      <c r="U314" s="632">
        <f>'Financing Template'!U149+'Financing Template'!U169</f>
        <v>0</v>
      </c>
      <c r="V314" s="632">
        <f>'Financing Template'!V149+'Financing Template'!V169</f>
        <v>0</v>
      </c>
      <c r="W314" s="632">
        <f>'Financing Template'!W149+'Financing Template'!W169</f>
        <v>0</v>
      </c>
      <c r="X314" s="632">
        <f>'Financing Template'!X149+'Financing Template'!X169</f>
        <v>0</v>
      </c>
      <c r="Y314" s="632">
        <f>'Financing Template'!Y149+'Financing Template'!Y169</f>
        <v>0</v>
      </c>
      <c r="Z314" s="632">
        <f>'Financing Template'!Z149+'Financing Template'!Z169</f>
        <v>0</v>
      </c>
      <c r="AA314" s="632">
        <f>'Financing Template'!AA149+'Financing Template'!AA169</f>
        <v>0</v>
      </c>
    </row>
    <row r="315" spans="1:27" s="576" customFormat="1" ht="15" hidden="1" customHeight="1" x14ac:dyDescent="0.45">
      <c r="A315" s="852"/>
      <c r="B315" s="853"/>
      <c r="C315" s="853"/>
      <c r="D315" s="854" t="s">
        <v>42</v>
      </c>
      <c r="E315" s="855" t="s">
        <v>806</v>
      </c>
      <c r="F315" s="856"/>
      <c r="G315" s="857">
        <f>F315+G285</f>
        <v>0</v>
      </c>
      <c r="H315" s="857">
        <f t="shared" ref="H315:AA315" si="59">G315+H285</f>
        <v>0</v>
      </c>
      <c r="I315" s="857">
        <f t="shared" si="59"/>
        <v>0</v>
      </c>
      <c r="J315" s="857">
        <f t="shared" si="59"/>
        <v>0</v>
      </c>
      <c r="K315" s="858">
        <f t="shared" si="59"/>
        <v>0</v>
      </c>
      <c r="L315" s="635">
        <f t="shared" si="59"/>
        <v>0</v>
      </c>
      <c r="M315" s="635">
        <f t="shared" si="59"/>
        <v>0</v>
      </c>
      <c r="N315" s="635">
        <f t="shared" si="59"/>
        <v>0</v>
      </c>
      <c r="O315" s="635">
        <f t="shared" si="59"/>
        <v>0</v>
      </c>
      <c r="P315" s="635">
        <f t="shared" si="59"/>
        <v>0</v>
      </c>
      <c r="Q315" s="635">
        <f t="shared" si="59"/>
        <v>0</v>
      </c>
      <c r="R315" s="635">
        <f t="shared" si="59"/>
        <v>0</v>
      </c>
      <c r="S315" s="635">
        <f t="shared" si="59"/>
        <v>0</v>
      </c>
      <c r="T315" s="635">
        <f t="shared" si="59"/>
        <v>0</v>
      </c>
      <c r="U315" s="635">
        <f t="shared" si="59"/>
        <v>0</v>
      </c>
      <c r="V315" s="635">
        <f t="shared" si="59"/>
        <v>0</v>
      </c>
      <c r="W315" s="635">
        <f t="shared" si="59"/>
        <v>0</v>
      </c>
      <c r="X315" s="635">
        <f t="shared" si="59"/>
        <v>0</v>
      </c>
      <c r="Y315" s="635">
        <f t="shared" si="59"/>
        <v>0</v>
      </c>
      <c r="Z315" s="635">
        <f t="shared" si="59"/>
        <v>0</v>
      </c>
      <c r="AA315" s="635">
        <f t="shared" si="59"/>
        <v>0</v>
      </c>
    </row>
    <row r="316" spans="1:27" ht="15" customHeight="1" x14ac:dyDescent="0.45">
      <c r="A316" s="792"/>
      <c r="B316" s="705"/>
      <c r="C316" s="705"/>
      <c r="D316" s="707"/>
      <c r="E316" s="793"/>
      <c r="F316" s="704"/>
      <c r="G316" s="841"/>
      <c r="H316" s="841"/>
      <c r="I316" s="841"/>
      <c r="J316" s="841"/>
      <c r="K316" s="842"/>
      <c r="L316" s="632"/>
      <c r="M316" s="632"/>
      <c r="N316" s="632"/>
      <c r="O316" s="632"/>
      <c r="P316" s="632"/>
      <c r="Q316" s="632"/>
      <c r="R316" s="632"/>
      <c r="S316" s="632"/>
      <c r="T316" s="632"/>
      <c r="U316" s="632"/>
      <c r="V316" s="632"/>
      <c r="W316" s="632"/>
      <c r="X316" s="632"/>
      <c r="Y316" s="632"/>
      <c r="Z316" s="632"/>
      <c r="AA316" s="632"/>
    </row>
    <row r="317" spans="1:27" ht="15" hidden="1" customHeight="1" x14ac:dyDescent="0.45">
      <c r="A317" s="792"/>
      <c r="B317" s="705"/>
      <c r="C317" s="707"/>
      <c r="D317" s="707" t="s">
        <v>168</v>
      </c>
      <c r="E317" s="783"/>
      <c r="F317" s="704"/>
      <c r="G317" s="841"/>
      <c r="H317" s="841"/>
      <c r="I317" s="841"/>
      <c r="J317" s="841"/>
      <c r="K317" s="842"/>
      <c r="L317" s="632"/>
      <c r="M317" s="632"/>
      <c r="N317" s="632"/>
      <c r="O317" s="632"/>
      <c r="P317" s="632"/>
      <c r="Q317" s="632"/>
      <c r="R317" s="632"/>
      <c r="S317" s="632"/>
      <c r="T317" s="632"/>
      <c r="U317" s="632"/>
      <c r="V317" s="632"/>
      <c r="W317" s="632"/>
      <c r="X317" s="632"/>
      <c r="Y317" s="632"/>
      <c r="Z317" s="632"/>
      <c r="AA317" s="632"/>
    </row>
    <row r="318" spans="1:27" ht="15" hidden="1" customHeight="1" x14ac:dyDescent="0.45">
      <c r="A318" s="792"/>
      <c r="B318" s="705"/>
      <c r="C318" s="707"/>
      <c r="D318" s="707" t="s">
        <v>188</v>
      </c>
      <c r="E318" s="783" t="s">
        <v>806</v>
      </c>
      <c r="F318" s="704"/>
      <c r="G318" s="815">
        <f>'Financing Template'!G189</f>
        <v>0</v>
      </c>
      <c r="H318" s="815">
        <f>'Financing Template'!H189</f>
        <v>0</v>
      </c>
      <c r="I318" s="815">
        <f>'Financing Template'!I189</f>
        <v>0</v>
      </c>
      <c r="J318" s="815">
        <f>'Financing Template'!J189</f>
        <v>0</v>
      </c>
      <c r="K318" s="816">
        <f>'Financing Template'!K189</f>
        <v>0</v>
      </c>
      <c r="L318" s="568">
        <f>'Financing Template'!L189</f>
        <v>0</v>
      </c>
      <c r="M318" s="568">
        <f>'Financing Template'!M189</f>
        <v>0</v>
      </c>
      <c r="N318" s="568">
        <f>'Financing Template'!N189</f>
        <v>0</v>
      </c>
      <c r="O318" s="568">
        <f>'Financing Template'!O189</f>
        <v>0</v>
      </c>
      <c r="P318" s="568">
        <f>'Financing Template'!P189</f>
        <v>0</v>
      </c>
      <c r="Q318" s="568">
        <f>'Financing Template'!Q189</f>
        <v>0</v>
      </c>
      <c r="R318" s="568">
        <f>'Financing Template'!R189</f>
        <v>0</v>
      </c>
      <c r="S318" s="568">
        <f>'Financing Template'!S189</f>
        <v>0</v>
      </c>
      <c r="T318" s="568">
        <f>'Financing Template'!T189</f>
        <v>0</v>
      </c>
      <c r="U318" s="568">
        <f>'Financing Template'!U189</f>
        <v>0</v>
      </c>
      <c r="V318" s="568">
        <f>'Financing Template'!V189</f>
        <v>0</v>
      </c>
      <c r="W318" s="568">
        <f>'Financing Template'!W189</f>
        <v>0</v>
      </c>
      <c r="X318" s="568">
        <f>'Financing Template'!X189</f>
        <v>0</v>
      </c>
      <c r="Y318" s="568">
        <f>'Financing Template'!Y189</f>
        <v>0</v>
      </c>
      <c r="Z318" s="568">
        <f>'Financing Template'!Z189</f>
        <v>0</v>
      </c>
      <c r="AA318" s="568">
        <f>'Financing Template'!AA189</f>
        <v>0</v>
      </c>
    </row>
    <row r="319" spans="1:27" ht="15" hidden="1" customHeight="1" x14ac:dyDescent="0.45">
      <c r="A319" s="792"/>
      <c r="B319" s="705"/>
      <c r="C319" s="707"/>
      <c r="D319" s="707" t="s">
        <v>189</v>
      </c>
      <c r="E319" s="783" t="s">
        <v>806</v>
      </c>
      <c r="F319" s="704"/>
      <c r="G319" s="815">
        <f>'Financing Template'!G270</f>
        <v>0</v>
      </c>
      <c r="H319" s="815">
        <f>'Financing Template'!H270</f>
        <v>0</v>
      </c>
      <c r="I319" s="815">
        <f>'Financing Template'!I270</f>
        <v>0</v>
      </c>
      <c r="J319" s="815">
        <f>'Financing Template'!J270</f>
        <v>0</v>
      </c>
      <c r="K319" s="816">
        <f>'Financing Template'!K270</f>
        <v>0</v>
      </c>
      <c r="L319" s="568">
        <f>'Financing Template'!L270</f>
        <v>0</v>
      </c>
      <c r="M319" s="568">
        <f>'Financing Template'!M270</f>
        <v>0</v>
      </c>
      <c r="N319" s="568">
        <f>'Financing Template'!N270</f>
        <v>0</v>
      </c>
      <c r="O319" s="568">
        <f>'Financing Template'!O270</f>
        <v>0</v>
      </c>
      <c r="P319" s="568">
        <f>'Financing Template'!P270</f>
        <v>0</v>
      </c>
      <c r="Q319" s="568">
        <f>'Financing Template'!Q270</f>
        <v>0</v>
      </c>
      <c r="R319" s="568">
        <f>'Financing Template'!R270</f>
        <v>0</v>
      </c>
      <c r="S319" s="568">
        <f>'Financing Template'!S270</f>
        <v>0</v>
      </c>
      <c r="T319" s="568">
        <f>'Financing Template'!T270</f>
        <v>0</v>
      </c>
      <c r="U319" s="568">
        <f>'Financing Template'!U270</f>
        <v>0</v>
      </c>
      <c r="V319" s="568">
        <f>'Financing Template'!V270</f>
        <v>0</v>
      </c>
      <c r="W319" s="568">
        <f>'Financing Template'!W270</f>
        <v>0</v>
      </c>
      <c r="X319" s="568">
        <f>'Financing Template'!X270</f>
        <v>0</v>
      </c>
      <c r="Y319" s="568">
        <f>'Financing Template'!Y270</f>
        <v>0</v>
      </c>
      <c r="Z319" s="568">
        <f>'Financing Template'!Z270</f>
        <v>0</v>
      </c>
      <c r="AA319" s="568">
        <f>'Financing Template'!AA270</f>
        <v>0</v>
      </c>
    </row>
    <row r="320" spans="1:27" ht="15" hidden="1" customHeight="1" x14ac:dyDescent="0.45">
      <c r="A320" s="792"/>
      <c r="B320" s="705"/>
      <c r="C320" s="707"/>
      <c r="D320" s="707" t="s">
        <v>169</v>
      </c>
      <c r="E320" s="783" t="s">
        <v>806</v>
      </c>
      <c r="F320" s="704"/>
      <c r="G320" s="815">
        <f>'Financing Template'!G207</f>
        <v>0</v>
      </c>
      <c r="H320" s="815">
        <f>'Financing Template'!H207</f>
        <v>0</v>
      </c>
      <c r="I320" s="815">
        <f>'Financing Template'!I207</f>
        <v>0</v>
      </c>
      <c r="J320" s="815">
        <f>'Financing Template'!J207</f>
        <v>0</v>
      </c>
      <c r="K320" s="816">
        <f>'Financing Template'!K207</f>
        <v>0</v>
      </c>
      <c r="L320" s="568">
        <f>'Financing Template'!L207</f>
        <v>0</v>
      </c>
      <c r="M320" s="568">
        <f>'Financing Template'!M207</f>
        <v>0</v>
      </c>
      <c r="N320" s="568">
        <f>'Financing Template'!N207</f>
        <v>0</v>
      </c>
      <c r="O320" s="568">
        <f>'Financing Template'!O207</f>
        <v>0</v>
      </c>
      <c r="P320" s="568">
        <f>'Financing Template'!P207</f>
        <v>0</v>
      </c>
      <c r="Q320" s="568">
        <f>'Financing Template'!Q207</f>
        <v>0</v>
      </c>
      <c r="R320" s="568">
        <f>'Financing Template'!R207</f>
        <v>0</v>
      </c>
      <c r="S320" s="568">
        <f>'Financing Template'!S207</f>
        <v>0</v>
      </c>
      <c r="T320" s="568">
        <f>'Financing Template'!T207</f>
        <v>0</v>
      </c>
      <c r="U320" s="568">
        <f>'Financing Template'!U207</f>
        <v>0</v>
      </c>
      <c r="V320" s="568">
        <f>'Financing Template'!V207</f>
        <v>0</v>
      </c>
      <c r="W320" s="568">
        <f>'Financing Template'!W207</f>
        <v>0</v>
      </c>
      <c r="X320" s="568">
        <f>'Financing Template'!X207</f>
        <v>0</v>
      </c>
      <c r="Y320" s="568">
        <f>'Financing Template'!Y207</f>
        <v>0</v>
      </c>
      <c r="Z320" s="568">
        <f>'Financing Template'!Z207</f>
        <v>0</v>
      </c>
      <c r="AA320" s="568">
        <f>'Financing Template'!AA207</f>
        <v>0</v>
      </c>
    </row>
    <row r="321" spans="1:27" ht="15" hidden="1" customHeight="1" x14ac:dyDescent="0.45">
      <c r="A321" s="792"/>
      <c r="B321" s="705"/>
      <c r="C321" s="707"/>
      <c r="D321" s="707" t="s">
        <v>799</v>
      </c>
      <c r="E321" s="783" t="s">
        <v>806</v>
      </c>
      <c r="F321" s="704"/>
      <c r="G321" s="815">
        <f>'Financing Template'!G225+'Financing Template'!G243</f>
        <v>0</v>
      </c>
      <c r="H321" s="815">
        <f>'Financing Template'!H225+'Financing Template'!H243</f>
        <v>0</v>
      </c>
      <c r="I321" s="815">
        <f>'Financing Template'!I225+'Financing Template'!I243</f>
        <v>0</v>
      </c>
      <c r="J321" s="815">
        <f>'Financing Template'!J225+'Financing Template'!J243</f>
        <v>0</v>
      </c>
      <c r="K321" s="816">
        <f>'Financing Template'!K225+'Financing Template'!K243</f>
        <v>0</v>
      </c>
      <c r="L321" s="568">
        <f>'Financing Template'!L225+'Financing Template'!L243</f>
        <v>0</v>
      </c>
      <c r="M321" s="568">
        <f>'Financing Template'!M225+'Financing Template'!M243</f>
        <v>0</v>
      </c>
      <c r="N321" s="568">
        <f>'Financing Template'!N225+'Financing Template'!N243</f>
        <v>0</v>
      </c>
      <c r="O321" s="568">
        <f>'Financing Template'!O225+'Financing Template'!O243</f>
        <v>0</v>
      </c>
      <c r="P321" s="568">
        <f>'Financing Template'!P225+'Financing Template'!P243</f>
        <v>0</v>
      </c>
      <c r="Q321" s="568">
        <f>'Financing Template'!Q225+'Financing Template'!Q243</f>
        <v>0</v>
      </c>
      <c r="R321" s="568">
        <f>'Financing Template'!R225+'Financing Template'!R243</f>
        <v>0</v>
      </c>
      <c r="S321" s="568">
        <f>'Financing Template'!S225+'Financing Template'!S243</f>
        <v>0</v>
      </c>
      <c r="T321" s="568">
        <f>'Financing Template'!T225+'Financing Template'!T243</f>
        <v>0</v>
      </c>
      <c r="U321" s="568">
        <f>'Financing Template'!U225+'Financing Template'!U243</f>
        <v>0</v>
      </c>
      <c r="V321" s="568">
        <f>'Financing Template'!V225+'Financing Template'!V243</f>
        <v>0</v>
      </c>
      <c r="W321" s="568">
        <f>'Financing Template'!W225+'Financing Template'!W243</f>
        <v>0</v>
      </c>
      <c r="X321" s="568">
        <f>'Financing Template'!X225+'Financing Template'!X243</f>
        <v>0</v>
      </c>
      <c r="Y321" s="568">
        <f>'Financing Template'!Y225+'Financing Template'!Y243</f>
        <v>0</v>
      </c>
      <c r="Z321" s="568">
        <f>'Financing Template'!Z225+'Financing Template'!Z243</f>
        <v>0</v>
      </c>
      <c r="AA321" s="568">
        <f>'Financing Template'!AA225+'Financing Template'!AA243</f>
        <v>0</v>
      </c>
    </row>
    <row r="322" spans="1:27" ht="15" hidden="1" customHeight="1" x14ac:dyDescent="0.45">
      <c r="A322" s="792"/>
      <c r="B322" s="705"/>
      <c r="C322" s="707"/>
      <c r="D322" s="707"/>
      <c r="E322" s="783"/>
      <c r="F322" s="704"/>
      <c r="G322" s="850" t="s">
        <v>171</v>
      </c>
      <c r="H322" s="850" t="s">
        <v>171</v>
      </c>
      <c r="I322" s="850" t="s">
        <v>171</v>
      </c>
      <c r="J322" s="850" t="s">
        <v>171</v>
      </c>
      <c r="K322" s="851" t="s">
        <v>171</v>
      </c>
      <c r="L322" s="634" t="s">
        <v>171</v>
      </c>
      <c r="M322" s="634" t="s">
        <v>171</v>
      </c>
      <c r="N322" s="634" t="s">
        <v>171</v>
      </c>
      <c r="O322" s="634" t="s">
        <v>171</v>
      </c>
      <c r="P322" s="634" t="s">
        <v>171</v>
      </c>
      <c r="Q322" s="634" t="s">
        <v>171</v>
      </c>
      <c r="R322" s="634" t="s">
        <v>171</v>
      </c>
      <c r="S322" s="634" t="s">
        <v>171</v>
      </c>
      <c r="T322" s="634" t="s">
        <v>171</v>
      </c>
      <c r="U322" s="634" t="s">
        <v>171</v>
      </c>
      <c r="V322" s="634" t="s">
        <v>171</v>
      </c>
      <c r="W322" s="634" t="s">
        <v>171</v>
      </c>
      <c r="X322" s="634" t="s">
        <v>171</v>
      </c>
      <c r="Y322" s="634" t="s">
        <v>171</v>
      </c>
      <c r="Z322" s="634" t="s">
        <v>171</v>
      </c>
      <c r="AA322" s="634" t="s">
        <v>171</v>
      </c>
    </row>
    <row r="323" spans="1:27" ht="15" hidden="1" customHeight="1" x14ac:dyDescent="0.45">
      <c r="A323" s="792"/>
      <c r="B323" s="705"/>
      <c r="C323" s="707"/>
      <c r="D323" s="707" t="s">
        <v>284</v>
      </c>
      <c r="E323" s="783" t="s">
        <v>806</v>
      </c>
      <c r="F323" s="789"/>
      <c r="G323" s="815">
        <f>SUM(G317:G322)</f>
        <v>0</v>
      </c>
      <c r="H323" s="815">
        <f t="shared" ref="H323:AA323" si="60">SUM(H317:H322)</f>
        <v>0</v>
      </c>
      <c r="I323" s="815">
        <f t="shared" si="60"/>
        <v>0</v>
      </c>
      <c r="J323" s="815">
        <f t="shared" si="60"/>
        <v>0</v>
      </c>
      <c r="K323" s="816">
        <f t="shared" si="60"/>
        <v>0</v>
      </c>
      <c r="L323" s="568">
        <f t="shared" si="60"/>
        <v>0</v>
      </c>
      <c r="M323" s="568">
        <f t="shared" si="60"/>
        <v>0</v>
      </c>
      <c r="N323" s="568">
        <f t="shared" si="60"/>
        <v>0</v>
      </c>
      <c r="O323" s="568">
        <f t="shared" si="60"/>
        <v>0</v>
      </c>
      <c r="P323" s="568">
        <f t="shared" si="60"/>
        <v>0</v>
      </c>
      <c r="Q323" s="568">
        <f t="shared" si="60"/>
        <v>0</v>
      </c>
      <c r="R323" s="568">
        <f t="shared" si="60"/>
        <v>0</v>
      </c>
      <c r="S323" s="568">
        <f t="shared" si="60"/>
        <v>0</v>
      </c>
      <c r="T323" s="568">
        <f t="shared" si="60"/>
        <v>0</v>
      </c>
      <c r="U323" s="568">
        <f t="shared" si="60"/>
        <v>0</v>
      </c>
      <c r="V323" s="568">
        <f t="shared" si="60"/>
        <v>0</v>
      </c>
      <c r="W323" s="568">
        <f t="shared" si="60"/>
        <v>0</v>
      </c>
      <c r="X323" s="568">
        <f t="shared" si="60"/>
        <v>0</v>
      </c>
      <c r="Y323" s="568">
        <f t="shared" si="60"/>
        <v>0</v>
      </c>
      <c r="Z323" s="568">
        <f t="shared" si="60"/>
        <v>0</v>
      </c>
      <c r="AA323" s="568">
        <f t="shared" si="60"/>
        <v>0</v>
      </c>
    </row>
    <row r="324" spans="1:27" ht="15" hidden="1" customHeight="1" x14ac:dyDescent="0.45">
      <c r="A324" s="792"/>
      <c r="B324" s="705"/>
      <c r="C324" s="705"/>
      <c r="D324" s="707"/>
      <c r="E324" s="783"/>
      <c r="F324" s="707"/>
      <c r="G324" s="815"/>
      <c r="H324" s="815"/>
      <c r="I324" s="815"/>
      <c r="J324" s="815"/>
      <c r="K324" s="816"/>
      <c r="L324" s="568"/>
      <c r="M324" s="568"/>
      <c r="N324" s="568"/>
      <c r="O324" s="568"/>
      <c r="P324" s="568"/>
      <c r="Q324" s="568"/>
      <c r="R324" s="568"/>
      <c r="S324" s="568"/>
      <c r="T324" s="568"/>
      <c r="U324" s="568"/>
      <c r="V324" s="568"/>
      <c r="W324" s="568"/>
      <c r="X324" s="568"/>
      <c r="Y324" s="568"/>
      <c r="Z324" s="568"/>
      <c r="AA324" s="568"/>
    </row>
    <row r="325" spans="1:27" ht="15" customHeight="1" x14ac:dyDescent="0.45">
      <c r="A325" s="792"/>
      <c r="B325" s="705"/>
      <c r="C325" s="705"/>
      <c r="D325" s="707" t="s">
        <v>145</v>
      </c>
      <c r="E325" s="783"/>
      <c r="F325" s="707"/>
      <c r="G325" s="815"/>
      <c r="H325" s="815"/>
      <c r="I325" s="815"/>
      <c r="J325" s="815"/>
      <c r="K325" s="816"/>
      <c r="L325" s="568"/>
      <c r="M325" s="568"/>
      <c r="N325" s="568"/>
      <c r="O325" s="568"/>
      <c r="P325" s="568"/>
      <c r="Q325" s="568"/>
      <c r="R325" s="568"/>
      <c r="S325" s="568"/>
      <c r="T325" s="568"/>
      <c r="U325" s="568"/>
      <c r="V325" s="568"/>
      <c r="W325" s="568"/>
      <c r="X325" s="568"/>
      <c r="Y325" s="568"/>
      <c r="Z325" s="568"/>
      <c r="AA325" s="568"/>
    </row>
    <row r="326" spans="1:27" ht="15" hidden="1" customHeight="1" x14ac:dyDescent="0.45">
      <c r="A326" s="792"/>
      <c r="B326" s="705"/>
      <c r="C326" s="705"/>
      <c r="D326" s="707" t="s">
        <v>43</v>
      </c>
      <c r="E326" s="793" t="s">
        <v>806</v>
      </c>
      <c r="F326" s="789"/>
      <c r="G326" s="841">
        <f>F326+G369</f>
        <v>10000000</v>
      </c>
      <c r="H326" s="841">
        <f t="shared" ref="H326:AA326" si="61">G326+H369</f>
        <v>10000000</v>
      </c>
      <c r="I326" s="841">
        <f t="shared" si="61"/>
        <v>10000000</v>
      </c>
      <c r="J326" s="841">
        <f t="shared" si="61"/>
        <v>10000000</v>
      </c>
      <c r="K326" s="842">
        <f t="shared" si="61"/>
        <v>10000000</v>
      </c>
      <c r="L326" s="632">
        <f t="shared" si="61"/>
        <v>10000000</v>
      </c>
      <c r="M326" s="632">
        <f t="shared" si="61"/>
        <v>10000000</v>
      </c>
      <c r="N326" s="632">
        <f t="shared" si="61"/>
        <v>10000000</v>
      </c>
      <c r="O326" s="632">
        <f t="shared" si="61"/>
        <v>10000000</v>
      </c>
      <c r="P326" s="632">
        <f t="shared" si="61"/>
        <v>10000000</v>
      </c>
      <c r="Q326" s="632">
        <f t="shared" si="61"/>
        <v>10000000</v>
      </c>
      <c r="R326" s="632">
        <f t="shared" si="61"/>
        <v>10000000</v>
      </c>
      <c r="S326" s="632">
        <f t="shared" si="61"/>
        <v>10000000</v>
      </c>
      <c r="T326" s="632">
        <f t="shared" si="61"/>
        <v>10000000</v>
      </c>
      <c r="U326" s="632">
        <f t="shared" si="61"/>
        <v>10000000</v>
      </c>
      <c r="V326" s="632">
        <f t="shared" si="61"/>
        <v>10000000</v>
      </c>
      <c r="W326" s="632">
        <f t="shared" si="61"/>
        <v>10000000</v>
      </c>
      <c r="X326" s="632">
        <f t="shared" si="61"/>
        <v>10000000</v>
      </c>
      <c r="Y326" s="632">
        <f t="shared" si="61"/>
        <v>10000000</v>
      </c>
      <c r="Z326" s="632">
        <f t="shared" si="61"/>
        <v>10000000</v>
      </c>
      <c r="AA326" s="632">
        <f t="shared" si="61"/>
        <v>10000000</v>
      </c>
    </row>
    <row r="327" spans="1:27" ht="15" customHeight="1" x14ac:dyDescent="0.45">
      <c r="A327" s="792"/>
      <c r="B327" s="705"/>
      <c r="C327" s="705"/>
      <c r="D327" s="707" t="s">
        <v>44</v>
      </c>
      <c r="E327" s="793" t="s">
        <v>806</v>
      </c>
      <c r="F327" s="704"/>
      <c r="G327" s="841">
        <f ca="1">F327+G296</f>
        <v>-1659899.7886049603</v>
      </c>
      <c r="H327" s="841">
        <f t="shared" ref="H327:AA327" ca="1" si="62">G327+H296</f>
        <v>161322.70262311911</v>
      </c>
      <c r="I327" s="841">
        <f t="shared" ca="1" si="62"/>
        <v>2077488.8065440194</v>
      </c>
      <c r="J327" s="841">
        <f t="shared" ca="1" si="62"/>
        <v>4135326.8059156518</v>
      </c>
      <c r="K327" s="842">
        <f t="shared" ca="1" si="62"/>
        <v>6326958.0749171879</v>
      </c>
      <c r="L327" s="632">
        <f t="shared" ca="1" si="62"/>
        <v>8658634.5153260157</v>
      </c>
      <c r="M327" s="632">
        <f t="shared" ca="1" si="62"/>
        <v>11137011.853384268</v>
      </c>
      <c r="N327" s="632">
        <f t="shared" ca="1" si="62"/>
        <v>13769043.34149497</v>
      </c>
      <c r="O327" s="632">
        <f t="shared" ca="1" si="62"/>
        <v>16561991.584660828</v>
      </c>
      <c r="P327" s="632">
        <f t="shared" ca="1" si="62"/>
        <v>19523441.932496645</v>
      </c>
      <c r="Q327" s="632">
        <f t="shared" ca="1" si="62"/>
        <v>22661316.453651696</v>
      </c>
      <c r="R327" s="632">
        <f t="shared" ca="1" si="62"/>
        <v>25983888.508371972</v>
      </c>
      <c r="S327" s="632">
        <f t="shared" ca="1" si="62"/>
        <v>29499797.944585137</v>
      </c>
      <c r="T327" s="632">
        <f t="shared" ca="1" si="62"/>
        <v>33218066.944046475</v>
      </c>
      <c r="U327" s="632">
        <f t="shared" ca="1" si="62"/>
        <v>37148116.546211451</v>
      </c>
      <c r="V327" s="632">
        <f t="shared" ca="1" si="62"/>
        <v>41299783.878675245</v>
      </c>
      <c r="W327" s="632">
        <f t="shared" ca="1" si="62"/>
        <v>45683340.124243803</v>
      </c>
      <c r="X327" s="632">
        <f t="shared" ca="1" si="62"/>
        <v>50309509.255977534</v>
      </c>
      <c r="Y327" s="632">
        <f t="shared" ca="1" si="62"/>
        <v>55189487.572878957</v>
      </c>
      <c r="Z327" s="632">
        <f t="shared" ca="1" si="62"/>
        <v>60334964.070282705</v>
      </c>
      <c r="AA327" s="632">
        <f t="shared" ca="1" si="62"/>
        <v>65758141.680451788</v>
      </c>
    </row>
    <row r="328" spans="1:27" ht="15" hidden="1" customHeight="1" x14ac:dyDescent="0.45">
      <c r="A328" s="792"/>
      <c r="B328" s="705"/>
      <c r="C328" s="705"/>
      <c r="D328" s="707"/>
      <c r="E328" s="783"/>
      <c r="F328" s="707"/>
      <c r="G328" s="841"/>
      <c r="H328" s="841"/>
      <c r="I328" s="841"/>
      <c r="J328" s="841"/>
      <c r="K328" s="842"/>
      <c r="L328" s="632"/>
      <c r="M328" s="632"/>
      <c r="N328" s="632"/>
      <c r="O328" s="632"/>
      <c r="P328" s="632"/>
      <c r="Q328" s="632"/>
      <c r="R328" s="632"/>
      <c r="S328" s="632"/>
      <c r="T328" s="632"/>
      <c r="U328" s="632"/>
      <c r="V328" s="632"/>
      <c r="W328" s="632"/>
      <c r="X328" s="632"/>
      <c r="Y328" s="632"/>
      <c r="Z328" s="632"/>
      <c r="AA328" s="632"/>
    </row>
    <row r="329" spans="1:27" ht="15" customHeight="1" x14ac:dyDescent="0.45">
      <c r="A329" s="792"/>
      <c r="B329" s="705"/>
      <c r="C329" s="705"/>
      <c r="D329" s="707" t="s">
        <v>144</v>
      </c>
      <c r="E329" s="793" t="s">
        <v>806</v>
      </c>
      <c r="F329" s="704"/>
      <c r="G329" s="841">
        <f t="shared" ref="G329:AA329" ca="1" si="63">SUM(G326:G327)</f>
        <v>8340100.2113950402</v>
      </c>
      <c r="H329" s="841">
        <f t="shared" ca="1" si="63"/>
        <v>10161322.70262312</v>
      </c>
      <c r="I329" s="841">
        <f t="shared" ca="1" si="63"/>
        <v>12077488.806544019</v>
      </c>
      <c r="J329" s="841">
        <f t="shared" ca="1" si="63"/>
        <v>14135326.805915652</v>
      </c>
      <c r="K329" s="842">
        <f t="shared" ca="1" si="63"/>
        <v>16326958.074917188</v>
      </c>
      <c r="L329" s="632">
        <f t="shared" ca="1" si="63"/>
        <v>18658634.515326016</v>
      </c>
      <c r="M329" s="632">
        <f t="shared" ca="1" si="63"/>
        <v>21137011.853384268</v>
      </c>
      <c r="N329" s="632">
        <f t="shared" ca="1" si="63"/>
        <v>23769043.34149497</v>
      </c>
      <c r="O329" s="632">
        <f t="shared" ca="1" si="63"/>
        <v>26561991.584660828</v>
      </c>
      <c r="P329" s="632">
        <f t="shared" ca="1" si="63"/>
        <v>29523441.932496645</v>
      </c>
      <c r="Q329" s="632">
        <f t="shared" ca="1" si="63"/>
        <v>32661316.453651696</v>
      </c>
      <c r="R329" s="632">
        <f t="shared" ca="1" si="63"/>
        <v>35983888.508371972</v>
      </c>
      <c r="S329" s="632">
        <f t="shared" ca="1" si="63"/>
        <v>39499797.944585137</v>
      </c>
      <c r="T329" s="632">
        <f t="shared" ca="1" si="63"/>
        <v>43218066.944046475</v>
      </c>
      <c r="U329" s="632">
        <f t="shared" ca="1" si="63"/>
        <v>47148116.546211451</v>
      </c>
      <c r="V329" s="632">
        <f t="shared" ca="1" si="63"/>
        <v>51299783.878675245</v>
      </c>
      <c r="W329" s="632">
        <f t="shared" ca="1" si="63"/>
        <v>55683340.124243803</v>
      </c>
      <c r="X329" s="632">
        <f t="shared" ca="1" si="63"/>
        <v>60309509.255977534</v>
      </c>
      <c r="Y329" s="632">
        <f t="shared" ca="1" si="63"/>
        <v>65189487.572878957</v>
      </c>
      <c r="Z329" s="632">
        <f t="shared" ca="1" si="63"/>
        <v>70334964.070282698</v>
      </c>
      <c r="AA329" s="632">
        <f t="shared" ca="1" si="63"/>
        <v>75758141.680451781</v>
      </c>
    </row>
    <row r="330" spans="1:27" ht="15" customHeight="1" x14ac:dyDescent="0.45">
      <c r="A330" s="792"/>
      <c r="B330" s="705"/>
      <c r="C330" s="705"/>
      <c r="D330" s="707"/>
      <c r="E330" s="783"/>
      <c r="F330" s="707"/>
      <c r="G330" s="841"/>
      <c r="H330" s="841"/>
      <c r="I330" s="841"/>
      <c r="J330" s="841"/>
      <c r="K330" s="842"/>
      <c r="L330" s="632"/>
      <c r="M330" s="632"/>
      <c r="N330" s="632"/>
      <c r="O330" s="632"/>
      <c r="P330" s="632"/>
      <c r="Q330" s="632"/>
      <c r="R330" s="632"/>
      <c r="S330" s="632"/>
      <c r="T330" s="632"/>
      <c r="U330" s="632"/>
      <c r="V330" s="632"/>
      <c r="W330" s="632"/>
      <c r="X330" s="632"/>
      <c r="Y330" s="632"/>
      <c r="Z330" s="632"/>
      <c r="AA330" s="632"/>
    </row>
    <row r="331" spans="1:27" ht="15" customHeight="1" x14ac:dyDescent="0.45">
      <c r="A331" s="845"/>
      <c r="B331" s="559"/>
      <c r="C331" s="559"/>
      <c r="D331" s="558" t="s">
        <v>45</v>
      </c>
      <c r="E331" s="846" t="s">
        <v>806</v>
      </c>
      <c r="F331" s="558"/>
      <c r="G331" s="848">
        <f ca="1">G329+SUM(G313:G315)+G323</f>
        <v>7628714.5877072001</v>
      </c>
      <c r="H331" s="848">
        <f t="shared" ref="H331:U331" ca="1" si="64">H329+SUM(H313:H315)+H323</f>
        <v>10230461.003747314</v>
      </c>
      <c r="I331" s="848">
        <f t="shared" ca="1" si="64"/>
        <v>12898702.851081548</v>
      </c>
      <c r="J331" s="848">
        <f t="shared" ca="1" si="64"/>
        <v>15017257.377074923</v>
      </c>
      <c r="K331" s="849">
        <f t="shared" ca="1" si="64"/>
        <v>17266228.618774988</v>
      </c>
      <c r="L331" s="632">
        <f t="shared" ca="1" si="64"/>
        <v>19657924.418358371</v>
      </c>
      <c r="M331" s="632">
        <f t="shared" ca="1" si="64"/>
        <v>22199173.569694947</v>
      </c>
      <c r="N331" s="632">
        <f t="shared" ca="1" si="64"/>
        <v>24897056.836399555</v>
      </c>
      <c r="O331" s="632">
        <f t="shared" ca="1" si="64"/>
        <v>27758969.403160483</v>
      </c>
      <c r="P331" s="632">
        <f t="shared" ca="1" si="64"/>
        <v>30792634.938711993</v>
      </c>
      <c r="Q331" s="632">
        <f t="shared" ca="1" si="64"/>
        <v>34006119.819861002</v>
      </c>
      <c r="R331" s="632">
        <f t="shared" ca="1" si="64"/>
        <v>37407847.960394949</v>
      </c>
      <c r="S331" s="632">
        <f t="shared" ca="1" si="64"/>
        <v>41006616.274390779</v>
      </c>
      <c r="T331" s="632">
        <f t="shared" ca="1" si="64"/>
        <v>44811610.800958477</v>
      </c>
      <c r="U331" s="632">
        <f t="shared" ca="1" si="64"/>
        <v>48832423.518567875</v>
      </c>
      <c r="V331" s="632">
        <f t="shared" ref="V331:AA331" ca="1" si="65">V329+SUM(V313:V315)+V323</f>
        <v>53079069.878302582</v>
      </c>
      <c r="W331" s="632">
        <f t="shared" ca="1" si="65"/>
        <v>57562007.086630329</v>
      </c>
      <c r="X331" s="632">
        <f t="shared" ca="1" si="65"/>
        <v>62292153.169577703</v>
      </c>
      <c r="Y331" s="632">
        <f t="shared" ca="1" si="65"/>
        <v>67280906.851550996</v>
      </c>
      <c r="Z331" s="632">
        <f t="shared" ca="1" si="65"/>
        <v>72540168.283455729</v>
      </c>
      <c r="AA331" s="632">
        <f t="shared" ca="1" si="65"/>
        <v>78082360.656238526</v>
      </c>
    </row>
    <row r="332" spans="1:27" ht="15" hidden="1" customHeight="1" x14ac:dyDescent="0.45">
      <c r="A332" s="563"/>
      <c r="B332" s="552"/>
      <c r="C332" s="552"/>
      <c r="E332" s="564"/>
      <c r="G332" s="632"/>
      <c r="H332" s="632"/>
      <c r="I332" s="632"/>
      <c r="J332" s="632"/>
      <c r="K332" s="632"/>
      <c r="L332" s="632"/>
      <c r="M332" s="632"/>
      <c r="N332" s="632"/>
      <c r="O332" s="632"/>
      <c r="P332" s="632"/>
      <c r="Q332" s="632"/>
      <c r="R332" s="632"/>
      <c r="S332" s="632"/>
      <c r="T332" s="632"/>
      <c r="U332" s="632"/>
      <c r="V332" s="632"/>
      <c r="W332" s="632"/>
      <c r="X332" s="632"/>
      <c r="Y332" s="632"/>
      <c r="Z332" s="632"/>
      <c r="AA332" s="632"/>
    </row>
    <row r="333" spans="1:27" ht="15" hidden="1" customHeight="1" x14ac:dyDescent="0.45">
      <c r="A333" s="563"/>
      <c r="B333" s="552"/>
      <c r="C333" s="552"/>
      <c r="D333" s="549" t="s">
        <v>46</v>
      </c>
      <c r="E333" s="564" t="s">
        <v>806</v>
      </c>
      <c r="G333" s="632">
        <f ca="1">G323-(IF(G309&lt;0,G309,0))</f>
        <v>0</v>
      </c>
      <c r="H333" s="632">
        <f t="shared" ref="H333:AA333" ca="1" si="66">H323-(IF(H309&lt;0,H309,0))</f>
        <v>0</v>
      </c>
      <c r="I333" s="632">
        <f t="shared" ca="1" si="66"/>
        <v>0</v>
      </c>
      <c r="J333" s="632">
        <f t="shared" ca="1" si="66"/>
        <v>0</v>
      </c>
      <c r="K333" s="632">
        <f t="shared" ca="1" si="66"/>
        <v>0</v>
      </c>
      <c r="L333" s="632">
        <f t="shared" ca="1" si="66"/>
        <v>0</v>
      </c>
      <c r="M333" s="632">
        <f t="shared" ca="1" si="66"/>
        <v>0</v>
      </c>
      <c r="N333" s="632">
        <f t="shared" ca="1" si="66"/>
        <v>0</v>
      </c>
      <c r="O333" s="632">
        <f t="shared" ca="1" si="66"/>
        <v>0</v>
      </c>
      <c r="P333" s="632">
        <f t="shared" ca="1" si="66"/>
        <v>0</v>
      </c>
      <c r="Q333" s="632">
        <f t="shared" ca="1" si="66"/>
        <v>0</v>
      </c>
      <c r="R333" s="632">
        <f t="shared" ca="1" si="66"/>
        <v>0</v>
      </c>
      <c r="S333" s="632">
        <f t="shared" ca="1" si="66"/>
        <v>0</v>
      </c>
      <c r="T333" s="632">
        <f t="shared" ca="1" si="66"/>
        <v>0</v>
      </c>
      <c r="U333" s="632">
        <f t="shared" ca="1" si="66"/>
        <v>0</v>
      </c>
      <c r="V333" s="632">
        <f t="shared" ca="1" si="66"/>
        <v>0</v>
      </c>
      <c r="W333" s="632">
        <f t="shared" ca="1" si="66"/>
        <v>0</v>
      </c>
      <c r="X333" s="632">
        <f t="shared" ca="1" si="66"/>
        <v>0</v>
      </c>
      <c r="Y333" s="632">
        <f t="shared" ca="1" si="66"/>
        <v>0</v>
      </c>
      <c r="Z333" s="632">
        <f t="shared" ca="1" si="66"/>
        <v>0</v>
      </c>
      <c r="AA333" s="632">
        <f t="shared" ca="1" si="66"/>
        <v>0</v>
      </c>
    </row>
    <row r="334" spans="1:27" ht="15" hidden="1" customHeight="1" x14ac:dyDescent="0.45">
      <c r="A334" s="563"/>
      <c r="B334" s="552"/>
      <c r="C334" s="552"/>
      <c r="D334" s="549" t="s">
        <v>47</v>
      </c>
      <c r="E334" s="564" t="s">
        <v>806</v>
      </c>
      <c r="G334" s="632">
        <f ca="1">IF(G323-G309&lt;0,0,G323-G309)</f>
        <v>0</v>
      </c>
      <c r="H334" s="632">
        <f t="shared" ref="H334:AA334" ca="1" si="67">IF(H323-H309&lt;0,0,H323-H309)</f>
        <v>0</v>
      </c>
      <c r="I334" s="632">
        <f t="shared" ca="1" si="67"/>
        <v>0</v>
      </c>
      <c r="J334" s="632">
        <f t="shared" ca="1" si="67"/>
        <v>0</v>
      </c>
      <c r="K334" s="632">
        <f t="shared" ca="1" si="67"/>
        <v>0</v>
      </c>
      <c r="L334" s="632">
        <f t="shared" ca="1" si="67"/>
        <v>0</v>
      </c>
      <c r="M334" s="632">
        <f t="shared" ca="1" si="67"/>
        <v>0</v>
      </c>
      <c r="N334" s="632">
        <f t="shared" ca="1" si="67"/>
        <v>0</v>
      </c>
      <c r="O334" s="632">
        <f t="shared" ca="1" si="67"/>
        <v>0</v>
      </c>
      <c r="P334" s="632">
        <f t="shared" ca="1" si="67"/>
        <v>0</v>
      </c>
      <c r="Q334" s="632">
        <f t="shared" ca="1" si="67"/>
        <v>0</v>
      </c>
      <c r="R334" s="632">
        <f t="shared" ca="1" si="67"/>
        <v>0</v>
      </c>
      <c r="S334" s="632">
        <f t="shared" ca="1" si="67"/>
        <v>0</v>
      </c>
      <c r="T334" s="632">
        <f t="shared" ca="1" si="67"/>
        <v>0</v>
      </c>
      <c r="U334" s="632">
        <f t="shared" ca="1" si="67"/>
        <v>0</v>
      </c>
      <c r="V334" s="632">
        <f t="shared" ca="1" si="67"/>
        <v>0</v>
      </c>
      <c r="W334" s="632">
        <f t="shared" ca="1" si="67"/>
        <v>0</v>
      </c>
      <c r="X334" s="632">
        <f t="shared" ca="1" si="67"/>
        <v>0</v>
      </c>
      <c r="Y334" s="632">
        <f t="shared" ca="1" si="67"/>
        <v>0</v>
      </c>
      <c r="Z334" s="632">
        <f t="shared" ca="1" si="67"/>
        <v>0</v>
      </c>
      <c r="AA334" s="632">
        <f t="shared" ca="1" si="67"/>
        <v>0</v>
      </c>
    </row>
    <row r="335" spans="1:27" ht="15" hidden="1" customHeight="1" x14ac:dyDescent="0.45">
      <c r="A335" s="563"/>
      <c r="B335" s="552"/>
      <c r="C335" s="552"/>
      <c r="D335" s="549" t="s">
        <v>48</v>
      </c>
      <c r="E335" s="564" t="s">
        <v>49</v>
      </c>
      <c r="G335" s="636">
        <f t="shared" ref="G335:AA335" ca="1" si="68">G333/G329</f>
        <v>0</v>
      </c>
      <c r="H335" s="636">
        <f t="shared" ca="1" si="68"/>
        <v>0</v>
      </c>
      <c r="I335" s="636">
        <f t="shared" ca="1" si="68"/>
        <v>0</v>
      </c>
      <c r="J335" s="636">
        <f t="shared" ca="1" si="68"/>
        <v>0</v>
      </c>
      <c r="K335" s="636">
        <f t="shared" ca="1" si="68"/>
        <v>0</v>
      </c>
      <c r="L335" s="636">
        <f t="shared" ca="1" si="68"/>
        <v>0</v>
      </c>
      <c r="M335" s="636">
        <f t="shared" ca="1" si="68"/>
        <v>0</v>
      </c>
      <c r="N335" s="636">
        <f t="shared" ca="1" si="68"/>
        <v>0</v>
      </c>
      <c r="O335" s="636">
        <f t="shared" ca="1" si="68"/>
        <v>0</v>
      </c>
      <c r="P335" s="636">
        <f t="shared" ca="1" si="68"/>
        <v>0</v>
      </c>
      <c r="Q335" s="636">
        <f t="shared" ca="1" si="68"/>
        <v>0</v>
      </c>
      <c r="R335" s="636">
        <f t="shared" ca="1" si="68"/>
        <v>0</v>
      </c>
      <c r="S335" s="636">
        <f t="shared" ca="1" si="68"/>
        <v>0</v>
      </c>
      <c r="T335" s="636">
        <f t="shared" ca="1" si="68"/>
        <v>0</v>
      </c>
      <c r="U335" s="636">
        <f t="shared" ca="1" si="68"/>
        <v>0</v>
      </c>
      <c r="V335" s="636">
        <f t="shared" ca="1" si="68"/>
        <v>0</v>
      </c>
      <c r="W335" s="636">
        <f t="shared" ca="1" si="68"/>
        <v>0</v>
      </c>
      <c r="X335" s="636">
        <f t="shared" ca="1" si="68"/>
        <v>0</v>
      </c>
      <c r="Y335" s="636">
        <f t="shared" ca="1" si="68"/>
        <v>0</v>
      </c>
      <c r="Z335" s="636">
        <f t="shared" ca="1" si="68"/>
        <v>0</v>
      </c>
      <c r="AA335" s="636">
        <f t="shared" ca="1" si="68"/>
        <v>0</v>
      </c>
    </row>
    <row r="336" spans="1:27" ht="15" hidden="1" customHeight="1" x14ac:dyDescent="0.45">
      <c r="A336" s="563"/>
      <c r="B336" s="552"/>
      <c r="C336" s="552"/>
      <c r="D336" s="549" t="s">
        <v>50</v>
      </c>
      <c r="E336" s="564" t="s">
        <v>49</v>
      </c>
      <c r="G336" s="636">
        <f t="shared" ref="G336:AA336" ca="1" si="69">(G333)/G305</f>
        <v>0</v>
      </c>
      <c r="H336" s="636">
        <f t="shared" ca="1" si="69"/>
        <v>0</v>
      </c>
      <c r="I336" s="636">
        <f t="shared" ca="1" si="69"/>
        <v>0</v>
      </c>
      <c r="J336" s="636">
        <f t="shared" ca="1" si="69"/>
        <v>0</v>
      </c>
      <c r="K336" s="636">
        <f t="shared" ca="1" si="69"/>
        <v>0</v>
      </c>
      <c r="L336" s="636">
        <f t="shared" ca="1" si="69"/>
        <v>0</v>
      </c>
      <c r="M336" s="636">
        <f t="shared" ca="1" si="69"/>
        <v>0</v>
      </c>
      <c r="N336" s="636">
        <f t="shared" ca="1" si="69"/>
        <v>0</v>
      </c>
      <c r="O336" s="636">
        <f t="shared" ca="1" si="69"/>
        <v>0</v>
      </c>
      <c r="P336" s="636">
        <f t="shared" ca="1" si="69"/>
        <v>0</v>
      </c>
      <c r="Q336" s="636">
        <f t="shared" ca="1" si="69"/>
        <v>0</v>
      </c>
      <c r="R336" s="636">
        <f t="shared" ca="1" si="69"/>
        <v>0</v>
      </c>
      <c r="S336" s="636">
        <f t="shared" ca="1" si="69"/>
        <v>0</v>
      </c>
      <c r="T336" s="636">
        <f t="shared" ca="1" si="69"/>
        <v>0</v>
      </c>
      <c r="U336" s="636">
        <f t="shared" ca="1" si="69"/>
        <v>0</v>
      </c>
      <c r="V336" s="636">
        <f t="shared" ca="1" si="69"/>
        <v>0</v>
      </c>
      <c r="W336" s="636">
        <f t="shared" ca="1" si="69"/>
        <v>0</v>
      </c>
      <c r="X336" s="636">
        <f t="shared" ca="1" si="69"/>
        <v>0</v>
      </c>
      <c r="Y336" s="636">
        <f t="shared" ca="1" si="69"/>
        <v>0</v>
      </c>
      <c r="Z336" s="636">
        <f t="shared" ca="1" si="69"/>
        <v>0</v>
      </c>
      <c r="AA336" s="636">
        <f t="shared" ca="1" si="69"/>
        <v>0</v>
      </c>
    </row>
    <row r="337" spans="1:27" ht="15" hidden="1" customHeight="1" x14ac:dyDescent="0.45">
      <c r="A337" s="563"/>
      <c r="B337" s="552"/>
      <c r="C337" s="552"/>
      <c r="D337" s="549" t="s">
        <v>51</v>
      </c>
      <c r="E337" s="556" t="s">
        <v>49</v>
      </c>
      <c r="G337" s="632">
        <f t="shared" ref="G337:L337" ca="1" si="70">G233/G287</f>
        <v>0</v>
      </c>
      <c r="H337" s="632">
        <f t="shared" ca="1" si="70"/>
        <v>37.358571229420249</v>
      </c>
      <c r="I337" s="632">
        <f t="shared" ca="1" si="70"/>
        <v>54.700207551489214</v>
      </c>
      <c r="J337" s="632">
        <f t="shared" ca="1" si="70"/>
        <v>315.88212018411838</v>
      </c>
      <c r="K337" s="632">
        <f t="shared" ca="1" si="70"/>
        <v>-99.38840124162131</v>
      </c>
      <c r="L337" s="632">
        <f t="shared" ca="1" si="70"/>
        <v>-42.461916726072005</v>
      </c>
      <c r="M337" s="632"/>
      <c r="N337" s="632"/>
      <c r="O337" s="632"/>
      <c r="P337" s="632"/>
      <c r="Q337" s="632"/>
      <c r="R337" s="632"/>
      <c r="S337" s="632"/>
      <c r="T337" s="632"/>
      <c r="U337" s="632"/>
      <c r="V337" s="632"/>
      <c r="W337" s="632"/>
      <c r="X337" s="632"/>
      <c r="Y337" s="632"/>
      <c r="Z337" s="632"/>
      <c r="AA337" s="632"/>
    </row>
    <row r="338" spans="1:27" ht="15" hidden="1" customHeight="1" x14ac:dyDescent="0.45">
      <c r="A338" s="563"/>
      <c r="B338" s="552"/>
      <c r="C338" s="552"/>
      <c r="D338" s="549" t="s">
        <v>52</v>
      </c>
      <c r="G338" s="632">
        <f t="shared" ref="G338:AA338" ca="1" si="71">G311-G331</f>
        <v>0</v>
      </c>
      <c r="H338" s="632">
        <f t="shared" ca="1" si="71"/>
        <v>0</v>
      </c>
      <c r="I338" s="632">
        <f t="shared" ca="1" si="71"/>
        <v>0</v>
      </c>
      <c r="J338" s="632">
        <f t="shared" ca="1" si="71"/>
        <v>0</v>
      </c>
      <c r="K338" s="632">
        <f t="shared" ca="1" si="71"/>
        <v>0</v>
      </c>
      <c r="L338" s="632">
        <f t="shared" ca="1" si="71"/>
        <v>0</v>
      </c>
      <c r="M338" s="632">
        <f t="shared" ca="1" si="71"/>
        <v>0</v>
      </c>
      <c r="N338" s="632">
        <f t="shared" ca="1" si="71"/>
        <v>0</v>
      </c>
      <c r="O338" s="632">
        <f t="shared" ca="1" si="71"/>
        <v>0</v>
      </c>
      <c r="P338" s="632">
        <f t="shared" ca="1" si="71"/>
        <v>0</v>
      </c>
      <c r="Q338" s="632">
        <f t="shared" ca="1" si="71"/>
        <v>0</v>
      </c>
      <c r="R338" s="632">
        <f t="shared" ca="1" si="71"/>
        <v>0</v>
      </c>
      <c r="S338" s="632">
        <f t="shared" ca="1" si="71"/>
        <v>0</v>
      </c>
      <c r="T338" s="632">
        <f t="shared" ca="1" si="71"/>
        <v>0</v>
      </c>
      <c r="U338" s="632">
        <f t="shared" ca="1" si="71"/>
        <v>0</v>
      </c>
      <c r="V338" s="632">
        <f t="shared" ca="1" si="71"/>
        <v>0</v>
      </c>
      <c r="W338" s="632">
        <f t="shared" ca="1" si="71"/>
        <v>0</v>
      </c>
      <c r="X338" s="632">
        <f t="shared" ca="1" si="71"/>
        <v>0</v>
      </c>
      <c r="Y338" s="632">
        <f t="shared" ca="1" si="71"/>
        <v>0</v>
      </c>
      <c r="Z338" s="632">
        <f t="shared" ca="1" si="71"/>
        <v>0</v>
      </c>
      <c r="AA338" s="632">
        <f t="shared" ca="1" si="71"/>
        <v>0</v>
      </c>
    </row>
    <row r="339" spans="1:27" ht="15" customHeight="1" x14ac:dyDescent="0.45">
      <c r="A339" s="563"/>
      <c r="G339" s="632"/>
      <c r="H339" s="632"/>
      <c r="I339" s="632"/>
      <c r="J339" s="632"/>
      <c r="K339" s="632"/>
      <c r="L339" s="632"/>
      <c r="M339" s="632"/>
      <c r="N339" s="632"/>
      <c r="O339" s="632"/>
      <c r="P339" s="632"/>
      <c r="Q339" s="632"/>
      <c r="R339" s="632"/>
      <c r="S339" s="632"/>
      <c r="T339" s="632"/>
      <c r="U339" s="632"/>
      <c r="V339" s="632"/>
      <c r="W339" s="632"/>
      <c r="X339" s="632"/>
      <c r="Y339" s="632"/>
      <c r="Z339" s="632"/>
      <c r="AA339" s="632"/>
    </row>
    <row r="340" spans="1:27" s="685" customFormat="1" x14ac:dyDescent="0.45">
      <c r="A340" s="688"/>
      <c r="B340" s="689"/>
      <c r="C340" s="689"/>
      <c r="D340" s="689"/>
      <c r="E340" s="690"/>
      <c r="F340" s="689"/>
      <c r="G340" s="691">
        <v>1</v>
      </c>
      <c r="H340" s="691">
        <v>2</v>
      </c>
      <c r="I340" s="691">
        <v>3</v>
      </c>
      <c r="J340" s="691">
        <v>4</v>
      </c>
      <c r="K340" s="692">
        <v>5</v>
      </c>
      <c r="L340" s="686">
        <v>6</v>
      </c>
      <c r="M340" s="686">
        <v>7</v>
      </c>
      <c r="N340" s="686">
        <v>8</v>
      </c>
      <c r="O340" s="686">
        <v>9</v>
      </c>
      <c r="P340" s="686">
        <v>10</v>
      </c>
      <c r="Q340" s="686">
        <v>11</v>
      </c>
      <c r="R340" s="686">
        <v>12</v>
      </c>
      <c r="S340" s="686">
        <v>13</v>
      </c>
      <c r="T340" s="686">
        <v>14</v>
      </c>
      <c r="U340" s="686">
        <v>15</v>
      </c>
      <c r="V340" s="686">
        <v>16</v>
      </c>
      <c r="W340" s="686">
        <v>17</v>
      </c>
      <c r="X340" s="686">
        <v>18</v>
      </c>
      <c r="Y340" s="686">
        <v>19</v>
      </c>
      <c r="Z340" s="686">
        <v>20</v>
      </c>
      <c r="AA340" s="686">
        <v>21</v>
      </c>
    </row>
    <row r="341" spans="1:27" s="642" customFormat="1" x14ac:dyDescent="0.45">
      <c r="A341" s="693"/>
      <c r="C341" s="643"/>
      <c r="D341" s="643"/>
      <c r="E341" s="644" t="s">
        <v>0</v>
      </c>
      <c r="F341" s="645"/>
      <c r="G341" s="646">
        <v>2021</v>
      </c>
      <c r="H341" s="646">
        <v>2022</v>
      </c>
      <c r="I341" s="646">
        <v>2023</v>
      </c>
      <c r="J341" s="646">
        <v>2024</v>
      </c>
      <c r="K341" s="694">
        <v>2025</v>
      </c>
      <c r="L341" s="646">
        <v>2026</v>
      </c>
      <c r="M341" s="646">
        <v>2027</v>
      </c>
      <c r="N341" s="646">
        <v>2028</v>
      </c>
      <c r="O341" s="646">
        <v>2029</v>
      </c>
      <c r="P341" s="646">
        <v>2030</v>
      </c>
      <c r="Q341" s="646">
        <v>2031</v>
      </c>
      <c r="R341" s="646">
        <v>2032</v>
      </c>
      <c r="S341" s="646">
        <v>2033</v>
      </c>
      <c r="T341" s="646">
        <v>2034</v>
      </c>
      <c r="U341" s="646">
        <v>2035</v>
      </c>
      <c r="V341" s="646">
        <v>2036</v>
      </c>
      <c r="W341" s="646">
        <v>2037</v>
      </c>
      <c r="X341" s="646">
        <v>2038</v>
      </c>
      <c r="Y341" s="646">
        <v>2039</v>
      </c>
      <c r="Z341" s="646">
        <v>2040</v>
      </c>
      <c r="AA341" s="646">
        <v>2041</v>
      </c>
    </row>
    <row r="342" spans="1:27" ht="15" customHeight="1" x14ac:dyDescent="0.45">
      <c r="A342" s="792"/>
      <c r="B342" s="705" t="s">
        <v>53</v>
      </c>
      <c r="C342" s="705"/>
      <c r="D342" s="707"/>
      <c r="E342" s="783"/>
      <c r="F342" s="707"/>
      <c r="G342" s="841"/>
      <c r="H342" s="841"/>
      <c r="I342" s="841"/>
      <c r="J342" s="841"/>
      <c r="K342" s="842"/>
      <c r="L342" s="632"/>
      <c r="M342" s="632"/>
      <c r="N342" s="632"/>
      <c r="O342" s="632"/>
      <c r="P342" s="632"/>
      <c r="Q342" s="632"/>
      <c r="R342" s="632"/>
      <c r="S342" s="632"/>
      <c r="T342" s="632"/>
      <c r="U342" s="632"/>
      <c r="V342" s="632"/>
      <c r="W342" s="632"/>
      <c r="X342" s="632"/>
      <c r="Y342" s="632"/>
      <c r="Z342" s="632"/>
      <c r="AA342" s="632"/>
    </row>
    <row r="343" spans="1:27" ht="15" customHeight="1" x14ac:dyDescent="0.45">
      <c r="A343" s="792"/>
      <c r="B343" s="705"/>
      <c r="C343" s="705"/>
      <c r="D343" s="707" t="s">
        <v>54</v>
      </c>
      <c r="E343" s="793" t="s">
        <v>806</v>
      </c>
      <c r="F343" s="707"/>
      <c r="G343" s="841">
        <f t="shared" ref="G343:AA343" ca="1" si="72">G281</f>
        <v>-2388667.1983609046</v>
      </c>
      <c r="H343" s="841">
        <f t="shared" ca="1" si="72"/>
        <v>2844196.8016390959</v>
      </c>
      <c r="I343" s="841">
        <f t="shared" ca="1" si="72"/>
        <v>2906278.0816390952</v>
      </c>
      <c r="J343" s="841">
        <f t="shared" ca="1" si="72"/>
        <v>2969600.9872390963</v>
      </c>
      <c r="K343" s="842">
        <f t="shared" ca="1" si="72"/>
        <v>3034190.350951096</v>
      </c>
      <c r="L343" s="632">
        <f t="shared" ca="1" si="72"/>
        <v>3100071.5019373344</v>
      </c>
      <c r="M343" s="632">
        <f t="shared" ca="1" si="72"/>
        <v>3167270.2759433007</v>
      </c>
      <c r="N343" s="632">
        <f t="shared" ca="1" si="72"/>
        <v>3235813.0254293866</v>
      </c>
      <c r="O343" s="632">
        <f t="shared" ca="1" si="72"/>
        <v>3305726.6299051894</v>
      </c>
      <c r="P343" s="632">
        <f t="shared" ca="1" si="72"/>
        <v>3377038.5064705135</v>
      </c>
      <c r="Q343" s="632">
        <f t="shared" ca="1" si="72"/>
        <v>3449776.620567142</v>
      </c>
      <c r="R343" s="632">
        <f t="shared" ca="1" si="72"/>
        <v>3523969.4969457034</v>
      </c>
      <c r="S343" s="632">
        <f t="shared" ca="1" si="72"/>
        <v>3599646.2308518365</v>
      </c>
      <c r="T343" s="632">
        <f t="shared" ca="1" si="72"/>
        <v>3676836.4994360898</v>
      </c>
      <c r="U343" s="632">
        <f t="shared" ca="1" si="72"/>
        <v>3755570.5733920299</v>
      </c>
      <c r="V343" s="632">
        <f t="shared" ca="1" si="72"/>
        <v>3835879.3288270878</v>
      </c>
      <c r="W343" s="632">
        <f t="shared" ca="1" si="72"/>
        <v>3917794.2593708467</v>
      </c>
      <c r="X343" s="632">
        <f t="shared" ca="1" si="72"/>
        <v>4001347.4885254819</v>
      </c>
      <c r="Y343" s="632">
        <f t="shared" ca="1" si="72"/>
        <v>4086571.7822632138</v>
      </c>
      <c r="Z343" s="632">
        <f t="shared" ca="1" si="72"/>
        <v>4173500.5618756935</v>
      </c>
      <c r="AA343" s="632">
        <f t="shared" ca="1" si="72"/>
        <v>4262167.9170804285</v>
      </c>
    </row>
    <row r="344" spans="1:27" ht="15" customHeight="1" x14ac:dyDescent="0.45">
      <c r="A344" s="792"/>
      <c r="B344" s="705"/>
      <c r="C344" s="705"/>
      <c r="D344" s="707" t="s">
        <v>1</v>
      </c>
      <c r="E344" s="793" t="s">
        <v>806</v>
      </c>
      <c r="F344" s="707"/>
      <c r="G344" s="841">
        <f t="shared" ref="G344:AA344" ca="1" si="73">G275</f>
        <v>259867.19836090453</v>
      </c>
      <c r="H344" s="841">
        <f t="shared" ca="1" si="73"/>
        <v>259867.19836090453</v>
      </c>
      <c r="I344" s="841">
        <f t="shared" ca="1" si="73"/>
        <v>259867.19836090453</v>
      </c>
      <c r="J344" s="841">
        <f t="shared" ca="1" si="73"/>
        <v>259867.19836090453</v>
      </c>
      <c r="K344" s="842">
        <f t="shared" ca="1" si="73"/>
        <v>259867.19836090453</v>
      </c>
      <c r="L344" s="632">
        <f t="shared" ca="1" si="73"/>
        <v>259867.19836090453</v>
      </c>
      <c r="M344" s="632">
        <f t="shared" ca="1" si="73"/>
        <v>259867.19836090453</v>
      </c>
      <c r="N344" s="632">
        <f t="shared" ca="1" si="73"/>
        <v>259867.19836090453</v>
      </c>
      <c r="O344" s="632">
        <f t="shared" ca="1" si="73"/>
        <v>259867.19836090453</v>
      </c>
      <c r="P344" s="632">
        <f t="shared" ca="1" si="73"/>
        <v>259867.19836090453</v>
      </c>
      <c r="Q344" s="632">
        <f t="shared" ca="1" si="73"/>
        <v>259867.19836090453</v>
      </c>
      <c r="R344" s="632">
        <f t="shared" ca="1" si="73"/>
        <v>259867.19836090453</v>
      </c>
      <c r="S344" s="632">
        <f t="shared" ca="1" si="73"/>
        <v>259867.19836090453</v>
      </c>
      <c r="T344" s="632">
        <f t="shared" ca="1" si="73"/>
        <v>259867.19836090453</v>
      </c>
      <c r="U344" s="632">
        <f t="shared" ca="1" si="73"/>
        <v>259867.19836090453</v>
      </c>
      <c r="V344" s="632">
        <f t="shared" ca="1" si="73"/>
        <v>259867.19836090453</v>
      </c>
      <c r="W344" s="632">
        <f t="shared" ca="1" si="73"/>
        <v>259867.19836090453</v>
      </c>
      <c r="X344" s="632">
        <f t="shared" ca="1" si="73"/>
        <v>259867.19836090453</v>
      </c>
      <c r="Y344" s="632">
        <f t="shared" ca="1" si="73"/>
        <v>259867.19836090453</v>
      </c>
      <c r="Z344" s="632">
        <f t="shared" ca="1" si="73"/>
        <v>259867.19836090453</v>
      </c>
      <c r="AA344" s="632">
        <f t="shared" ca="1" si="73"/>
        <v>259867.19836090453</v>
      </c>
    </row>
    <row r="345" spans="1:27" ht="15" customHeight="1" x14ac:dyDescent="0.45">
      <c r="A345" s="792"/>
      <c r="B345" s="705"/>
      <c r="C345" s="705"/>
      <c r="D345" s="707" t="s">
        <v>55</v>
      </c>
      <c r="E345" s="793" t="s">
        <v>806</v>
      </c>
      <c r="F345" s="707"/>
      <c r="G345" s="841">
        <f t="shared" ref="G345:AA345" si="74">G276</f>
        <v>0</v>
      </c>
      <c r="H345" s="841">
        <f t="shared" si="74"/>
        <v>0</v>
      </c>
      <c r="I345" s="841">
        <f t="shared" si="74"/>
        <v>0</v>
      </c>
      <c r="J345" s="841">
        <f t="shared" si="74"/>
        <v>0</v>
      </c>
      <c r="K345" s="842">
        <f t="shared" si="74"/>
        <v>0</v>
      </c>
      <c r="L345" s="632">
        <f t="shared" si="74"/>
        <v>0</v>
      </c>
      <c r="M345" s="632">
        <f t="shared" si="74"/>
        <v>0</v>
      </c>
      <c r="N345" s="632">
        <f t="shared" si="74"/>
        <v>0</v>
      </c>
      <c r="O345" s="632">
        <f t="shared" si="74"/>
        <v>0</v>
      </c>
      <c r="P345" s="632">
        <f t="shared" si="74"/>
        <v>0</v>
      </c>
      <c r="Q345" s="632">
        <f t="shared" si="74"/>
        <v>0</v>
      </c>
      <c r="R345" s="632">
        <f t="shared" si="74"/>
        <v>0</v>
      </c>
      <c r="S345" s="632">
        <f t="shared" si="74"/>
        <v>0</v>
      </c>
      <c r="T345" s="632">
        <f t="shared" si="74"/>
        <v>0</v>
      </c>
      <c r="U345" s="632">
        <f t="shared" si="74"/>
        <v>0</v>
      </c>
      <c r="V345" s="632">
        <f t="shared" si="74"/>
        <v>0</v>
      </c>
      <c r="W345" s="632">
        <f t="shared" si="74"/>
        <v>0</v>
      </c>
      <c r="X345" s="632">
        <f t="shared" si="74"/>
        <v>0</v>
      </c>
      <c r="Y345" s="632">
        <f t="shared" si="74"/>
        <v>0</v>
      </c>
      <c r="Z345" s="632">
        <f t="shared" si="74"/>
        <v>0</v>
      </c>
      <c r="AA345" s="632">
        <f t="shared" si="74"/>
        <v>0</v>
      </c>
    </row>
    <row r="346" spans="1:27" ht="15" customHeight="1" x14ac:dyDescent="0.45">
      <c r="A346" s="792"/>
      <c r="B346" s="705"/>
      <c r="C346" s="705"/>
      <c r="D346" s="707"/>
      <c r="E346" s="783"/>
      <c r="F346" s="707"/>
      <c r="G346" s="850" t="s">
        <v>38</v>
      </c>
      <c r="H346" s="850" t="s">
        <v>38</v>
      </c>
      <c r="I346" s="850" t="s">
        <v>38</v>
      </c>
      <c r="J346" s="850" t="s">
        <v>38</v>
      </c>
      <c r="K346" s="851" t="s">
        <v>38</v>
      </c>
      <c r="L346" s="634" t="s">
        <v>38</v>
      </c>
      <c r="M346" s="634" t="s">
        <v>38</v>
      </c>
      <c r="N346" s="634" t="s">
        <v>38</v>
      </c>
      <c r="O346" s="634" t="s">
        <v>38</v>
      </c>
      <c r="P346" s="634" t="s">
        <v>38</v>
      </c>
      <c r="Q346" s="634" t="s">
        <v>38</v>
      </c>
      <c r="R346" s="634" t="s">
        <v>38</v>
      </c>
      <c r="S346" s="634" t="s">
        <v>38</v>
      </c>
      <c r="T346" s="634" t="s">
        <v>38</v>
      </c>
      <c r="U346" s="634" t="s">
        <v>38</v>
      </c>
      <c r="V346" s="634" t="s">
        <v>38</v>
      </c>
      <c r="W346" s="634" t="s">
        <v>38</v>
      </c>
      <c r="X346" s="634" t="s">
        <v>38</v>
      </c>
      <c r="Y346" s="634" t="s">
        <v>38</v>
      </c>
      <c r="Z346" s="634" t="s">
        <v>38</v>
      </c>
      <c r="AA346" s="634" t="s">
        <v>38</v>
      </c>
    </row>
    <row r="347" spans="1:27" ht="15" customHeight="1" x14ac:dyDescent="0.45">
      <c r="A347" s="792"/>
      <c r="B347" s="705"/>
      <c r="C347" s="705"/>
      <c r="D347" s="707" t="s">
        <v>56</v>
      </c>
      <c r="E347" s="793" t="s">
        <v>806</v>
      </c>
      <c r="F347" s="707"/>
      <c r="G347" s="841">
        <f ca="1">SUM(G343:G346)</f>
        <v>-2128800</v>
      </c>
      <c r="H347" s="841">
        <f t="shared" ref="H347:AA347" ca="1" si="75">SUM(H343:H346)</f>
        <v>3104064.0000000005</v>
      </c>
      <c r="I347" s="841">
        <f t="shared" ca="1" si="75"/>
        <v>3166145.28</v>
      </c>
      <c r="J347" s="841">
        <f t="shared" ca="1" si="75"/>
        <v>3229468.1856000009</v>
      </c>
      <c r="K347" s="842">
        <f t="shared" ca="1" si="75"/>
        <v>3294057.5493120006</v>
      </c>
      <c r="L347" s="632">
        <f t="shared" ca="1" si="75"/>
        <v>3359938.700298239</v>
      </c>
      <c r="M347" s="632">
        <f t="shared" ca="1" si="75"/>
        <v>3427137.4743042053</v>
      </c>
      <c r="N347" s="632">
        <f t="shared" ca="1" si="75"/>
        <v>3495680.2237902912</v>
      </c>
      <c r="O347" s="632">
        <f t="shared" ca="1" si="75"/>
        <v>3565593.828266094</v>
      </c>
      <c r="P347" s="632">
        <f t="shared" ca="1" si="75"/>
        <v>3636905.7048314181</v>
      </c>
      <c r="Q347" s="632">
        <f t="shared" ca="1" si="75"/>
        <v>3709643.8189280466</v>
      </c>
      <c r="R347" s="632">
        <f t="shared" ca="1" si="75"/>
        <v>3783836.695306608</v>
      </c>
      <c r="S347" s="632">
        <f t="shared" ca="1" si="75"/>
        <v>3859513.4292127411</v>
      </c>
      <c r="T347" s="632">
        <f t="shared" ca="1" si="75"/>
        <v>3936703.6977969944</v>
      </c>
      <c r="U347" s="632">
        <f t="shared" ca="1" si="75"/>
        <v>4015437.7717529344</v>
      </c>
      <c r="V347" s="632">
        <f t="shared" ca="1" si="75"/>
        <v>4095746.5271879924</v>
      </c>
      <c r="W347" s="632">
        <f t="shared" ca="1" si="75"/>
        <v>4177661.4577317513</v>
      </c>
      <c r="X347" s="632">
        <f t="shared" ca="1" si="75"/>
        <v>4261214.686886386</v>
      </c>
      <c r="Y347" s="632">
        <f t="shared" ca="1" si="75"/>
        <v>4346438.9806241179</v>
      </c>
      <c r="Z347" s="632">
        <f t="shared" ca="1" si="75"/>
        <v>4433367.7602365976</v>
      </c>
      <c r="AA347" s="632">
        <f t="shared" ca="1" si="75"/>
        <v>4522035.1154413326</v>
      </c>
    </row>
    <row r="348" spans="1:27" ht="15" customHeight="1" x14ac:dyDescent="0.45">
      <c r="A348" s="792"/>
      <c r="B348" s="705"/>
      <c r="C348" s="705"/>
      <c r="D348" s="707"/>
      <c r="E348" s="783"/>
      <c r="F348" s="707"/>
      <c r="G348" s="841"/>
      <c r="H348" s="841"/>
      <c r="I348" s="841"/>
      <c r="J348" s="841"/>
      <c r="K348" s="842"/>
      <c r="L348" s="632"/>
      <c r="M348" s="632"/>
      <c r="N348" s="632"/>
      <c r="O348" s="632"/>
      <c r="P348" s="632"/>
      <c r="Q348" s="632"/>
      <c r="R348" s="632"/>
      <c r="S348" s="632"/>
      <c r="T348" s="632"/>
      <c r="U348" s="632"/>
      <c r="V348" s="632"/>
      <c r="W348" s="632"/>
      <c r="X348" s="632"/>
      <c r="Y348" s="632"/>
      <c r="Z348" s="632"/>
      <c r="AA348" s="632"/>
    </row>
    <row r="349" spans="1:27" x14ac:dyDescent="0.45">
      <c r="A349" s="792"/>
      <c r="B349" s="705"/>
      <c r="C349" s="705"/>
      <c r="D349" s="707" t="s">
        <v>57</v>
      </c>
      <c r="E349" s="793" t="s">
        <v>806</v>
      </c>
      <c r="F349" s="707"/>
      <c r="G349" s="841">
        <f t="shared" ref="G349:AA349" ca="1" si="76">G157</f>
        <v>5717078.3639399</v>
      </c>
      <c r="H349" s="841">
        <f t="shared" ca="1" si="76"/>
        <v>69380.057388981644</v>
      </c>
      <c r="I349" s="841">
        <f t="shared" ca="1" si="76"/>
        <v>70767.658536761272</v>
      </c>
      <c r="J349" s="841">
        <f t="shared" ca="1" si="76"/>
        <v>72183.011707496495</v>
      </c>
      <c r="K349" s="842">
        <f t="shared" ca="1" si="76"/>
        <v>73626.671941646433</v>
      </c>
      <c r="L349" s="632">
        <f t="shared" ca="1" si="76"/>
        <v>75099.205380479369</v>
      </c>
      <c r="M349" s="632">
        <f t="shared" ca="1" si="76"/>
        <v>76601.189488088959</v>
      </c>
      <c r="N349" s="632">
        <f t="shared" ca="1" si="76"/>
        <v>78133.213277850737</v>
      </c>
      <c r="O349" s="632">
        <f t="shared" ca="1" si="76"/>
        <v>79695.877543407754</v>
      </c>
      <c r="P349" s="632">
        <f t="shared" ca="1" si="76"/>
        <v>81289.795094275905</v>
      </c>
      <c r="Q349" s="632">
        <f t="shared" ca="1" si="76"/>
        <v>82915.590996161423</v>
      </c>
      <c r="R349" s="632">
        <f t="shared" ca="1" si="76"/>
        <v>84573.90281608465</v>
      </c>
      <c r="S349" s="632">
        <f t="shared" ca="1" si="76"/>
        <v>86265.380872406342</v>
      </c>
      <c r="T349" s="632">
        <f t="shared" ca="1" si="76"/>
        <v>87990.688489854467</v>
      </c>
      <c r="U349" s="632">
        <f t="shared" ca="1" si="76"/>
        <v>89750.502259651563</v>
      </c>
      <c r="V349" s="632">
        <f t="shared" ca="1" si="76"/>
        <v>91545.512304844597</v>
      </c>
      <c r="W349" s="632">
        <f t="shared" ca="1" si="76"/>
        <v>93376.422550941497</v>
      </c>
      <c r="X349" s="632">
        <f t="shared" ca="1" si="76"/>
        <v>95243.951001960333</v>
      </c>
      <c r="Y349" s="632">
        <f t="shared" ca="1" si="76"/>
        <v>97148.830021999544</v>
      </c>
      <c r="Z349" s="632">
        <f t="shared" ca="1" si="76"/>
        <v>99091.80662243953</v>
      </c>
      <c r="AA349" s="632">
        <f t="shared" ca="1" si="76"/>
        <v>101073.64275488832</v>
      </c>
    </row>
    <row r="350" spans="1:27" x14ac:dyDescent="0.45">
      <c r="A350" s="792"/>
      <c r="B350" s="705"/>
      <c r="C350" s="705"/>
      <c r="D350" s="707" t="s">
        <v>58</v>
      </c>
      <c r="E350" s="793" t="s">
        <v>806</v>
      </c>
      <c r="F350" s="707"/>
      <c r="G350" s="841">
        <f>G380-F380</f>
        <v>1574728.7671232875</v>
      </c>
      <c r="H350" s="841">
        <f t="shared" ref="H350:AA350" si="77">H380-G380</f>
        <v>2829256.7671232875</v>
      </c>
      <c r="I350" s="841">
        <f t="shared" si="77"/>
        <v>88079.710684931837</v>
      </c>
      <c r="J350" s="841">
        <f t="shared" si="77"/>
        <v>89841.304898629896</v>
      </c>
      <c r="K350" s="842">
        <f t="shared" si="77"/>
        <v>91638.130996602587</v>
      </c>
      <c r="L350" s="632">
        <f t="shared" si="77"/>
        <v>93470.893616535701</v>
      </c>
      <c r="M350" s="632">
        <f t="shared" si="77"/>
        <v>95340.311488864943</v>
      </c>
      <c r="N350" s="632">
        <f t="shared" si="77"/>
        <v>97247.117718642578</v>
      </c>
      <c r="O350" s="632">
        <f t="shared" si="77"/>
        <v>99192.060073016211</v>
      </c>
      <c r="P350" s="632">
        <f t="shared" si="77"/>
        <v>101175.9012744762</v>
      </c>
      <c r="Q350" s="632">
        <f t="shared" si="77"/>
        <v>103199.41929996479</v>
      </c>
      <c r="R350" s="632">
        <f t="shared" si="77"/>
        <v>105263.4076859653</v>
      </c>
      <c r="S350" s="632">
        <f t="shared" si="77"/>
        <v>107368.67583968397</v>
      </c>
      <c r="T350" s="632">
        <f t="shared" si="77"/>
        <v>109516.04935647827</v>
      </c>
      <c r="U350" s="632">
        <f t="shared" si="77"/>
        <v>111706.37034360785</v>
      </c>
      <c r="V350" s="632">
        <f t="shared" si="77"/>
        <v>113940.49775047973</v>
      </c>
      <c r="W350" s="632">
        <f t="shared" si="77"/>
        <v>116219.30770548899</v>
      </c>
      <c r="X350" s="632">
        <f t="shared" si="77"/>
        <v>118543.69385959953</v>
      </c>
      <c r="Y350" s="632">
        <f t="shared" si="77"/>
        <v>120914.56773678958</v>
      </c>
      <c r="Z350" s="632">
        <f t="shared" si="77"/>
        <v>123332.85909152683</v>
      </c>
      <c r="AA350" s="632">
        <f t="shared" si="77"/>
        <v>125799.51627335697</v>
      </c>
    </row>
    <row r="351" spans="1:27" x14ac:dyDescent="0.45">
      <c r="A351" s="792"/>
      <c r="B351" s="705"/>
      <c r="C351" s="705"/>
      <c r="D351" s="707" t="s">
        <v>59</v>
      </c>
      <c r="E351" s="793" t="s">
        <v>806</v>
      </c>
      <c r="F351" s="707"/>
      <c r="G351" s="841">
        <f>IF(F313&lt;0,0,F313)</f>
        <v>0</v>
      </c>
      <c r="H351" s="841">
        <f t="shared" ref="H351:AA351" ca="1" si="78">IF(G313&lt;0,0,G313)</f>
        <v>0</v>
      </c>
      <c r="I351" s="841">
        <f t="shared" ca="1" si="78"/>
        <v>69138.301124193822</v>
      </c>
      <c r="J351" s="841">
        <f t="shared" ca="1" si="78"/>
        <v>821214.04453752877</v>
      </c>
      <c r="K351" s="842">
        <f t="shared" ca="1" si="78"/>
        <v>881930.57115927117</v>
      </c>
      <c r="L351" s="632">
        <f t="shared" ca="1" si="78"/>
        <v>939270.54385780112</v>
      </c>
      <c r="M351" s="632">
        <f t="shared" ca="1" si="78"/>
        <v>999289.90303235466</v>
      </c>
      <c r="N351" s="632">
        <f t="shared" ca="1" si="78"/>
        <v>1062161.7163106799</v>
      </c>
      <c r="O351" s="632">
        <f t="shared" ca="1" si="78"/>
        <v>1128013.4949045866</v>
      </c>
      <c r="P351" s="632">
        <f t="shared" ca="1" si="78"/>
        <v>1196977.8184996531</v>
      </c>
      <c r="Q351" s="632">
        <f t="shared" ca="1" si="78"/>
        <v>1269193.0062153493</v>
      </c>
      <c r="R351" s="632">
        <f t="shared" ca="1" si="78"/>
        <v>1344803.3662093072</v>
      </c>
      <c r="S351" s="632">
        <f t="shared" ca="1" si="78"/>
        <v>1423959.4520229748</v>
      </c>
      <c r="T351" s="632">
        <f t="shared" ca="1" si="78"/>
        <v>1506818.3298056428</v>
      </c>
      <c r="U351" s="632">
        <f t="shared" ca="1" si="78"/>
        <v>1593543.8569120015</v>
      </c>
      <c r="V351" s="632">
        <f t="shared" ca="1" si="78"/>
        <v>1684306.97235642</v>
      </c>
      <c r="W351" s="632">
        <f t="shared" ca="1" si="78"/>
        <v>1779285.9996273397</v>
      </c>
      <c r="X351" s="632">
        <f t="shared" ca="1" si="78"/>
        <v>1878666.9623865252</v>
      </c>
      <c r="Y351" s="632">
        <f t="shared" ca="1" si="78"/>
        <v>1982643.9136001696</v>
      </c>
      <c r="Z351" s="632">
        <f t="shared" ca="1" si="78"/>
        <v>2091419.27867204</v>
      </c>
      <c r="AA351" s="632">
        <f t="shared" ca="1" si="78"/>
        <v>2205204.2131730351</v>
      </c>
    </row>
    <row r="352" spans="1:27" x14ac:dyDescent="0.45">
      <c r="A352" s="792"/>
      <c r="B352" s="705"/>
      <c r="C352" s="705"/>
      <c r="D352" s="707"/>
      <c r="E352" s="783"/>
      <c r="F352" s="707"/>
      <c r="G352" s="850" t="s">
        <v>38</v>
      </c>
      <c r="H352" s="850" t="s">
        <v>38</v>
      </c>
      <c r="I352" s="850" t="s">
        <v>38</v>
      </c>
      <c r="J352" s="850" t="s">
        <v>38</v>
      </c>
      <c r="K352" s="851" t="s">
        <v>38</v>
      </c>
      <c r="L352" s="634" t="s">
        <v>38</v>
      </c>
      <c r="M352" s="634" t="s">
        <v>38</v>
      </c>
      <c r="N352" s="634" t="s">
        <v>38</v>
      </c>
      <c r="O352" s="634" t="s">
        <v>38</v>
      </c>
      <c r="P352" s="634" t="s">
        <v>38</v>
      </c>
      <c r="Q352" s="634" t="s">
        <v>38</v>
      </c>
      <c r="R352" s="634" t="s">
        <v>38</v>
      </c>
      <c r="S352" s="634" t="s">
        <v>38</v>
      </c>
      <c r="T352" s="634" t="s">
        <v>38</v>
      </c>
      <c r="U352" s="634" t="s">
        <v>38</v>
      </c>
      <c r="V352" s="634" t="s">
        <v>38</v>
      </c>
      <c r="W352" s="634" t="s">
        <v>38</v>
      </c>
      <c r="X352" s="634" t="s">
        <v>38</v>
      </c>
      <c r="Y352" s="634" t="s">
        <v>38</v>
      </c>
      <c r="Z352" s="634" t="s">
        <v>38</v>
      </c>
      <c r="AA352" s="634" t="s">
        <v>38</v>
      </c>
    </row>
    <row r="353" spans="1:27" x14ac:dyDescent="0.45">
      <c r="A353" s="792"/>
      <c r="B353" s="705"/>
      <c r="C353" s="705"/>
      <c r="D353" s="707" t="s">
        <v>60</v>
      </c>
      <c r="E353" s="793" t="s">
        <v>806</v>
      </c>
      <c r="F353" s="707"/>
      <c r="G353" s="841">
        <f ca="1">G347-SUM(G349:G352)</f>
        <v>-9420607.1310631875</v>
      </c>
      <c r="H353" s="841">
        <f t="shared" ref="H353:U353" ca="1" si="79">H347-SUM(H349:H352)</f>
        <v>205427.17548773112</v>
      </c>
      <c r="I353" s="841">
        <f t="shared" ca="1" si="79"/>
        <v>2938159.6096541127</v>
      </c>
      <c r="J353" s="841">
        <f t="shared" ca="1" si="79"/>
        <v>2246229.8244563458</v>
      </c>
      <c r="K353" s="842">
        <f t="shared" ca="1" si="79"/>
        <v>2246862.1752144806</v>
      </c>
      <c r="L353" s="632">
        <f t="shared" ca="1" si="79"/>
        <v>2252098.0574434227</v>
      </c>
      <c r="M353" s="632">
        <f t="shared" ca="1" si="79"/>
        <v>2255906.0702948966</v>
      </c>
      <c r="N353" s="632">
        <f t="shared" ca="1" si="79"/>
        <v>2258138.176483118</v>
      </c>
      <c r="O353" s="632">
        <f t="shared" ca="1" si="79"/>
        <v>2258692.3957450837</v>
      </c>
      <c r="P353" s="632">
        <f t="shared" ca="1" si="79"/>
        <v>2257462.1899630129</v>
      </c>
      <c r="Q353" s="632">
        <f t="shared" ca="1" si="79"/>
        <v>2254335.8024165714</v>
      </c>
      <c r="R353" s="632">
        <f t="shared" ca="1" si="79"/>
        <v>2249196.0185952508</v>
      </c>
      <c r="S353" s="632">
        <f t="shared" ca="1" si="79"/>
        <v>2241919.9204776762</v>
      </c>
      <c r="T353" s="632">
        <f t="shared" ca="1" si="79"/>
        <v>2232378.6301450189</v>
      </c>
      <c r="U353" s="632">
        <f t="shared" ca="1" si="79"/>
        <v>2220437.0422376734</v>
      </c>
      <c r="V353" s="632">
        <f t="shared" ref="V353:AA353" ca="1" si="80">V347-SUM(V349:V352)</f>
        <v>2205953.5447762478</v>
      </c>
      <c r="W353" s="632">
        <f t="shared" ca="1" si="80"/>
        <v>2188779.7278479813</v>
      </c>
      <c r="X353" s="632">
        <f t="shared" ca="1" si="80"/>
        <v>2168760.0796383009</v>
      </c>
      <c r="Y353" s="632">
        <f t="shared" ca="1" si="80"/>
        <v>2145731.6692651594</v>
      </c>
      <c r="Z353" s="632">
        <f t="shared" ca="1" si="80"/>
        <v>2119523.8158505913</v>
      </c>
      <c r="AA353" s="632">
        <f t="shared" ca="1" si="80"/>
        <v>2089957.7432400524</v>
      </c>
    </row>
    <row r="354" spans="1:27" x14ac:dyDescent="0.45">
      <c r="A354" s="792"/>
      <c r="B354" s="705"/>
      <c r="C354" s="705"/>
      <c r="D354" s="707"/>
      <c r="E354" s="783"/>
      <c r="F354" s="707"/>
      <c r="G354" s="859"/>
      <c r="H354" s="841"/>
      <c r="I354" s="841"/>
      <c r="J354" s="841"/>
      <c r="K354" s="842"/>
      <c r="L354" s="632"/>
      <c r="M354" s="632"/>
      <c r="N354" s="632"/>
      <c r="O354" s="632"/>
      <c r="P354" s="632"/>
      <c r="Q354" s="632"/>
      <c r="R354" s="632"/>
      <c r="S354" s="632"/>
      <c r="T354" s="632"/>
      <c r="U354" s="632"/>
      <c r="V354" s="632"/>
      <c r="W354" s="632"/>
      <c r="X354" s="632"/>
      <c r="Y354" s="632"/>
      <c r="Z354" s="632"/>
      <c r="AA354" s="632"/>
    </row>
    <row r="355" spans="1:27" hidden="1" x14ac:dyDescent="0.45">
      <c r="A355" s="792"/>
      <c r="B355" s="705"/>
      <c r="C355" s="705"/>
      <c r="D355" s="707" t="s">
        <v>490</v>
      </c>
      <c r="E355" s="793" t="s">
        <v>806</v>
      </c>
      <c r="F355" s="707"/>
      <c r="G355" s="841">
        <f>'Financing Template'!G154+'Financing Template'!G174+'Financing Template'!G194+'Financing Template'!G212+'Financing Template'!G230+'Financing Template'!G248+'Financing Template'!G275</f>
        <v>0</v>
      </c>
      <c r="H355" s="841">
        <f>'Financing Template'!H154+'Financing Template'!H174+'Financing Template'!H194+'Financing Template'!H212+'Financing Template'!H230+'Financing Template'!H248+'Financing Template'!H275</f>
        <v>0</v>
      </c>
      <c r="I355" s="841">
        <f>'Financing Template'!I154+'Financing Template'!I174+'Financing Template'!I194+'Financing Template'!I212+'Financing Template'!I230+'Financing Template'!I248+'Financing Template'!I275</f>
        <v>0</v>
      </c>
      <c r="J355" s="841">
        <f>'Financing Template'!J154+'Financing Template'!J174+'Financing Template'!J194+'Financing Template'!J212+'Financing Template'!J230+'Financing Template'!J248+'Financing Template'!J275</f>
        <v>0</v>
      </c>
      <c r="K355" s="842">
        <f>'Financing Template'!K154+'Financing Template'!K174+'Financing Template'!K194+'Financing Template'!K212+'Financing Template'!K230+'Financing Template'!K248+'Financing Template'!K275</f>
        <v>0</v>
      </c>
      <c r="L355" s="632">
        <f>'Financing Template'!L154+'Financing Template'!L174+'Financing Template'!L194+'Financing Template'!L212+'Financing Template'!L230+'Financing Template'!L248+'Financing Template'!L275</f>
        <v>0</v>
      </c>
      <c r="M355" s="632">
        <f>'Financing Template'!M154+'Financing Template'!M174+'Financing Template'!M194+'Financing Template'!M212+'Financing Template'!M230+'Financing Template'!M248+'Financing Template'!M275</f>
        <v>0</v>
      </c>
      <c r="N355" s="632">
        <f>'Financing Template'!N154+'Financing Template'!N174+'Financing Template'!N194+'Financing Template'!N212+'Financing Template'!N230+'Financing Template'!N248+'Financing Template'!N275</f>
        <v>0</v>
      </c>
      <c r="O355" s="632">
        <f>'Financing Template'!O154+'Financing Template'!O174+'Financing Template'!O194+'Financing Template'!O212+'Financing Template'!O230+'Financing Template'!O248+'Financing Template'!O275</f>
        <v>0</v>
      </c>
      <c r="P355" s="632">
        <f>'Financing Template'!P154+'Financing Template'!P174+'Financing Template'!P194+'Financing Template'!P212+'Financing Template'!P230+'Financing Template'!P248+'Financing Template'!P275</f>
        <v>0</v>
      </c>
      <c r="Q355" s="632">
        <f>'Financing Template'!Q154+'Financing Template'!Q174+'Financing Template'!Q194+'Financing Template'!Q212+'Financing Template'!Q230+'Financing Template'!Q248+'Financing Template'!Q275</f>
        <v>0</v>
      </c>
      <c r="R355" s="632">
        <f>'Financing Template'!R154+'Financing Template'!R174+'Financing Template'!R194+'Financing Template'!R212+'Financing Template'!R230+'Financing Template'!R248+'Financing Template'!R275</f>
        <v>0</v>
      </c>
      <c r="S355" s="632">
        <f>'Financing Template'!S154+'Financing Template'!S174+'Financing Template'!S194+'Financing Template'!S212+'Financing Template'!S230+'Financing Template'!S248+'Financing Template'!S275</f>
        <v>0</v>
      </c>
      <c r="T355" s="632">
        <f>'Financing Template'!T154+'Financing Template'!T174+'Financing Template'!T194+'Financing Template'!T212+'Financing Template'!T230+'Financing Template'!T248+'Financing Template'!T275</f>
        <v>0</v>
      </c>
      <c r="U355" s="632">
        <f>'Financing Template'!U154+'Financing Template'!U174+'Financing Template'!U194+'Financing Template'!U212+'Financing Template'!U230+'Financing Template'!U248+'Financing Template'!U275</f>
        <v>0</v>
      </c>
      <c r="V355" s="632">
        <f>'Financing Template'!V154+'Financing Template'!V174+'Financing Template'!V194+'Financing Template'!V212+'Financing Template'!V230+'Financing Template'!V248+'Financing Template'!V275</f>
        <v>0</v>
      </c>
      <c r="W355" s="632">
        <f>'Financing Template'!W154+'Financing Template'!W174+'Financing Template'!W194+'Financing Template'!W212+'Financing Template'!W230+'Financing Template'!W248+'Financing Template'!W275</f>
        <v>0</v>
      </c>
      <c r="X355" s="632">
        <f>'Financing Template'!X154+'Financing Template'!X174+'Financing Template'!X194+'Financing Template'!X212+'Financing Template'!X230+'Financing Template'!X248+'Financing Template'!X275</f>
        <v>0</v>
      </c>
      <c r="Y355" s="632">
        <f>'Financing Template'!Y154+'Financing Template'!Y174+'Financing Template'!Y194+'Financing Template'!Y212+'Financing Template'!Y230+'Financing Template'!Y248+'Financing Template'!Y275</f>
        <v>0</v>
      </c>
      <c r="Z355" s="632">
        <f>'Financing Template'!Z154+'Financing Template'!Z174+'Financing Template'!Z194+'Financing Template'!Z212+'Financing Template'!Z230+'Financing Template'!Z248+'Financing Template'!Z275</f>
        <v>0</v>
      </c>
      <c r="AA355" s="632">
        <f>'Financing Template'!AA154+'Financing Template'!AA174+'Financing Template'!AA194+'Financing Template'!AA212+'Financing Template'!AA230+'Financing Template'!AA248+'Financing Template'!AA275</f>
        <v>0</v>
      </c>
    </row>
    <row r="356" spans="1:27" x14ac:dyDescent="0.45">
      <c r="A356" s="792"/>
      <c r="B356" s="705"/>
      <c r="C356" s="705"/>
      <c r="D356" s="707" t="s">
        <v>491</v>
      </c>
      <c r="E356" s="793" t="s">
        <v>806</v>
      </c>
      <c r="F356" s="707"/>
      <c r="G356" s="841">
        <f t="shared" ref="G356:AA356" ca="1" si="81">IF(-F309-(G353+G368+G369+G370)/2&lt;0,G16/2,G16)*(-F309-(G369+G370+G353+G363+G364+G365+G366)/2)</f>
        <v>-17381.786068104375</v>
      </c>
      <c r="H356" s="841">
        <f t="shared" ca="1" si="81"/>
        <v>-41969.294564926931</v>
      </c>
      <c r="I356" s="841">
        <f t="shared" ca="1" si="81"/>
        <v>-121729.87498324328</v>
      </c>
      <c r="J356" s="841">
        <f ca="1">IF(-I309-(J353+J368+J369+J370)/2&lt;0,J16/2,J16)*(-I309-(J369+J370+J353+J363+J364+J365+J366)/2)</f>
        <v>-267127.68201571703</v>
      </c>
      <c r="K356" s="842">
        <f t="shared" ca="1" si="81"/>
        <v>-400130.49700335029</v>
      </c>
      <c r="L356" s="632">
        <f t="shared" ca="1" si="81"/>
        <v>-540901.99169758172</v>
      </c>
      <c r="M356" s="632">
        <f t="shared" ca="1" si="81"/>
        <v>-689995.8060199623</v>
      </c>
      <c r="N356" s="632">
        <f t="shared" ca="1" si="81"/>
        <v>-847813.26012884057</v>
      </c>
      <c r="O356" s="632">
        <f t="shared" ca="1" si="81"/>
        <v>-1014772.0947508407</v>
      </c>
      <c r="P356" s="632">
        <f t="shared" ca="1" si="81"/>
        <v>-1191308.6982277029</v>
      </c>
      <c r="Q356" s="632">
        <f t="shared" ca="1" si="81"/>
        <v>-1377878.9288539295</v>
      </c>
      <c r="R356" s="632">
        <f t="shared" ca="1" si="81"/>
        <v>-1574958.9594921169</v>
      </c>
      <c r="S356" s="632">
        <f t="shared" ca="1" si="81"/>
        <v>-1783046.1582521577</v>
      </c>
      <c r="T356" s="632">
        <f t="shared" ca="1" si="81"/>
        <v>-2002660.0068808573</v>
      </c>
      <c r="U356" s="632">
        <f t="shared" ca="1" si="81"/>
        <v>-2234343.0584685728</v>
      </c>
      <c r="V356" s="632">
        <f t="shared" ca="1" si="81"/>
        <v>-2478661.9361467524</v>
      </c>
      <c r="W356" s="632">
        <f t="shared" ca="1" si="81"/>
        <v>-2736208.3745213221</v>
      </c>
      <c r="X356" s="632">
        <f t="shared" ca="1" si="81"/>
        <v>-3007600.3056609649</v>
      </c>
      <c r="Y356" s="632">
        <f t="shared" ca="1" si="81"/>
        <v>-3293482.991536574</v>
      </c>
      <c r="Z356" s="632">
        <f t="shared" ca="1" si="81"/>
        <v>-3594530.2048886609</v>
      </c>
      <c r="AA356" s="632">
        <f t="shared" ca="1" si="81"/>
        <v>-3911445.4605834461</v>
      </c>
    </row>
    <row r="357" spans="1:27" x14ac:dyDescent="0.45">
      <c r="A357" s="792"/>
      <c r="B357" s="705"/>
      <c r="C357" s="705"/>
      <c r="D357" s="707"/>
      <c r="E357" s="783"/>
      <c r="F357" s="707"/>
      <c r="G357" s="850" t="s">
        <v>38</v>
      </c>
      <c r="H357" s="850" t="s">
        <v>38</v>
      </c>
      <c r="I357" s="850" t="s">
        <v>38</v>
      </c>
      <c r="J357" s="850" t="s">
        <v>38</v>
      </c>
      <c r="K357" s="851" t="s">
        <v>38</v>
      </c>
      <c r="L357" s="634" t="s">
        <v>38</v>
      </c>
      <c r="M357" s="634" t="s">
        <v>38</v>
      </c>
      <c r="N357" s="634" t="s">
        <v>38</v>
      </c>
      <c r="O357" s="634" t="s">
        <v>38</v>
      </c>
      <c r="P357" s="634" t="s">
        <v>38</v>
      </c>
      <c r="Q357" s="634" t="s">
        <v>38</v>
      </c>
      <c r="R357" s="634" t="s">
        <v>38</v>
      </c>
      <c r="S357" s="634" t="s">
        <v>38</v>
      </c>
      <c r="T357" s="634" t="s">
        <v>38</v>
      </c>
      <c r="U357" s="634" t="s">
        <v>38</v>
      </c>
      <c r="V357" s="634" t="s">
        <v>38</v>
      </c>
      <c r="W357" s="634" t="s">
        <v>38</v>
      </c>
      <c r="X357" s="634" t="s">
        <v>38</v>
      </c>
      <c r="Y357" s="634" t="s">
        <v>38</v>
      </c>
      <c r="Z357" s="634" t="s">
        <v>38</v>
      </c>
      <c r="AA357" s="634" t="s">
        <v>38</v>
      </c>
    </row>
    <row r="358" spans="1:27" x14ac:dyDescent="0.45">
      <c r="A358" s="792"/>
      <c r="B358" s="705"/>
      <c r="C358" s="705"/>
      <c r="D358" s="707" t="s">
        <v>61</v>
      </c>
      <c r="E358" s="793" t="s">
        <v>806</v>
      </c>
      <c r="F358" s="860"/>
      <c r="G358" s="859">
        <f ca="1">G355+G356</f>
        <v>-17381.786068104375</v>
      </c>
      <c r="H358" s="859">
        <f t="shared" ref="H358:AA358" ca="1" si="82">H355+H356</f>
        <v>-41969.294564926931</v>
      </c>
      <c r="I358" s="859">
        <f t="shared" ca="1" si="82"/>
        <v>-121729.87498324328</v>
      </c>
      <c r="J358" s="859">
        <f ca="1">J355+J356</f>
        <v>-267127.68201571703</v>
      </c>
      <c r="K358" s="861">
        <f t="shared" ca="1" si="82"/>
        <v>-400130.49700335029</v>
      </c>
      <c r="L358" s="637">
        <f t="shared" ca="1" si="82"/>
        <v>-540901.99169758172</v>
      </c>
      <c r="M358" s="637">
        <f t="shared" ca="1" si="82"/>
        <v>-689995.8060199623</v>
      </c>
      <c r="N358" s="637">
        <f t="shared" ca="1" si="82"/>
        <v>-847813.26012884057</v>
      </c>
      <c r="O358" s="637">
        <f t="shared" ca="1" si="82"/>
        <v>-1014772.0947508407</v>
      </c>
      <c r="P358" s="637">
        <f t="shared" ca="1" si="82"/>
        <v>-1191308.6982277029</v>
      </c>
      <c r="Q358" s="637">
        <f t="shared" ca="1" si="82"/>
        <v>-1377878.9288539295</v>
      </c>
      <c r="R358" s="637">
        <f t="shared" ca="1" si="82"/>
        <v>-1574958.9594921169</v>
      </c>
      <c r="S358" s="637">
        <f t="shared" ca="1" si="82"/>
        <v>-1783046.1582521577</v>
      </c>
      <c r="T358" s="637">
        <f t="shared" ca="1" si="82"/>
        <v>-2002660.0068808573</v>
      </c>
      <c r="U358" s="637">
        <f t="shared" ca="1" si="82"/>
        <v>-2234343.0584685728</v>
      </c>
      <c r="V358" s="637">
        <f t="shared" ca="1" si="82"/>
        <v>-2478661.9361467524</v>
      </c>
      <c r="W358" s="637">
        <f t="shared" ca="1" si="82"/>
        <v>-2736208.3745213221</v>
      </c>
      <c r="X358" s="637">
        <f t="shared" ca="1" si="82"/>
        <v>-3007600.3056609649</v>
      </c>
      <c r="Y358" s="637">
        <f t="shared" ca="1" si="82"/>
        <v>-3293482.991536574</v>
      </c>
      <c r="Z358" s="637">
        <f t="shared" ca="1" si="82"/>
        <v>-3594530.2048886609</v>
      </c>
      <c r="AA358" s="637">
        <f t="shared" ca="1" si="82"/>
        <v>-3911445.4605834461</v>
      </c>
    </row>
    <row r="359" spans="1:27" x14ac:dyDescent="0.45">
      <c r="A359" s="792"/>
      <c r="B359" s="705"/>
      <c r="C359" s="705"/>
      <c r="D359" s="707" t="s">
        <v>563</v>
      </c>
      <c r="E359" s="793" t="s">
        <v>806</v>
      </c>
      <c r="F359" s="860"/>
      <c r="G359" s="841">
        <f ca="1">G284</f>
        <v>0</v>
      </c>
      <c r="H359" s="841">
        <f t="shared" ref="H359:AA359" ca="1" si="83">H284</f>
        <v>284419.68016390962</v>
      </c>
      <c r="I359" s="841">
        <f t="shared" ca="1" si="83"/>
        <v>290627.80816390953</v>
      </c>
      <c r="J359" s="841">
        <f t="shared" ca="1" si="83"/>
        <v>296960.09872390964</v>
      </c>
      <c r="K359" s="842">
        <f t="shared" ca="1" si="83"/>
        <v>303419.0350951096</v>
      </c>
      <c r="L359" s="632">
        <f t="shared" ca="1" si="83"/>
        <v>310007.15019373345</v>
      </c>
      <c r="M359" s="632">
        <f t="shared" ca="1" si="83"/>
        <v>316727.02759433008</v>
      </c>
      <c r="N359" s="632">
        <f t="shared" ca="1" si="83"/>
        <v>323581.30254293868</v>
      </c>
      <c r="O359" s="632">
        <f t="shared" ca="1" si="83"/>
        <v>330572.66299051896</v>
      </c>
      <c r="P359" s="632">
        <f t="shared" ca="1" si="83"/>
        <v>337703.85064705135</v>
      </c>
      <c r="Q359" s="632">
        <f t="shared" ca="1" si="83"/>
        <v>344977.66205671424</v>
      </c>
      <c r="R359" s="632">
        <f t="shared" ca="1" si="83"/>
        <v>352396.94969457039</v>
      </c>
      <c r="S359" s="632">
        <f t="shared" ca="1" si="83"/>
        <v>359964.62308518367</v>
      </c>
      <c r="T359" s="632">
        <f t="shared" ca="1" si="83"/>
        <v>367683.64994360902</v>
      </c>
      <c r="U359" s="632">
        <f t="shared" ca="1" si="83"/>
        <v>375557.05733920302</v>
      </c>
      <c r="V359" s="632">
        <f t="shared" ca="1" si="83"/>
        <v>383587.93288270879</v>
      </c>
      <c r="W359" s="632">
        <f t="shared" ca="1" si="83"/>
        <v>391779.42593708471</v>
      </c>
      <c r="X359" s="632">
        <f t="shared" ca="1" si="83"/>
        <v>400134.74885254819</v>
      </c>
      <c r="Y359" s="632">
        <f t="shared" ca="1" si="83"/>
        <v>408657.17822632141</v>
      </c>
      <c r="Z359" s="632">
        <f t="shared" ca="1" si="83"/>
        <v>417350.0561875694</v>
      </c>
      <c r="AA359" s="632">
        <f t="shared" ca="1" si="83"/>
        <v>426216.79170804285</v>
      </c>
    </row>
    <row r="360" spans="1:27" x14ac:dyDescent="0.45">
      <c r="A360" s="792"/>
      <c r="B360" s="705"/>
      <c r="C360" s="705"/>
      <c r="D360" s="707"/>
      <c r="E360" s="783"/>
      <c r="F360" s="707"/>
      <c r="G360" s="841"/>
      <c r="H360" s="841"/>
      <c r="I360" s="841"/>
      <c r="J360" s="841"/>
      <c r="K360" s="842"/>
      <c r="L360" s="632"/>
      <c r="M360" s="632"/>
      <c r="N360" s="632"/>
      <c r="O360" s="632"/>
      <c r="P360" s="632"/>
      <c r="Q360" s="632"/>
      <c r="R360" s="632"/>
      <c r="S360" s="632"/>
      <c r="T360" s="632"/>
      <c r="U360" s="632"/>
      <c r="V360" s="632"/>
      <c r="W360" s="632"/>
      <c r="X360" s="632"/>
      <c r="Y360" s="632"/>
      <c r="Z360" s="632"/>
      <c r="AA360" s="632"/>
    </row>
    <row r="361" spans="1:27" x14ac:dyDescent="0.45">
      <c r="A361" s="792"/>
      <c r="B361" s="705"/>
      <c r="C361" s="705"/>
      <c r="D361" s="707" t="s">
        <v>62</v>
      </c>
      <c r="E361" s="793" t="s">
        <v>806</v>
      </c>
      <c r="F361" s="707"/>
      <c r="G361" s="841">
        <f ca="1">G353-G358-G359</f>
        <v>-9403225.3449950833</v>
      </c>
      <c r="H361" s="841">
        <f t="shared" ref="H361:AA361" ca="1" si="84">H353-H358-H359</f>
        <v>-37023.210111251567</v>
      </c>
      <c r="I361" s="841">
        <f t="shared" ca="1" si="84"/>
        <v>2769261.6764734462</v>
      </c>
      <c r="J361" s="841">
        <f t="shared" ca="1" si="84"/>
        <v>2216397.407748153</v>
      </c>
      <c r="K361" s="842">
        <f t="shared" ca="1" si="84"/>
        <v>2343573.6371227214</v>
      </c>
      <c r="L361" s="632">
        <f t="shared" ca="1" si="84"/>
        <v>2482992.8989472711</v>
      </c>
      <c r="M361" s="632">
        <f t="shared" ca="1" si="84"/>
        <v>2629174.8487205287</v>
      </c>
      <c r="N361" s="632">
        <f t="shared" ca="1" si="84"/>
        <v>2782370.1340690199</v>
      </c>
      <c r="O361" s="632">
        <f t="shared" ca="1" si="84"/>
        <v>2942891.8275054055</v>
      </c>
      <c r="P361" s="632">
        <f t="shared" ca="1" si="84"/>
        <v>3111067.0375436642</v>
      </c>
      <c r="Q361" s="632">
        <f t="shared" ca="1" si="84"/>
        <v>3287237.0692137866</v>
      </c>
      <c r="R361" s="632">
        <f t="shared" ca="1" si="84"/>
        <v>3471758.0283927973</v>
      </c>
      <c r="S361" s="632">
        <f t="shared" ca="1" si="84"/>
        <v>3665001.4556446504</v>
      </c>
      <c r="T361" s="632">
        <f ca="1">T353-T358-T359</f>
        <v>3867354.9870822672</v>
      </c>
      <c r="U361" s="632">
        <f t="shared" ca="1" si="84"/>
        <v>4079223.0433670427</v>
      </c>
      <c r="V361" s="632">
        <f t="shared" ca="1" si="84"/>
        <v>4301027.5480402922</v>
      </c>
      <c r="W361" s="632">
        <f t="shared" ca="1" si="84"/>
        <v>4533208.6764322184</v>
      </c>
      <c r="X361" s="632">
        <f t="shared" ca="1" si="84"/>
        <v>4776225.6364467172</v>
      </c>
      <c r="Y361" s="632">
        <f t="shared" ca="1" si="84"/>
        <v>5030557.4825754119</v>
      </c>
      <c r="Z361" s="632">
        <f t="shared" ca="1" si="84"/>
        <v>5296703.9645516826</v>
      </c>
      <c r="AA361" s="632">
        <f t="shared" ca="1" si="84"/>
        <v>5575186.4121154556</v>
      </c>
    </row>
    <row r="362" spans="1:27" hidden="1" x14ac:dyDescent="0.45">
      <c r="A362" s="792"/>
      <c r="B362" s="705"/>
      <c r="C362" s="705"/>
      <c r="D362" s="707"/>
      <c r="E362" s="783"/>
      <c r="F362" s="707"/>
      <c r="G362" s="841"/>
      <c r="H362" s="841"/>
      <c r="I362" s="841"/>
      <c r="J362" s="841"/>
      <c r="K362" s="842"/>
      <c r="L362" s="632"/>
      <c r="M362" s="632"/>
      <c r="N362" s="632"/>
      <c r="O362" s="632"/>
      <c r="P362" s="632"/>
      <c r="Q362" s="632"/>
      <c r="R362" s="632"/>
      <c r="S362" s="632"/>
      <c r="T362" s="632"/>
      <c r="U362" s="632"/>
      <c r="V362" s="632"/>
      <c r="W362" s="632"/>
      <c r="X362" s="632"/>
      <c r="Y362" s="632"/>
      <c r="Z362" s="632"/>
      <c r="AA362" s="632"/>
    </row>
    <row r="363" spans="1:27" hidden="1" x14ac:dyDescent="0.45">
      <c r="A363" s="792"/>
      <c r="B363" s="705"/>
      <c r="C363" s="707"/>
      <c r="D363" s="707" t="s">
        <v>178</v>
      </c>
      <c r="E363" s="783" t="s">
        <v>806</v>
      </c>
      <c r="F363" s="862"/>
      <c r="G363" s="841">
        <f>'Financing Template'!G186-'Financing Template'!G188</f>
        <v>0</v>
      </c>
      <c r="H363" s="841">
        <f>'Financing Template'!H186-'Financing Template'!H188</f>
        <v>0</v>
      </c>
      <c r="I363" s="841">
        <f>'Financing Template'!I186-'Financing Template'!I188</f>
        <v>0</v>
      </c>
      <c r="J363" s="841">
        <f>'Financing Template'!J186-'Financing Template'!J188</f>
        <v>0</v>
      </c>
      <c r="K363" s="842">
        <f>'Financing Template'!K186-'Financing Template'!K188</f>
        <v>0</v>
      </c>
      <c r="L363" s="632">
        <f>'Financing Template'!L186-'Financing Template'!L188</f>
        <v>0</v>
      </c>
      <c r="M363" s="632">
        <f>'Financing Template'!M186-'Financing Template'!M188</f>
        <v>0</v>
      </c>
      <c r="N363" s="632">
        <f>'Financing Template'!N186-'Financing Template'!N188</f>
        <v>0</v>
      </c>
      <c r="O363" s="632">
        <f>'Financing Template'!O186-'Financing Template'!O188</f>
        <v>0</v>
      </c>
      <c r="P363" s="632">
        <f>'Financing Template'!P186-'Financing Template'!P188</f>
        <v>0</v>
      </c>
      <c r="Q363" s="632">
        <f>'Financing Template'!Q186-'Financing Template'!Q188</f>
        <v>0</v>
      </c>
      <c r="R363" s="632">
        <f>'Financing Template'!R186-'Financing Template'!R188</f>
        <v>0</v>
      </c>
      <c r="S363" s="632">
        <f>'Financing Template'!S186-'Financing Template'!S188</f>
        <v>0</v>
      </c>
      <c r="T363" s="632">
        <f>'Financing Template'!T186-'Financing Template'!T188</f>
        <v>0</v>
      </c>
      <c r="U363" s="632">
        <f>'Financing Template'!U186-'Financing Template'!U188</f>
        <v>0</v>
      </c>
      <c r="V363" s="632">
        <f>'Financing Template'!V186-'Financing Template'!V188</f>
        <v>0</v>
      </c>
      <c r="W363" s="632">
        <f>'Financing Template'!W186-'Financing Template'!W188</f>
        <v>0</v>
      </c>
      <c r="X363" s="632">
        <f>'Financing Template'!X186-'Financing Template'!X188</f>
        <v>0</v>
      </c>
      <c r="Y363" s="632">
        <f>'Financing Template'!Y186-'Financing Template'!Y188</f>
        <v>0</v>
      </c>
      <c r="Z363" s="632">
        <f>'Financing Template'!Z186-'Financing Template'!Z188</f>
        <v>0</v>
      </c>
      <c r="AA363" s="632">
        <f>'Financing Template'!AA186-'Financing Template'!AA188</f>
        <v>0</v>
      </c>
    </row>
    <row r="364" spans="1:27" hidden="1" x14ac:dyDescent="0.45">
      <c r="A364" s="792"/>
      <c r="B364" s="705"/>
      <c r="C364" s="707"/>
      <c r="D364" s="707" t="s">
        <v>179</v>
      </c>
      <c r="E364" s="783" t="s">
        <v>806</v>
      </c>
      <c r="F364" s="785"/>
      <c r="G364" s="841">
        <f>'Financing Template'!G266-'Financing Template'!G268</f>
        <v>0</v>
      </c>
      <c r="H364" s="841">
        <f>'Financing Template'!H266-'Financing Template'!H268</f>
        <v>0</v>
      </c>
      <c r="I364" s="841">
        <f>'Financing Template'!I266-'Financing Template'!I268</f>
        <v>0</v>
      </c>
      <c r="J364" s="841">
        <f>'Financing Template'!J266-'Financing Template'!J268</f>
        <v>0</v>
      </c>
      <c r="K364" s="842">
        <f>'Financing Template'!K266-'Financing Template'!K268</f>
        <v>0</v>
      </c>
      <c r="L364" s="632">
        <f>'Financing Template'!L266-'Financing Template'!L268</f>
        <v>0</v>
      </c>
      <c r="M364" s="632">
        <f>'Financing Template'!M266-'Financing Template'!M268</f>
        <v>0</v>
      </c>
      <c r="N364" s="632">
        <f>'Financing Template'!N266-'Financing Template'!N268</f>
        <v>0</v>
      </c>
      <c r="O364" s="632">
        <f>'Financing Template'!O266-'Financing Template'!O268</f>
        <v>0</v>
      </c>
      <c r="P364" s="632">
        <f>'Financing Template'!P266-'Financing Template'!P268</f>
        <v>0</v>
      </c>
      <c r="Q364" s="632">
        <f>'Financing Template'!Q266-'Financing Template'!Q268</f>
        <v>0</v>
      </c>
      <c r="R364" s="632">
        <f>'Financing Template'!R266-'Financing Template'!R268</f>
        <v>0</v>
      </c>
      <c r="S364" s="632">
        <f>'Financing Template'!S266-'Financing Template'!S268</f>
        <v>0</v>
      </c>
      <c r="T364" s="632">
        <f>'Financing Template'!T266-'Financing Template'!T268</f>
        <v>0</v>
      </c>
      <c r="U364" s="632">
        <f>'Financing Template'!U266-'Financing Template'!U268</f>
        <v>0</v>
      </c>
      <c r="V364" s="632">
        <f>'Financing Template'!V266-'Financing Template'!V268</f>
        <v>0</v>
      </c>
      <c r="W364" s="632">
        <f>'Financing Template'!W266-'Financing Template'!W268</f>
        <v>0</v>
      </c>
      <c r="X364" s="632">
        <f>'Financing Template'!X266-'Financing Template'!X268</f>
        <v>0</v>
      </c>
      <c r="Y364" s="632">
        <f>'Financing Template'!Y266-'Financing Template'!Y268</f>
        <v>0</v>
      </c>
      <c r="Z364" s="632">
        <f>'Financing Template'!Z266-'Financing Template'!Z268</f>
        <v>0</v>
      </c>
      <c r="AA364" s="632">
        <f>'Financing Template'!AA266-'Financing Template'!AA268</f>
        <v>0</v>
      </c>
    </row>
    <row r="365" spans="1:27" hidden="1" x14ac:dyDescent="0.45">
      <c r="A365" s="792"/>
      <c r="B365" s="705"/>
      <c r="C365" s="707"/>
      <c r="D365" s="707" t="s">
        <v>165</v>
      </c>
      <c r="E365" s="783" t="s">
        <v>806</v>
      </c>
      <c r="F365" s="785"/>
      <c r="G365" s="841">
        <f>'Financing Template'!G204-'Financing Template'!G206</f>
        <v>0</v>
      </c>
      <c r="H365" s="841">
        <f>'Financing Template'!H204-'Financing Template'!H206</f>
        <v>0</v>
      </c>
      <c r="I365" s="841">
        <f>'Financing Template'!I204-'Financing Template'!I206</f>
        <v>0</v>
      </c>
      <c r="J365" s="841">
        <f>'Financing Template'!J204-'Financing Template'!J206</f>
        <v>0</v>
      </c>
      <c r="K365" s="842">
        <f>'Financing Template'!K204-'Financing Template'!K206</f>
        <v>0</v>
      </c>
      <c r="L365" s="632">
        <f>'Financing Template'!L204-'Financing Template'!L206</f>
        <v>0</v>
      </c>
      <c r="M365" s="632">
        <f>'Financing Template'!M204-'Financing Template'!M206</f>
        <v>0</v>
      </c>
      <c r="N365" s="632">
        <f>'Financing Template'!N204-'Financing Template'!N206</f>
        <v>0</v>
      </c>
      <c r="O365" s="632">
        <f>'Financing Template'!O204-'Financing Template'!O206</f>
        <v>0</v>
      </c>
      <c r="P365" s="632">
        <f>'Financing Template'!P204-'Financing Template'!P206</f>
        <v>0</v>
      </c>
      <c r="Q365" s="632">
        <f>'Financing Template'!Q204-'Financing Template'!Q206</f>
        <v>0</v>
      </c>
      <c r="R365" s="632">
        <f>'Financing Template'!R204-'Financing Template'!R206</f>
        <v>0</v>
      </c>
      <c r="S365" s="632">
        <f>'Financing Template'!S204-'Financing Template'!S206</f>
        <v>0</v>
      </c>
      <c r="T365" s="632">
        <f>'Financing Template'!T204-'Financing Template'!T206</f>
        <v>0</v>
      </c>
      <c r="U365" s="632">
        <f>'Financing Template'!U204-'Financing Template'!U206</f>
        <v>0</v>
      </c>
      <c r="V365" s="632">
        <f>'Financing Template'!V204-'Financing Template'!V206</f>
        <v>0</v>
      </c>
      <c r="W365" s="632">
        <f>'Financing Template'!W204-'Financing Template'!W206</f>
        <v>0</v>
      </c>
      <c r="X365" s="632">
        <f>'Financing Template'!X204-'Financing Template'!X206</f>
        <v>0</v>
      </c>
      <c r="Y365" s="632">
        <f>'Financing Template'!Y204-'Financing Template'!Y206</f>
        <v>0</v>
      </c>
      <c r="Z365" s="632">
        <f>'Financing Template'!Z204-'Financing Template'!Z206</f>
        <v>0</v>
      </c>
      <c r="AA365" s="632">
        <f>'Financing Template'!AA204-'Financing Template'!AA206</f>
        <v>0</v>
      </c>
    </row>
    <row r="366" spans="1:27" hidden="1" x14ac:dyDescent="0.45">
      <c r="A366" s="792"/>
      <c r="B366" s="705"/>
      <c r="C366" s="707"/>
      <c r="D366" s="707" t="s">
        <v>801</v>
      </c>
      <c r="E366" s="783" t="s">
        <v>806</v>
      </c>
      <c r="F366" s="785"/>
      <c r="G366" s="841">
        <f>('Financing Template'!G222-'Financing Template'!G224)+('Financing Template'!G240-'Financing Template'!G242)</f>
        <v>0</v>
      </c>
      <c r="H366" s="841">
        <f>('Financing Template'!H222-'Financing Template'!H224)+('Financing Template'!H240-'Financing Template'!H242)</f>
        <v>0</v>
      </c>
      <c r="I366" s="841">
        <f>('Financing Template'!I222-'Financing Template'!I224)+('Financing Template'!I240-'Financing Template'!I242)</f>
        <v>0</v>
      </c>
      <c r="J366" s="841">
        <f>('Financing Template'!J222-'Financing Template'!J224)+('Financing Template'!J240-'Financing Template'!J242)</f>
        <v>0</v>
      </c>
      <c r="K366" s="842">
        <f>('Financing Template'!K222-'Financing Template'!K224)+('Financing Template'!K240-'Financing Template'!K242)</f>
        <v>0</v>
      </c>
      <c r="L366" s="632">
        <f>('Financing Template'!L222-'Financing Template'!L224)+('Financing Template'!L240-'Financing Template'!L242)</f>
        <v>0</v>
      </c>
      <c r="M366" s="632">
        <f>('Financing Template'!M222-'Financing Template'!M224)+('Financing Template'!M240-'Financing Template'!M242)</f>
        <v>0</v>
      </c>
      <c r="N366" s="632">
        <f>('Financing Template'!N222-'Financing Template'!N224)+('Financing Template'!N240-'Financing Template'!N242)</f>
        <v>0</v>
      </c>
      <c r="O366" s="632">
        <f>('Financing Template'!O222-'Financing Template'!O224)+('Financing Template'!O240-'Financing Template'!O242)</f>
        <v>0</v>
      </c>
      <c r="P366" s="632">
        <f>('Financing Template'!P222-'Financing Template'!P224)+('Financing Template'!P240-'Financing Template'!P242)</f>
        <v>0</v>
      </c>
      <c r="Q366" s="632">
        <f>('Financing Template'!Q222-'Financing Template'!Q224)+('Financing Template'!Q240-'Financing Template'!Q242)</f>
        <v>0</v>
      </c>
      <c r="R366" s="632">
        <f>('Financing Template'!R222-'Financing Template'!R224)+('Financing Template'!R240-'Financing Template'!R242)</f>
        <v>0</v>
      </c>
      <c r="S366" s="632">
        <f>('Financing Template'!S222-'Financing Template'!S224)+('Financing Template'!S240-'Financing Template'!S242)</f>
        <v>0</v>
      </c>
      <c r="T366" s="632">
        <f>('Financing Template'!T222-'Financing Template'!T224)+('Financing Template'!T240-'Financing Template'!T242)</f>
        <v>0</v>
      </c>
      <c r="U366" s="632">
        <f>('Financing Template'!U222-'Financing Template'!U224)+('Financing Template'!U240-'Financing Template'!U242)</f>
        <v>0</v>
      </c>
      <c r="V366" s="632">
        <f>('Financing Template'!V222-'Financing Template'!V224)+('Financing Template'!V240-'Financing Template'!V242)</f>
        <v>0</v>
      </c>
      <c r="W366" s="632">
        <f>('Financing Template'!W222-'Financing Template'!W224)+('Financing Template'!W240-'Financing Template'!W242)</f>
        <v>0</v>
      </c>
      <c r="X366" s="632">
        <f>('Financing Template'!X222-'Financing Template'!X224)+('Financing Template'!X240-'Financing Template'!X242)</f>
        <v>0</v>
      </c>
      <c r="Y366" s="632">
        <f>('Financing Template'!Y222-'Financing Template'!Y224)+('Financing Template'!Y240-'Financing Template'!Y242)</f>
        <v>0</v>
      </c>
      <c r="Z366" s="632">
        <f>('Financing Template'!Z222-'Financing Template'!Z224)+('Financing Template'!Z240-'Financing Template'!Z242)</f>
        <v>0</v>
      </c>
      <c r="AA366" s="632">
        <f>('Financing Template'!AA222-'Financing Template'!AA224)+('Financing Template'!AA240-'Financing Template'!AA242)</f>
        <v>0</v>
      </c>
    </row>
    <row r="367" spans="1:27" hidden="1" x14ac:dyDescent="0.45">
      <c r="A367" s="792"/>
      <c r="B367" s="705"/>
      <c r="C367" s="705"/>
      <c r="D367" s="707"/>
      <c r="E367" s="783"/>
      <c r="F367" s="707"/>
      <c r="G367" s="850" t="s">
        <v>38</v>
      </c>
      <c r="H367" s="850" t="s">
        <v>38</v>
      </c>
      <c r="I367" s="850" t="s">
        <v>38</v>
      </c>
      <c r="J367" s="850" t="s">
        <v>38</v>
      </c>
      <c r="K367" s="851" t="s">
        <v>38</v>
      </c>
      <c r="L367" s="634" t="s">
        <v>38</v>
      </c>
      <c r="M367" s="634" t="s">
        <v>38</v>
      </c>
      <c r="N367" s="634" t="s">
        <v>38</v>
      </c>
      <c r="O367" s="634" t="s">
        <v>38</v>
      </c>
      <c r="P367" s="634" t="s">
        <v>38</v>
      </c>
      <c r="Q367" s="634" t="s">
        <v>38</v>
      </c>
      <c r="R367" s="634" t="s">
        <v>38</v>
      </c>
      <c r="S367" s="634" t="s">
        <v>38</v>
      </c>
      <c r="T367" s="634" t="s">
        <v>38</v>
      </c>
      <c r="U367" s="634" t="s">
        <v>38</v>
      </c>
      <c r="V367" s="634" t="s">
        <v>38</v>
      </c>
      <c r="W367" s="634" t="s">
        <v>38</v>
      </c>
      <c r="X367" s="634" t="s">
        <v>38</v>
      </c>
      <c r="Y367" s="634" t="s">
        <v>38</v>
      </c>
      <c r="Z367" s="634" t="s">
        <v>38</v>
      </c>
      <c r="AA367" s="634" t="s">
        <v>38</v>
      </c>
    </row>
    <row r="368" spans="1:27" hidden="1" x14ac:dyDescent="0.45">
      <c r="A368" s="792"/>
      <c r="B368" s="705"/>
      <c r="C368" s="705"/>
      <c r="D368" s="707" t="s">
        <v>63</v>
      </c>
      <c r="E368" s="793" t="s">
        <v>806</v>
      </c>
      <c r="F368" s="707"/>
      <c r="G368" s="863">
        <f>SUM(G362:G367)</f>
        <v>0</v>
      </c>
      <c r="H368" s="863">
        <f t="shared" ref="H368:AA368" si="85">SUM(H362:H367)</f>
        <v>0</v>
      </c>
      <c r="I368" s="863">
        <f t="shared" si="85"/>
        <v>0</v>
      </c>
      <c r="J368" s="863">
        <f t="shared" si="85"/>
        <v>0</v>
      </c>
      <c r="K368" s="864">
        <f t="shared" si="85"/>
        <v>0</v>
      </c>
      <c r="L368" s="638">
        <f t="shared" si="85"/>
        <v>0</v>
      </c>
      <c r="M368" s="638">
        <f t="shared" si="85"/>
        <v>0</v>
      </c>
      <c r="N368" s="638">
        <f t="shared" si="85"/>
        <v>0</v>
      </c>
      <c r="O368" s="638">
        <f t="shared" si="85"/>
        <v>0</v>
      </c>
      <c r="P368" s="638">
        <f t="shared" si="85"/>
        <v>0</v>
      </c>
      <c r="Q368" s="638">
        <f t="shared" si="85"/>
        <v>0</v>
      </c>
      <c r="R368" s="638">
        <f t="shared" si="85"/>
        <v>0</v>
      </c>
      <c r="S368" s="638">
        <f t="shared" si="85"/>
        <v>0</v>
      </c>
      <c r="T368" s="638">
        <f t="shared" si="85"/>
        <v>0</v>
      </c>
      <c r="U368" s="638">
        <f t="shared" si="85"/>
        <v>0</v>
      </c>
      <c r="V368" s="638">
        <f t="shared" si="85"/>
        <v>0</v>
      </c>
      <c r="W368" s="638">
        <f t="shared" si="85"/>
        <v>0</v>
      </c>
      <c r="X368" s="638">
        <f t="shared" si="85"/>
        <v>0</v>
      </c>
      <c r="Y368" s="638">
        <f t="shared" si="85"/>
        <v>0</v>
      </c>
      <c r="Z368" s="638">
        <f t="shared" si="85"/>
        <v>0</v>
      </c>
      <c r="AA368" s="638">
        <f t="shared" si="85"/>
        <v>0</v>
      </c>
    </row>
    <row r="369" spans="1:27" hidden="1" x14ac:dyDescent="0.45">
      <c r="A369" s="792"/>
      <c r="B369" s="705"/>
      <c r="C369" s="705"/>
      <c r="D369" s="707" t="s">
        <v>64</v>
      </c>
      <c r="E369" s="793" t="s">
        <v>806</v>
      </c>
      <c r="F369" s="860"/>
      <c r="G369" s="863">
        <f>'Financing Template'!G41</f>
        <v>10000000</v>
      </c>
      <c r="H369" s="863">
        <f>'Financing Template'!H41</f>
        <v>0</v>
      </c>
      <c r="I369" s="863">
        <f>'Financing Template'!I41</f>
        <v>0</v>
      </c>
      <c r="J369" s="863">
        <f>'Financing Template'!J41</f>
        <v>0</v>
      </c>
      <c r="K369" s="864">
        <f>'Financing Template'!K41</f>
        <v>0</v>
      </c>
      <c r="L369" s="638">
        <f>'Financing Template'!L41</f>
        <v>0</v>
      </c>
      <c r="M369" s="638">
        <f>'Financing Template'!M41</f>
        <v>0</v>
      </c>
      <c r="N369" s="638">
        <f>'Financing Template'!N41</f>
        <v>0</v>
      </c>
      <c r="O369" s="638">
        <f>'Financing Template'!O41</f>
        <v>0</v>
      </c>
      <c r="P369" s="638">
        <f>'Financing Template'!P41</f>
        <v>0</v>
      </c>
      <c r="Q369" s="638">
        <f>'Financing Template'!Q41</f>
        <v>0</v>
      </c>
      <c r="R369" s="638">
        <f>'Financing Template'!R41</f>
        <v>0</v>
      </c>
      <c r="S369" s="638">
        <f>'Financing Template'!S41</f>
        <v>0</v>
      </c>
      <c r="T369" s="638">
        <f>'Financing Template'!T41</f>
        <v>0</v>
      </c>
      <c r="U369" s="638">
        <f>'Financing Template'!U41</f>
        <v>0</v>
      </c>
      <c r="V369" s="638">
        <f>'Financing Template'!V41</f>
        <v>0</v>
      </c>
      <c r="W369" s="638">
        <f>'Financing Template'!W41</f>
        <v>0</v>
      </c>
      <c r="X369" s="638">
        <f>'Financing Template'!X41</f>
        <v>0</v>
      </c>
      <c r="Y369" s="638">
        <f>'Financing Template'!Y41</f>
        <v>0</v>
      </c>
      <c r="Z369" s="638">
        <f>'Financing Template'!Z41</f>
        <v>0</v>
      </c>
      <c r="AA369" s="638">
        <f>'Financing Template'!AA41</f>
        <v>0</v>
      </c>
    </row>
    <row r="370" spans="1:27" hidden="1" x14ac:dyDescent="0.45">
      <c r="A370" s="792"/>
      <c r="B370" s="705"/>
      <c r="C370" s="705"/>
      <c r="D370" s="707" t="s">
        <v>65</v>
      </c>
      <c r="E370" s="793" t="s">
        <v>806</v>
      </c>
      <c r="F370" s="707"/>
      <c r="G370" s="841">
        <f>('Financing Template'!G145-'Financing Template'!G148)+('Financing Template'!G165-'Financing Template'!G168)</f>
        <v>0</v>
      </c>
      <c r="H370" s="841">
        <f>('Financing Template'!H145-'Financing Template'!H148)+('Financing Template'!H165-'Financing Template'!H168)</f>
        <v>0</v>
      </c>
      <c r="I370" s="841">
        <f>('Financing Template'!I145-'Financing Template'!I148)+('Financing Template'!I165-'Financing Template'!I168)</f>
        <v>0</v>
      </c>
      <c r="J370" s="841">
        <f>('Financing Template'!J145-'Financing Template'!J148)+('Financing Template'!J165-'Financing Template'!J168)</f>
        <v>0</v>
      </c>
      <c r="K370" s="842">
        <f>('Financing Template'!K145-'Financing Template'!K148)+('Financing Template'!K165-'Financing Template'!K168)</f>
        <v>0</v>
      </c>
      <c r="L370" s="632">
        <f>('Financing Template'!L145-'Financing Template'!L148)+('Financing Template'!L165-'Financing Template'!L168)</f>
        <v>0</v>
      </c>
      <c r="M370" s="632">
        <f>('Financing Template'!M145-'Financing Template'!M148)+('Financing Template'!M165-'Financing Template'!M168)</f>
        <v>0</v>
      </c>
      <c r="N370" s="632">
        <f>('Financing Template'!N145-'Financing Template'!N148)+('Financing Template'!N165-'Financing Template'!N168)</f>
        <v>0</v>
      </c>
      <c r="O370" s="632">
        <f>('Financing Template'!O145-'Financing Template'!O148)+('Financing Template'!O165-'Financing Template'!O168)</f>
        <v>0</v>
      </c>
      <c r="P370" s="632">
        <f>('Financing Template'!P145-'Financing Template'!P148)+('Financing Template'!P165-'Financing Template'!P168)</f>
        <v>0</v>
      </c>
      <c r="Q370" s="632">
        <f>('Financing Template'!Q145-'Financing Template'!Q148)+('Financing Template'!Q165-'Financing Template'!Q168)</f>
        <v>0</v>
      </c>
      <c r="R370" s="632">
        <f>('Financing Template'!R145-'Financing Template'!R148)+('Financing Template'!R165-'Financing Template'!R168)</f>
        <v>0</v>
      </c>
      <c r="S370" s="632">
        <f>('Financing Template'!S145-'Financing Template'!S148)+('Financing Template'!S165-'Financing Template'!S168)</f>
        <v>0</v>
      </c>
      <c r="T370" s="632">
        <f>('Financing Template'!T145-'Financing Template'!T148)+('Financing Template'!T165-'Financing Template'!T168)</f>
        <v>0</v>
      </c>
      <c r="U370" s="632">
        <f>('Financing Template'!U145-'Financing Template'!U148)+('Financing Template'!U165-'Financing Template'!U168)</f>
        <v>0</v>
      </c>
      <c r="V370" s="632">
        <f>('Financing Template'!V145-'Financing Template'!V148)+('Financing Template'!V165-'Financing Template'!V168)</f>
        <v>0</v>
      </c>
      <c r="W370" s="632">
        <f>('Financing Template'!W145-'Financing Template'!W148)+('Financing Template'!W165-'Financing Template'!W168)</f>
        <v>0</v>
      </c>
      <c r="X370" s="632">
        <f>('Financing Template'!X145-'Financing Template'!X148)+('Financing Template'!X165-'Financing Template'!X168)</f>
        <v>0</v>
      </c>
      <c r="Y370" s="632">
        <f>('Financing Template'!Y145-'Financing Template'!Y148)+('Financing Template'!Y165-'Financing Template'!Y168)</f>
        <v>0</v>
      </c>
      <c r="Z370" s="632">
        <f>('Financing Template'!Z145-'Financing Template'!Z148)+('Financing Template'!Z165-'Financing Template'!Z168)</f>
        <v>0</v>
      </c>
      <c r="AA370" s="632">
        <f>('Financing Template'!AA145-'Financing Template'!AA148)+('Financing Template'!AA165-'Financing Template'!AA168)</f>
        <v>0</v>
      </c>
    </row>
    <row r="371" spans="1:27" x14ac:dyDescent="0.45">
      <c r="A371" s="792"/>
      <c r="B371" s="705"/>
      <c r="C371" s="705"/>
      <c r="D371" s="707"/>
      <c r="E371" s="783"/>
      <c r="F371" s="707"/>
      <c r="G371" s="850" t="s">
        <v>38</v>
      </c>
      <c r="H371" s="850" t="s">
        <v>38</v>
      </c>
      <c r="I371" s="850" t="s">
        <v>38</v>
      </c>
      <c r="J371" s="850" t="s">
        <v>38</v>
      </c>
      <c r="K371" s="851" t="s">
        <v>38</v>
      </c>
      <c r="L371" s="634" t="s">
        <v>38</v>
      </c>
      <c r="M371" s="634" t="s">
        <v>38</v>
      </c>
      <c r="N371" s="634" t="s">
        <v>38</v>
      </c>
      <c r="O371" s="634" t="s">
        <v>38</v>
      </c>
      <c r="P371" s="634" t="s">
        <v>38</v>
      </c>
      <c r="Q371" s="634" t="s">
        <v>38</v>
      </c>
      <c r="R371" s="634" t="s">
        <v>38</v>
      </c>
      <c r="S371" s="634" t="s">
        <v>38</v>
      </c>
      <c r="T371" s="634" t="s">
        <v>38</v>
      </c>
      <c r="U371" s="634" t="s">
        <v>38</v>
      </c>
      <c r="V371" s="634" t="s">
        <v>38</v>
      </c>
      <c r="W371" s="634" t="s">
        <v>38</v>
      </c>
      <c r="X371" s="634" t="s">
        <v>38</v>
      </c>
      <c r="Y371" s="634" t="s">
        <v>38</v>
      </c>
      <c r="Z371" s="634" t="s">
        <v>38</v>
      </c>
      <c r="AA371" s="634" t="s">
        <v>38</v>
      </c>
    </row>
    <row r="372" spans="1:27" x14ac:dyDescent="0.45">
      <c r="A372" s="792"/>
      <c r="B372" s="705"/>
      <c r="C372" s="705"/>
      <c r="D372" s="707" t="s">
        <v>66</v>
      </c>
      <c r="E372" s="783"/>
      <c r="F372" s="707"/>
      <c r="G372" s="841">
        <f ca="1">G361+SUM(G368:G371)</f>
        <v>596774.65500491671</v>
      </c>
      <c r="H372" s="841">
        <f t="shared" ref="H372:U372" ca="1" si="86">H361+SUM(H368:H371)</f>
        <v>-37023.210111251567</v>
      </c>
      <c r="I372" s="841">
        <f t="shared" ca="1" si="86"/>
        <v>2769261.6764734462</v>
      </c>
      <c r="J372" s="841">
        <f t="shared" ca="1" si="86"/>
        <v>2216397.407748153</v>
      </c>
      <c r="K372" s="842">
        <f t="shared" ca="1" si="86"/>
        <v>2343573.6371227214</v>
      </c>
      <c r="L372" s="632">
        <f ca="1">L361+SUM(L368:L371)</f>
        <v>2482992.8989472711</v>
      </c>
      <c r="M372" s="632">
        <f t="shared" ca="1" si="86"/>
        <v>2629174.8487205287</v>
      </c>
      <c r="N372" s="632">
        <f t="shared" ca="1" si="86"/>
        <v>2782370.1340690199</v>
      </c>
      <c r="O372" s="632">
        <f t="shared" ca="1" si="86"/>
        <v>2942891.8275054055</v>
      </c>
      <c r="P372" s="632">
        <f t="shared" ca="1" si="86"/>
        <v>3111067.0375436642</v>
      </c>
      <c r="Q372" s="632">
        <f t="shared" ca="1" si="86"/>
        <v>3287237.0692137866</v>
      </c>
      <c r="R372" s="632">
        <f t="shared" ca="1" si="86"/>
        <v>3471758.0283927973</v>
      </c>
      <c r="S372" s="632">
        <f t="shared" ca="1" si="86"/>
        <v>3665001.4556446504</v>
      </c>
      <c r="T372" s="632">
        <f ca="1">T361+SUM(T368:T371)</f>
        <v>3867354.9870822672</v>
      </c>
      <c r="U372" s="632">
        <f t="shared" ca="1" si="86"/>
        <v>4079223.0433670427</v>
      </c>
      <c r="V372" s="632">
        <f t="shared" ref="V372:AA372" ca="1" si="87">V361+SUM(V368:V371)</f>
        <v>4301027.5480402922</v>
      </c>
      <c r="W372" s="632">
        <f t="shared" ca="1" si="87"/>
        <v>4533208.6764322184</v>
      </c>
      <c r="X372" s="632">
        <f t="shared" ca="1" si="87"/>
        <v>4776225.6364467172</v>
      </c>
      <c r="Y372" s="632">
        <f t="shared" ca="1" si="87"/>
        <v>5030557.4825754119</v>
      </c>
      <c r="Z372" s="632">
        <f t="shared" ca="1" si="87"/>
        <v>5296703.9645516826</v>
      </c>
      <c r="AA372" s="632">
        <f t="shared" ca="1" si="87"/>
        <v>5575186.4121154556</v>
      </c>
    </row>
    <row r="373" spans="1:27" x14ac:dyDescent="0.45">
      <c r="A373" s="792"/>
      <c r="B373" s="705"/>
      <c r="C373" s="705"/>
      <c r="D373" s="707"/>
      <c r="E373" s="783"/>
      <c r="F373" s="707"/>
      <c r="G373" s="865"/>
      <c r="H373" s="841"/>
      <c r="I373" s="841"/>
      <c r="J373" s="841"/>
      <c r="K373" s="842"/>
      <c r="L373" s="632"/>
      <c r="M373" s="632"/>
      <c r="N373" s="632"/>
      <c r="O373" s="632"/>
      <c r="P373" s="632"/>
      <c r="Q373" s="632"/>
      <c r="R373" s="632"/>
      <c r="S373" s="632"/>
      <c r="T373" s="632"/>
      <c r="U373" s="632"/>
      <c r="V373" s="632"/>
      <c r="W373" s="632"/>
      <c r="X373" s="632"/>
      <c r="Y373" s="632"/>
      <c r="Z373" s="632"/>
      <c r="AA373" s="632"/>
    </row>
    <row r="374" spans="1:27" x14ac:dyDescent="0.45">
      <c r="A374" s="792"/>
      <c r="B374" s="705" t="s">
        <v>67</v>
      </c>
      <c r="C374" s="705"/>
      <c r="D374" s="707"/>
      <c r="E374" s="783" t="s">
        <v>68</v>
      </c>
      <c r="F374" s="707"/>
      <c r="G374" s="841"/>
      <c r="H374" s="841"/>
      <c r="I374" s="841"/>
      <c r="J374" s="841"/>
      <c r="K374" s="842"/>
      <c r="L374" s="632"/>
      <c r="M374" s="632"/>
      <c r="N374" s="632"/>
      <c r="O374" s="632"/>
      <c r="P374" s="632"/>
      <c r="Q374" s="632"/>
      <c r="R374" s="632"/>
      <c r="S374" s="632"/>
      <c r="T374" s="632"/>
      <c r="U374" s="632"/>
      <c r="V374" s="632"/>
      <c r="W374" s="632"/>
      <c r="X374" s="632"/>
      <c r="Y374" s="632"/>
      <c r="Z374" s="632"/>
      <c r="AA374" s="632"/>
    </row>
    <row r="375" spans="1:27" hidden="1" x14ac:dyDescent="0.45">
      <c r="A375" s="792"/>
      <c r="B375" s="707"/>
      <c r="C375" s="707"/>
      <c r="D375" s="707" t="s">
        <v>69</v>
      </c>
      <c r="E375" s="783">
        <f>'Financial Overview'!E367</f>
        <v>0</v>
      </c>
      <c r="F375" s="707"/>
      <c r="G375" s="841">
        <f>$E375/365*G231</f>
        <v>0</v>
      </c>
      <c r="H375" s="841">
        <f t="shared" ref="H375:AA375" si="88">$E375/365*H231</f>
        <v>0</v>
      </c>
      <c r="I375" s="841">
        <f t="shared" si="88"/>
        <v>0</v>
      </c>
      <c r="J375" s="841">
        <f t="shared" si="88"/>
        <v>0</v>
      </c>
      <c r="K375" s="842">
        <f t="shared" si="88"/>
        <v>0</v>
      </c>
      <c r="L375" s="632">
        <f t="shared" si="88"/>
        <v>0</v>
      </c>
      <c r="M375" s="632">
        <f t="shared" si="88"/>
        <v>0</v>
      </c>
      <c r="N375" s="632">
        <f t="shared" si="88"/>
        <v>0</v>
      </c>
      <c r="O375" s="632">
        <f t="shared" si="88"/>
        <v>0</v>
      </c>
      <c r="P375" s="632">
        <f t="shared" si="88"/>
        <v>0</v>
      </c>
      <c r="Q375" s="632">
        <f t="shared" si="88"/>
        <v>0</v>
      </c>
      <c r="R375" s="632">
        <f t="shared" si="88"/>
        <v>0</v>
      </c>
      <c r="S375" s="632">
        <f t="shared" si="88"/>
        <v>0</v>
      </c>
      <c r="T375" s="632">
        <f t="shared" si="88"/>
        <v>0</v>
      </c>
      <c r="U375" s="632">
        <f t="shared" si="88"/>
        <v>0</v>
      </c>
      <c r="V375" s="632">
        <f t="shared" si="88"/>
        <v>0</v>
      </c>
      <c r="W375" s="632">
        <f t="shared" si="88"/>
        <v>0</v>
      </c>
      <c r="X375" s="632">
        <f t="shared" si="88"/>
        <v>0</v>
      </c>
      <c r="Y375" s="632">
        <f t="shared" si="88"/>
        <v>0</v>
      </c>
      <c r="Z375" s="632">
        <f t="shared" si="88"/>
        <v>0</v>
      </c>
      <c r="AA375" s="632">
        <f t="shared" si="88"/>
        <v>0</v>
      </c>
    </row>
    <row r="376" spans="1:27" x14ac:dyDescent="0.45">
      <c r="A376" s="792"/>
      <c r="B376" s="707"/>
      <c r="C376" s="707"/>
      <c r="D376" s="707" t="s">
        <v>70</v>
      </c>
      <c r="E376" s="783">
        <v>270</v>
      </c>
      <c r="F376" s="707"/>
      <c r="G376" s="841">
        <f>$E376/365*G272</f>
        <v>1574728.7671232875</v>
      </c>
      <c r="H376" s="841">
        <f t="shared" ref="H376:AA376" si="89">$E376/365*H272</f>
        <v>4403985.5342465751</v>
      </c>
      <c r="I376" s="841">
        <f>$E376/365*I272</f>
        <v>4492065.2449315069</v>
      </c>
      <c r="J376" s="841">
        <f t="shared" si="89"/>
        <v>4581906.5498301368</v>
      </c>
      <c r="K376" s="842">
        <f t="shared" si="89"/>
        <v>4673544.6808267394</v>
      </c>
      <c r="L376" s="632">
        <f t="shared" si="89"/>
        <v>4767015.5744432751</v>
      </c>
      <c r="M376" s="632">
        <f t="shared" si="89"/>
        <v>4862355.8859321401</v>
      </c>
      <c r="N376" s="632">
        <f t="shared" si="89"/>
        <v>4959603.0036507826</v>
      </c>
      <c r="O376" s="632">
        <f t="shared" si="89"/>
        <v>5058795.0637237988</v>
      </c>
      <c r="P376" s="632">
        <f t="shared" si="89"/>
        <v>5159970.964998275</v>
      </c>
      <c r="Q376" s="632">
        <f t="shared" si="89"/>
        <v>5263170.3842982398</v>
      </c>
      <c r="R376" s="632">
        <f t="shared" si="89"/>
        <v>5368433.7919842051</v>
      </c>
      <c r="S376" s="632">
        <f t="shared" si="89"/>
        <v>5475802.4678238891</v>
      </c>
      <c r="T376" s="632">
        <f t="shared" si="89"/>
        <v>5585318.5171803674</v>
      </c>
      <c r="U376" s="632">
        <f t="shared" si="89"/>
        <v>5697024.8875239752</v>
      </c>
      <c r="V376" s="632">
        <f t="shared" si="89"/>
        <v>5810965.385274455</v>
      </c>
      <c r="W376" s="632">
        <f t="shared" si="89"/>
        <v>5927184.6929799439</v>
      </c>
      <c r="X376" s="632">
        <f t="shared" si="89"/>
        <v>6045728.3868395435</v>
      </c>
      <c r="Y376" s="632">
        <f t="shared" si="89"/>
        <v>6166642.9545763331</v>
      </c>
      <c r="Z376" s="632">
        <f t="shared" si="89"/>
        <v>6289975.8136678599</v>
      </c>
      <c r="AA376" s="632">
        <f t="shared" si="89"/>
        <v>6415775.3299412169</v>
      </c>
    </row>
    <row r="377" spans="1:27" hidden="1" x14ac:dyDescent="0.45">
      <c r="A377" s="792"/>
      <c r="B377" s="707"/>
      <c r="C377" s="707"/>
      <c r="D377" s="707" t="s">
        <v>71</v>
      </c>
      <c r="E377" s="783">
        <f>'Financial Overview'!E369</f>
        <v>0</v>
      </c>
      <c r="F377" s="707"/>
      <c r="G377" s="841">
        <f t="shared" ref="G377:AA377" si="90">$E377/365*G233</f>
        <v>0</v>
      </c>
      <c r="H377" s="841">
        <f t="shared" si="90"/>
        <v>0</v>
      </c>
      <c r="I377" s="841">
        <f t="shared" si="90"/>
        <v>0</v>
      </c>
      <c r="J377" s="841">
        <f t="shared" si="90"/>
        <v>0</v>
      </c>
      <c r="K377" s="842">
        <f t="shared" si="90"/>
        <v>0</v>
      </c>
      <c r="L377" s="632">
        <f t="shared" si="90"/>
        <v>0</v>
      </c>
      <c r="M377" s="632">
        <f t="shared" si="90"/>
        <v>0</v>
      </c>
      <c r="N377" s="632">
        <f t="shared" si="90"/>
        <v>0</v>
      </c>
      <c r="O377" s="632">
        <f t="shared" si="90"/>
        <v>0</v>
      </c>
      <c r="P377" s="632">
        <f t="shared" si="90"/>
        <v>0</v>
      </c>
      <c r="Q377" s="632">
        <f t="shared" si="90"/>
        <v>0</v>
      </c>
      <c r="R377" s="632">
        <f t="shared" si="90"/>
        <v>0</v>
      </c>
      <c r="S377" s="632">
        <f t="shared" si="90"/>
        <v>0</v>
      </c>
      <c r="T377" s="632">
        <f t="shared" si="90"/>
        <v>0</v>
      </c>
      <c r="U377" s="632">
        <f t="shared" si="90"/>
        <v>0</v>
      </c>
      <c r="V377" s="632">
        <f t="shared" si="90"/>
        <v>0</v>
      </c>
      <c r="W377" s="632">
        <f t="shared" si="90"/>
        <v>0</v>
      </c>
      <c r="X377" s="632">
        <f t="shared" si="90"/>
        <v>0</v>
      </c>
      <c r="Y377" s="632">
        <f t="shared" si="90"/>
        <v>0</v>
      </c>
      <c r="Z377" s="632">
        <f t="shared" si="90"/>
        <v>0</v>
      </c>
      <c r="AA377" s="632">
        <f t="shared" si="90"/>
        <v>0</v>
      </c>
    </row>
    <row r="378" spans="1:27" hidden="1" x14ac:dyDescent="0.45">
      <c r="A378" s="792"/>
      <c r="B378" s="707"/>
      <c r="C378" s="707"/>
      <c r="D378" s="707" t="s">
        <v>72</v>
      </c>
      <c r="E378" s="783">
        <f>'Financial Overview'!E370</f>
        <v>0</v>
      </c>
      <c r="F378" s="707"/>
      <c r="G378" s="841">
        <f t="shared" ref="G378:AA378" si="91">-$E378/365*G274</f>
        <v>0</v>
      </c>
      <c r="H378" s="841">
        <f t="shared" si="91"/>
        <v>0</v>
      </c>
      <c r="I378" s="841">
        <f t="shared" si="91"/>
        <v>0</v>
      </c>
      <c r="J378" s="841">
        <f t="shared" si="91"/>
        <v>0</v>
      </c>
      <c r="K378" s="842">
        <f t="shared" si="91"/>
        <v>0</v>
      </c>
      <c r="L378" s="632">
        <f t="shared" si="91"/>
        <v>0</v>
      </c>
      <c r="M378" s="632">
        <f t="shared" si="91"/>
        <v>0</v>
      </c>
      <c r="N378" s="632">
        <f t="shared" si="91"/>
        <v>0</v>
      </c>
      <c r="O378" s="632">
        <f t="shared" si="91"/>
        <v>0</v>
      </c>
      <c r="P378" s="632">
        <f t="shared" si="91"/>
        <v>0</v>
      </c>
      <c r="Q378" s="632">
        <f t="shared" si="91"/>
        <v>0</v>
      </c>
      <c r="R378" s="632">
        <f t="shared" si="91"/>
        <v>0</v>
      </c>
      <c r="S378" s="632">
        <f t="shared" si="91"/>
        <v>0</v>
      </c>
      <c r="T378" s="632">
        <f t="shared" si="91"/>
        <v>0</v>
      </c>
      <c r="U378" s="632">
        <f t="shared" si="91"/>
        <v>0</v>
      </c>
      <c r="V378" s="632">
        <f t="shared" si="91"/>
        <v>0</v>
      </c>
      <c r="W378" s="632">
        <f t="shared" si="91"/>
        <v>0</v>
      </c>
      <c r="X378" s="632">
        <f t="shared" si="91"/>
        <v>0</v>
      </c>
      <c r="Y378" s="632">
        <f t="shared" si="91"/>
        <v>0</v>
      </c>
      <c r="Z378" s="632">
        <f t="shared" si="91"/>
        <v>0</v>
      </c>
      <c r="AA378" s="632">
        <f t="shared" si="91"/>
        <v>0</v>
      </c>
    </row>
    <row r="379" spans="1:27" x14ac:dyDescent="0.45">
      <c r="A379" s="792"/>
      <c r="B379" s="707"/>
      <c r="C379" s="707"/>
      <c r="D379" s="707"/>
      <c r="E379" s="783"/>
      <c r="F379" s="707"/>
      <c r="G379" s="850" t="s">
        <v>38</v>
      </c>
      <c r="H379" s="850" t="s">
        <v>38</v>
      </c>
      <c r="I379" s="850" t="s">
        <v>38</v>
      </c>
      <c r="J379" s="850" t="s">
        <v>38</v>
      </c>
      <c r="K379" s="851" t="s">
        <v>38</v>
      </c>
      <c r="L379" s="634" t="s">
        <v>38</v>
      </c>
      <c r="M379" s="634" t="s">
        <v>38</v>
      </c>
      <c r="N379" s="634" t="s">
        <v>38</v>
      </c>
      <c r="O379" s="634" t="s">
        <v>38</v>
      </c>
      <c r="P379" s="634" t="s">
        <v>38</v>
      </c>
      <c r="Q379" s="634" t="s">
        <v>38</v>
      </c>
      <c r="R379" s="634" t="s">
        <v>38</v>
      </c>
      <c r="S379" s="634" t="s">
        <v>38</v>
      </c>
      <c r="T379" s="634" t="s">
        <v>38</v>
      </c>
      <c r="U379" s="634" t="s">
        <v>38</v>
      </c>
      <c r="V379" s="634" t="s">
        <v>38</v>
      </c>
      <c r="W379" s="634" t="s">
        <v>38</v>
      </c>
      <c r="X379" s="634" t="s">
        <v>38</v>
      </c>
      <c r="Y379" s="634" t="s">
        <v>38</v>
      </c>
      <c r="Z379" s="634" t="s">
        <v>38</v>
      </c>
      <c r="AA379" s="634" t="s">
        <v>38</v>
      </c>
    </row>
    <row r="380" spans="1:27" x14ac:dyDescent="0.45">
      <c r="A380" s="792"/>
      <c r="B380" s="707"/>
      <c r="C380" s="707"/>
      <c r="D380" s="707" t="s">
        <v>36</v>
      </c>
      <c r="E380" s="783"/>
      <c r="F380" s="707"/>
      <c r="G380" s="841">
        <f t="shared" ref="G380:AA380" si="92">SUM(G375:G378)</f>
        <v>1574728.7671232875</v>
      </c>
      <c r="H380" s="841">
        <f t="shared" si="92"/>
        <v>4403985.5342465751</v>
      </c>
      <c r="I380" s="841">
        <f t="shared" si="92"/>
        <v>4492065.2449315069</v>
      </c>
      <c r="J380" s="841">
        <f t="shared" si="92"/>
        <v>4581906.5498301368</v>
      </c>
      <c r="K380" s="842">
        <f t="shared" si="92"/>
        <v>4673544.6808267394</v>
      </c>
      <c r="L380" s="632">
        <f>SUM(L375:L378)</f>
        <v>4767015.5744432751</v>
      </c>
      <c r="M380" s="632">
        <f t="shared" si="92"/>
        <v>4862355.8859321401</v>
      </c>
      <c r="N380" s="632">
        <f t="shared" si="92"/>
        <v>4959603.0036507826</v>
      </c>
      <c r="O380" s="632">
        <f t="shared" si="92"/>
        <v>5058795.0637237988</v>
      </c>
      <c r="P380" s="632">
        <f t="shared" si="92"/>
        <v>5159970.964998275</v>
      </c>
      <c r="Q380" s="632">
        <f t="shared" si="92"/>
        <v>5263170.3842982398</v>
      </c>
      <c r="R380" s="632">
        <f t="shared" si="92"/>
        <v>5368433.7919842051</v>
      </c>
      <c r="S380" s="632">
        <f t="shared" si="92"/>
        <v>5475802.4678238891</v>
      </c>
      <c r="T380" s="632">
        <f t="shared" si="92"/>
        <v>5585318.5171803674</v>
      </c>
      <c r="U380" s="632">
        <f t="shared" si="92"/>
        <v>5697024.8875239752</v>
      </c>
      <c r="V380" s="632">
        <f t="shared" si="92"/>
        <v>5810965.385274455</v>
      </c>
      <c r="W380" s="632">
        <f t="shared" si="92"/>
        <v>5927184.6929799439</v>
      </c>
      <c r="X380" s="632">
        <f t="shared" si="92"/>
        <v>6045728.3868395435</v>
      </c>
      <c r="Y380" s="632">
        <f t="shared" si="92"/>
        <v>6166642.9545763331</v>
      </c>
      <c r="Z380" s="632">
        <f t="shared" si="92"/>
        <v>6289975.8136678599</v>
      </c>
      <c r="AA380" s="632">
        <f t="shared" si="92"/>
        <v>6415775.3299412169</v>
      </c>
    </row>
    <row r="381" spans="1:27" x14ac:dyDescent="0.45">
      <c r="A381" s="792"/>
      <c r="B381" s="707"/>
      <c r="C381" s="707"/>
      <c r="D381" s="707"/>
      <c r="E381" s="783"/>
      <c r="F381" s="707"/>
      <c r="G381" s="841"/>
      <c r="H381" s="841"/>
      <c r="I381" s="841"/>
      <c r="J381" s="841"/>
      <c r="K381" s="842"/>
      <c r="L381" s="632"/>
      <c r="M381" s="632"/>
      <c r="N381" s="632"/>
      <c r="O381" s="632"/>
      <c r="P381" s="632"/>
      <c r="Q381" s="632"/>
      <c r="R381" s="632"/>
      <c r="S381" s="632"/>
      <c r="T381" s="632"/>
      <c r="U381" s="632"/>
      <c r="V381" s="632"/>
      <c r="W381" s="632"/>
      <c r="X381" s="632"/>
      <c r="Y381" s="632"/>
      <c r="Z381" s="632"/>
      <c r="AA381" s="632"/>
    </row>
    <row r="382" spans="1:27" hidden="1" x14ac:dyDescent="0.45">
      <c r="A382" s="792"/>
      <c r="B382" s="866" t="s">
        <v>28</v>
      </c>
      <c r="C382" s="866"/>
      <c r="D382" s="707"/>
      <c r="E382" s="783"/>
      <c r="F382" s="707"/>
      <c r="G382" s="841"/>
      <c r="H382" s="841"/>
      <c r="I382" s="841"/>
      <c r="J382" s="841"/>
      <c r="K382" s="842"/>
      <c r="L382" s="632"/>
      <c r="M382" s="632"/>
      <c r="N382" s="632"/>
      <c r="O382" s="632"/>
      <c r="P382" s="632"/>
      <c r="Q382" s="632"/>
      <c r="R382" s="632"/>
      <c r="S382" s="632"/>
      <c r="T382" s="632"/>
      <c r="U382" s="632"/>
      <c r="V382" s="632"/>
      <c r="W382" s="632"/>
      <c r="X382" s="632"/>
      <c r="Y382" s="632"/>
      <c r="Z382" s="632"/>
      <c r="AA382" s="632"/>
    </row>
    <row r="383" spans="1:27" hidden="1" x14ac:dyDescent="0.45">
      <c r="A383" s="792"/>
      <c r="B383" s="705"/>
      <c r="C383" s="705"/>
      <c r="D383" s="867" t="s">
        <v>73</v>
      </c>
      <c r="E383" s="783"/>
      <c r="F383" s="707"/>
      <c r="G383" s="868">
        <f t="shared" ref="G383:AA383" ca="1" si="93">G358/G384</f>
        <v>5.8252427184466035E-2</v>
      </c>
      <c r="H383" s="868">
        <f t="shared" ca="1" si="93"/>
        <v>7.257820566022212E-2</v>
      </c>
      <c r="I383" s="868">
        <f t="shared" ca="1" si="93"/>
        <v>6.2605937134575407E-2</v>
      </c>
      <c r="J383" s="868">
        <f t="shared" ca="1" si="93"/>
        <v>6.0201697042308121E-2</v>
      </c>
      <c r="K383" s="869">
        <f t="shared" ca="1" si="93"/>
        <v>5.9568072261826463E-2</v>
      </c>
      <c r="L383" s="639">
        <f t="shared" ca="1" si="93"/>
        <v>5.9241349329059854E-2</v>
      </c>
      <c r="M383" s="639">
        <f t="shared" ca="1" si="93"/>
        <v>5.9041800234552556E-2</v>
      </c>
      <c r="N383" s="639">
        <f t="shared" ca="1" si="93"/>
        <v>5.8907268586859511E-2</v>
      </c>
      <c r="O383" s="639">
        <f t="shared" ca="1" si="93"/>
        <v>5.8810430538130377E-2</v>
      </c>
      <c r="P383" s="639">
        <f t="shared" ca="1" si="93"/>
        <v>5.8737392177899202E-2</v>
      </c>
      <c r="Q383" s="639">
        <f t="shared" ca="1" si="93"/>
        <v>5.8680341264555097E-2</v>
      </c>
      <c r="R383" s="639">
        <f t="shared" ca="1" si="93"/>
        <v>5.863454783604416E-2</v>
      </c>
      <c r="S383" s="639">
        <f t="shared" ca="1" si="93"/>
        <v>5.8596980555016186E-2</v>
      </c>
      <c r="T383" s="639">
        <f t="shared" ca="1" si="93"/>
        <v>5.8565607005853407E-2</v>
      </c>
      <c r="U383" s="639">
        <f t="shared" ca="1" si="93"/>
        <v>5.8539013535098626E-2</v>
      </c>
      <c r="V383" s="639">
        <f t="shared" ca="1" si="93"/>
        <v>5.8516186425084687E-2</v>
      </c>
      <c r="W383" s="639">
        <f t="shared" ca="1" si="93"/>
        <v>5.8496379799153571E-2</v>
      </c>
      <c r="X383" s="639">
        <f t="shared" ca="1" si="93"/>
        <v>5.8479032638285092E-2</v>
      </c>
      <c r="Y383" s="639">
        <f t="shared" ca="1" si="93"/>
        <v>5.8463714849833294E-2</v>
      </c>
      <c r="Z383" s="639">
        <f t="shared" ca="1" si="93"/>
        <v>5.8450091176397517E-2</v>
      </c>
      <c r="AA383" s="639">
        <f t="shared" ca="1" si="93"/>
        <v>5.8437896419601468E-2</v>
      </c>
    </row>
    <row r="384" spans="1:27" hidden="1" x14ac:dyDescent="0.45">
      <c r="A384" s="792"/>
      <c r="B384" s="705"/>
      <c r="C384" s="705"/>
      <c r="D384" s="867" t="s">
        <v>74</v>
      </c>
      <c r="E384" s="793"/>
      <c r="F384" s="707"/>
      <c r="G384" s="841">
        <f ca="1">((-F309+F323)+(-G309+G323))/2</f>
        <v>-298387.32750245836</v>
      </c>
      <c r="H384" s="841">
        <f t="shared" ref="H384:AA384" ca="1" si="94">((-G309+G323)+(-H309+H323))/2</f>
        <v>-578263.04994929093</v>
      </c>
      <c r="I384" s="841">
        <f t="shared" ca="1" si="94"/>
        <v>-1944382.2831303882</v>
      </c>
      <c r="J384" s="841">
        <f t="shared" ca="1" si="94"/>
        <v>-4437211.8252411876</v>
      </c>
      <c r="K384" s="842">
        <f t="shared" ca="1" si="94"/>
        <v>-6717197.3476766255</v>
      </c>
      <c r="L384" s="632">
        <f t="shared" ca="1" si="94"/>
        <v>-9130480.6157116219</v>
      </c>
      <c r="M384" s="632">
        <f t="shared" ca="1" si="94"/>
        <v>-11686564.48954552</v>
      </c>
      <c r="N384" s="632">
        <f t="shared" ca="1" si="94"/>
        <v>-14392336.980940294</v>
      </c>
      <c r="O384" s="632">
        <f t="shared" ca="1" si="94"/>
        <v>-17254967.961727507</v>
      </c>
      <c r="P384" s="632">
        <f t="shared" ca="1" si="94"/>
        <v>-20281947.394252039</v>
      </c>
      <c r="Q384" s="632">
        <f t="shared" ca="1" si="94"/>
        <v>-23481099.447630767</v>
      </c>
      <c r="R384" s="632">
        <f t="shared" ca="1" si="94"/>
        <v>-26860596.996434059</v>
      </c>
      <c r="S384" s="632">
        <f t="shared" ca="1" si="94"/>
        <v>-30428976.738452785</v>
      </c>
      <c r="T384" s="632">
        <f t="shared" ca="1" si="94"/>
        <v>-34195154.959816247</v>
      </c>
      <c r="U384" s="632">
        <f t="shared" ca="1" si="94"/>
        <v>-38168443.975040898</v>
      </c>
      <c r="V384" s="632">
        <f t="shared" ca="1" si="94"/>
        <v>-42358569.270744562</v>
      </c>
      <c r="W384" s="632">
        <f t="shared" ca="1" si="94"/>
        <v>-46775687.382980824</v>
      </c>
      <c r="X384" s="632">
        <f t="shared" ca="1" si="94"/>
        <v>-51430404.539420292</v>
      </c>
      <c r="Y384" s="632">
        <f t="shared" ca="1" si="94"/>
        <v>-56333796.098931357</v>
      </c>
      <c r="Z384" s="632">
        <f t="shared" ca="1" si="94"/>
        <v>-61497426.822494894</v>
      </c>
      <c r="AA384" s="632">
        <f t="shared" ca="1" si="94"/>
        <v>-66933372.010828465</v>
      </c>
    </row>
    <row r="385" spans="1:27" hidden="1" x14ac:dyDescent="0.45">
      <c r="A385" s="792"/>
      <c r="B385" s="707"/>
      <c r="C385" s="707"/>
      <c r="D385" s="707"/>
      <c r="E385" s="783"/>
      <c r="F385" s="707"/>
      <c r="G385" s="841"/>
      <c r="H385" s="841"/>
      <c r="I385" s="841"/>
      <c r="J385" s="841"/>
      <c r="K385" s="842"/>
      <c r="L385" s="632"/>
      <c r="M385" s="632"/>
      <c r="N385" s="632"/>
      <c r="O385" s="632"/>
      <c r="P385" s="632"/>
      <c r="Q385" s="632"/>
      <c r="R385" s="632"/>
      <c r="S385" s="632"/>
      <c r="T385" s="632"/>
      <c r="U385" s="632"/>
      <c r="V385" s="632"/>
      <c r="W385" s="632"/>
      <c r="X385" s="632"/>
      <c r="Y385" s="632"/>
      <c r="Z385" s="632"/>
      <c r="AA385" s="632"/>
    </row>
    <row r="386" spans="1:27" hidden="1" x14ac:dyDescent="0.45">
      <c r="A386" s="792"/>
      <c r="B386" s="705" t="s">
        <v>75</v>
      </c>
      <c r="C386" s="705"/>
      <c r="D386" s="707"/>
      <c r="E386" s="783"/>
      <c r="F386" s="707"/>
      <c r="G386" s="841"/>
      <c r="H386" s="841"/>
      <c r="I386" s="841"/>
      <c r="J386" s="841"/>
      <c r="K386" s="842"/>
      <c r="L386" s="632"/>
      <c r="M386" s="632"/>
      <c r="N386" s="632"/>
      <c r="O386" s="632"/>
      <c r="P386" s="632"/>
      <c r="Q386" s="632"/>
      <c r="R386" s="632"/>
      <c r="S386" s="632"/>
      <c r="T386" s="632"/>
      <c r="U386" s="632"/>
      <c r="V386" s="632"/>
      <c r="W386" s="632"/>
      <c r="X386" s="632"/>
      <c r="Y386" s="632"/>
      <c r="Z386" s="632"/>
      <c r="AA386" s="632"/>
    </row>
    <row r="387" spans="1:27" hidden="1" x14ac:dyDescent="0.45">
      <c r="A387" s="792"/>
      <c r="B387" s="707"/>
      <c r="C387" s="707"/>
      <c r="D387" s="707" t="s">
        <v>76</v>
      </c>
      <c r="E387" s="793" t="s">
        <v>806</v>
      </c>
      <c r="F387" s="707"/>
      <c r="G387" s="841">
        <f t="shared" ref="G387:AA387" ca="1" si="95">G290</f>
        <v>-711385.62368784007</v>
      </c>
      <c r="H387" s="841">
        <f t="shared" ca="1" si="95"/>
        <v>780523.92481203389</v>
      </c>
      <c r="I387" s="841">
        <f t="shared" ca="1" si="95"/>
        <v>821214.04453752877</v>
      </c>
      <c r="J387" s="841">
        <f t="shared" ca="1" si="95"/>
        <v>881930.57115927106</v>
      </c>
      <c r="K387" s="842">
        <f t="shared" ca="1" si="95"/>
        <v>939270.54385780101</v>
      </c>
      <c r="L387" s="632">
        <f t="shared" ca="1" si="95"/>
        <v>999289.90303235478</v>
      </c>
      <c r="M387" s="632">
        <f t="shared" ca="1" si="95"/>
        <v>1062161.7163106797</v>
      </c>
      <c r="N387" s="632">
        <f t="shared" ca="1" si="95"/>
        <v>1128013.4949045866</v>
      </c>
      <c r="O387" s="632">
        <f t="shared" ca="1" si="95"/>
        <v>1196977.8184996534</v>
      </c>
      <c r="P387" s="632">
        <f t="shared" ca="1" si="95"/>
        <v>1269193.0062153495</v>
      </c>
      <c r="Q387" s="632">
        <f t="shared" ca="1" si="95"/>
        <v>1344803.3662093072</v>
      </c>
      <c r="R387" s="632">
        <f t="shared" ca="1" si="95"/>
        <v>1423959.4520229751</v>
      </c>
      <c r="S387" s="632">
        <f t="shared" ca="1" si="95"/>
        <v>1506818.3298056431</v>
      </c>
      <c r="T387" s="632">
        <f t="shared" ca="1" si="95"/>
        <v>1593543.8569120013</v>
      </c>
      <c r="U387" s="632">
        <f t="shared" ca="1" si="95"/>
        <v>1684306.97235642</v>
      </c>
      <c r="V387" s="632">
        <f t="shared" ca="1" si="95"/>
        <v>1779285.9996273394</v>
      </c>
      <c r="W387" s="632">
        <f t="shared" ca="1" si="95"/>
        <v>1878666.962386525</v>
      </c>
      <c r="X387" s="632">
        <f t="shared" ca="1" si="95"/>
        <v>1982643.9136001696</v>
      </c>
      <c r="Y387" s="632">
        <f t="shared" ca="1" si="95"/>
        <v>2091419.2786720397</v>
      </c>
      <c r="Z387" s="632">
        <f t="shared" ca="1" si="95"/>
        <v>2205204.2131730355</v>
      </c>
      <c r="AA387" s="632">
        <f t="shared" ca="1" si="95"/>
        <v>2324218.9757867497</v>
      </c>
    </row>
    <row r="388" spans="1:27" hidden="1" x14ac:dyDescent="0.45">
      <c r="A388" s="792"/>
      <c r="B388" s="707"/>
      <c r="C388" s="707"/>
      <c r="D388" s="707" t="s">
        <v>77</v>
      </c>
      <c r="E388" s="793" t="s">
        <v>806</v>
      </c>
      <c r="F388" s="707"/>
      <c r="G388" s="841">
        <f ca="1">IF(G387+F388&gt;0,0,G387+F388)</f>
        <v>-711385.62368784007</v>
      </c>
      <c r="H388" s="841">
        <f t="shared" ref="H388:AA388" ca="1" si="96">IF(H387+G388&gt;0,0,H387+G388)</f>
        <v>0</v>
      </c>
      <c r="I388" s="841">
        <f t="shared" ca="1" si="96"/>
        <v>0</v>
      </c>
      <c r="J388" s="841">
        <f t="shared" ca="1" si="96"/>
        <v>0</v>
      </c>
      <c r="K388" s="842">
        <f t="shared" ca="1" si="96"/>
        <v>0</v>
      </c>
      <c r="L388" s="632">
        <f t="shared" ca="1" si="96"/>
        <v>0</v>
      </c>
      <c r="M388" s="632">
        <f t="shared" ca="1" si="96"/>
        <v>0</v>
      </c>
      <c r="N388" s="632">
        <f t="shared" ca="1" si="96"/>
        <v>0</v>
      </c>
      <c r="O388" s="632">
        <f t="shared" ca="1" si="96"/>
        <v>0</v>
      </c>
      <c r="P388" s="632">
        <f t="shared" ca="1" si="96"/>
        <v>0</v>
      </c>
      <c r="Q388" s="632">
        <f t="shared" ca="1" si="96"/>
        <v>0</v>
      </c>
      <c r="R388" s="632">
        <f t="shared" ca="1" si="96"/>
        <v>0</v>
      </c>
      <c r="S388" s="632">
        <f t="shared" ca="1" si="96"/>
        <v>0</v>
      </c>
      <c r="T388" s="632">
        <f t="shared" ca="1" si="96"/>
        <v>0</v>
      </c>
      <c r="U388" s="632">
        <f t="shared" ca="1" si="96"/>
        <v>0</v>
      </c>
      <c r="V388" s="632">
        <f t="shared" ca="1" si="96"/>
        <v>0</v>
      </c>
      <c r="W388" s="632">
        <f t="shared" ca="1" si="96"/>
        <v>0</v>
      </c>
      <c r="X388" s="632">
        <f t="shared" ca="1" si="96"/>
        <v>0</v>
      </c>
      <c r="Y388" s="632">
        <f t="shared" ca="1" si="96"/>
        <v>0</v>
      </c>
      <c r="Z388" s="632">
        <f t="shared" ca="1" si="96"/>
        <v>0</v>
      </c>
      <c r="AA388" s="632">
        <f t="shared" ca="1" si="96"/>
        <v>0</v>
      </c>
    </row>
    <row r="389" spans="1:27" hidden="1" x14ac:dyDescent="0.45">
      <c r="A389" s="792"/>
      <c r="B389" s="707"/>
      <c r="C389" s="707"/>
      <c r="D389" s="707"/>
      <c r="E389" s="783"/>
      <c r="F389" s="707"/>
      <c r="G389" s="841"/>
      <c r="H389" s="841"/>
      <c r="I389" s="841"/>
      <c r="J389" s="841"/>
      <c r="K389" s="842"/>
      <c r="L389" s="632"/>
      <c r="M389" s="632"/>
      <c r="N389" s="632"/>
      <c r="O389" s="632"/>
      <c r="P389" s="632"/>
      <c r="Q389" s="632"/>
      <c r="R389" s="632"/>
      <c r="S389" s="632"/>
      <c r="T389" s="632"/>
      <c r="U389" s="632"/>
      <c r="V389" s="632"/>
      <c r="W389" s="632"/>
      <c r="X389" s="632"/>
      <c r="Y389" s="632"/>
      <c r="Z389" s="632"/>
      <c r="AA389" s="632"/>
    </row>
    <row r="390" spans="1:27" x14ac:dyDescent="0.45">
      <c r="A390" s="792"/>
      <c r="B390" s="705" t="s">
        <v>78</v>
      </c>
      <c r="C390" s="705"/>
      <c r="D390" s="707"/>
      <c r="E390" s="783"/>
      <c r="F390" s="707"/>
      <c r="G390" s="841"/>
      <c r="H390" s="841"/>
      <c r="I390" s="841"/>
      <c r="J390" s="841"/>
      <c r="K390" s="842"/>
      <c r="L390" s="632"/>
      <c r="M390" s="632"/>
      <c r="N390" s="632"/>
      <c r="O390" s="632"/>
      <c r="P390" s="632"/>
      <c r="Q390" s="632"/>
      <c r="R390" s="632"/>
      <c r="S390" s="632"/>
      <c r="T390" s="632"/>
      <c r="U390" s="632"/>
      <c r="V390" s="632"/>
      <c r="W390" s="632"/>
      <c r="X390" s="632"/>
      <c r="Y390" s="632"/>
      <c r="Z390" s="632"/>
      <c r="AA390" s="632"/>
    </row>
    <row r="391" spans="1:27" x14ac:dyDescent="0.45">
      <c r="A391" s="792"/>
      <c r="B391" s="705"/>
      <c r="C391" s="705"/>
      <c r="D391" s="707" t="s">
        <v>54</v>
      </c>
      <c r="E391" s="793" t="s">
        <v>806</v>
      </c>
      <c r="F391" s="707"/>
      <c r="G391" s="841">
        <f t="shared" ref="G391:AA391" ca="1" si="97">G281</f>
        <v>-2388667.1983609046</v>
      </c>
      <c r="H391" s="841">
        <f t="shared" ca="1" si="97"/>
        <v>2844196.8016390959</v>
      </c>
      <c r="I391" s="841">
        <f t="shared" ca="1" si="97"/>
        <v>2906278.0816390952</v>
      </c>
      <c r="J391" s="841">
        <f t="shared" ca="1" si="97"/>
        <v>2969600.9872390963</v>
      </c>
      <c r="K391" s="842">
        <f t="shared" ca="1" si="97"/>
        <v>3034190.350951096</v>
      </c>
      <c r="L391" s="632">
        <f t="shared" ca="1" si="97"/>
        <v>3100071.5019373344</v>
      </c>
      <c r="M391" s="632">
        <f t="shared" ca="1" si="97"/>
        <v>3167270.2759433007</v>
      </c>
      <c r="N391" s="632">
        <f t="shared" ca="1" si="97"/>
        <v>3235813.0254293866</v>
      </c>
      <c r="O391" s="632">
        <f t="shared" ca="1" si="97"/>
        <v>3305726.6299051894</v>
      </c>
      <c r="P391" s="632">
        <f t="shared" ca="1" si="97"/>
        <v>3377038.5064705135</v>
      </c>
      <c r="Q391" s="632">
        <f t="shared" ca="1" si="97"/>
        <v>3449776.620567142</v>
      </c>
      <c r="R391" s="632">
        <f t="shared" ca="1" si="97"/>
        <v>3523969.4969457034</v>
      </c>
      <c r="S391" s="632">
        <f t="shared" ca="1" si="97"/>
        <v>3599646.2308518365</v>
      </c>
      <c r="T391" s="632">
        <f t="shared" ca="1" si="97"/>
        <v>3676836.4994360898</v>
      </c>
      <c r="U391" s="632">
        <f t="shared" ca="1" si="97"/>
        <v>3755570.5733920299</v>
      </c>
      <c r="V391" s="632">
        <f t="shared" ca="1" si="97"/>
        <v>3835879.3288270878</v>
      </c>
      <c r="W391" s="632">
        <f t="shared" ca="1" si="97"/>
        <v>3917794.2593708467</v>
      </c>
      <c r="X391" s="632">
        <f t="shared" ca="1" si="97"/>
        <v>4001347.4885254819</v>
      </c>
      <c r="Y391" s="632">
        <f t="shared" ca="1" si="97"/>
        <v>4086571.7822632138</v>
      </c>
      <c r="Z391" s="632">
        <f t="shared" ca="1" si="97"/>
        <v>4173500.5618756935</v>
      </c>
      <c r="AA391" s="632">
        <f t="shared" ca="1" si="97"/>
        <v>4262167.9170804285</v>
      </c>
    </row>
    <row r="392" spans="1:27" x14ac:dyDescent="0.45">
      <c r="A392" s="792"/>
      <c r="B392" s="705"/>
      <c r="C392" s="705"/>
      <c r="D392" s="707" t="s">
        <v>1</v>
      </c>
      <c r="E392" s="793" t="s">
        <v>806</v>
      </c>
      <c r="F392" s="707"/>
      <c r="G392" s="841">
        <f t="shared" ref="G392:AA392" ca="1" si="98">G275</f>
        <v>259867.19836090453</v>
      </c>
      <c r="H392" s="841">
        <f t="shared" ca="1" si="98"/>
        <v>259867.19836090453</v>
      </c>
      <c r="I392" s="841">
        <f t="shared" ca="1" si="98"/>
        <v>259867.19836090453</v>
      </c>
      <c r="J392" s="841">
        <f t="shared" ca="1" si="98"/>
        <v>259867.19836090453</v>
      </c>
      <c r="K392" s="842">
        <f t="shared" ca="1" si="98"/>
        <v>259867.19836090453</v>
      </c>
      <c r="L392" s="632">
        <f t="shared" ca="1" si="98"/>
        <v>259867.19836090453</v>
      </c>
      <c r="M392" s="632">
        <f t="shared" ca="1" si="98"/>
        <v>259867.19836090453</v>
      </c>
      <c r="N392" s="632">
        <f t="shared" ca="1" si="98"/>
        <v>259867.19836090453</v>
      </c>
      <c r="O392" s="632">
        <f t="shared" ca="1" si="98"/>
        <v>259867.19836090453</v>
      </c>
      <c r="P392" s="632">
        <f t="shared" ca="1" si="98"/>
        <v>259867.19836090453</v>
      </c>
      <c r="Q392" s="632">
        <f t="shared" ca="1" si="98"/>
        <v>259867.19836090453</v>
      </c>
      <c r="R392" s="632">
        <f t="shared" ca="1" si="98"/>
        <v>259867.19836090453</v>
      </c>
      <c r="S392" s="632">
        <f t="shared" ca="1" si="98"/>
        <v>259867.19836090453</v>
      </c>
      <c r="T392" s="632">
        <f t="shared" ca="1" si="98"/>
        <v>259867.19836090453</v>
      </c>
      <c r="U392" s="632">
        <f t="shared" ca="1" si="98"/>
        <v>259867.19836090453</v>
      </c>
      <c r="V392" s="632">
        <f t="shared" ca="1" si="98"/>
        <v>259867.19836090453</v>
      </c>
      <c r="W392" s="632">
        <f t="shared" ca="1" si="98"/>
        <v>259867.19836090453</v>
      </c>
      <c r="X392" s="632">
        <f t="shared" ca="1" si="98"/>
        <v>259867.19836090453</v>
      </c>
      <c r="Y392" s="632">
        <f t="shared" ca="1" si="98"/>
        <v>259867.19836090453</v>
      </c>
      <c r="Z392" s="632">
        <f t="shared" ca="1" si="98"/>
        <v>259867.19836090453</v>
      </c>
      <c r="AA392" s="632">
        <f t="shared" ca="1" si="98"/>
        <v>259867.19836090453</v>
      </c>
    </row>
    <row r="393" spans="1:27" hidden="1" x14ac:dyDescent="0.45">
      <c r="A393" s="792"/>
      <c r="B393" s="705"/>
      <c r="C393" s="705"/>
      <c r="D393" s="707" t="s">
        <v>55</v>
      </c>
      <c r="E393" s="793" t="s">
        <v>806</v>
      </c>
      <c r="F393" s="707"/>
      <c r="G393" s="841">
        <f>G345</f>
        <v>0</v>
      </c>
      <c r="H393" s="841">
        <f t="shared" ref="H393:AA393" si="99">H345</f>
        <v>0</v>
      </c>
      <c r="I393" s="841">
        <f t="shared" si="99"/>
        <v>0</v>
      </c>
      <c r="J393" s="841">
        <f t="shared" si="99"/>
        <v>0</v>
      </c>
      <c r="K393" s="842">
        <f t="shared" si="99"/>
        <v>0</v>
      </c>
      <c r="L393" s="632">
        <f t="shared" si="99"/>
        <v>0</v>
      </c>
      <c r="M393" s="632">
        <f t="shared" si="99"/>
        <v>0</v>
      </c>
      <c r="N393" s="632">
        <f t="shared" si="99"/>
        <v>0</v>
      </c>
      <c r="O393" s="632">
        <f t="shared" si="99"/>
        <v>0</v>
      </c>
      <c r="P393" s="632">
        <f t="shared" si="99"/>
        <v>0</v>
      </c>
      <c r="Q393" s="632">
        <f t="shared" si="99"/>
        <v>0</v>
      </c>
      <c r="R393" s="632">
        <f t="shared" si="99"/>
        <v>0</v>
      </c>
      <c r="S393" s="632">
        <f t="shared" si="99"/>
        <v>0</v>
      </c>
      <c r="T393" s="632">
        <f t="shared" si="99"/>
        <v>0</v>
      </c>
      <c r="U393" s="632">
        <f t="shared" si="99"/>
        <v>0</v>
      </c>
      <c r="V393" s="632">
        <f t="shared" si="99"/>
        <v>0</v>
      </c>
      <c r="W393" s="632">
        <f t="shared" si="99"/>
        <v>0</v>
      </c>
      <c r="X393" s="632">
        <f t="shared" si="99"/>
        <v>0</v>
      </c>
      <c r="Y393" s="632">
        <f t="shared" si="99"/>
        <v>0</v>
      </c>
      <c r="Z393" s="632">
        <f t="shared" si="99"/>
        <v>0</v>
      </c>
      <c r="AA393" s="632">
        <f t="shared" si="99"/>
        <v>0</v>
      </c>
    </row>
    <row r="394" spans="1:27" x14ac:dyDescent="0.45">
      <c r="A394" s="792"/>
      <c r="B394" s="705"/>
      <c r="C394" s="705"/>
      <c r="D394" s="707"/>
      <c r="E394" s="783"/>
      <c r="F394" s="707"/>
      <c r="G394" s="850" t="s">
        <v>38</v>
      </c>
      <c r="H394" s="850" t="s">
        <v>38</v>
      </c>
      <c r="I394" s="850" t="s">
        <v>38</v>
      </c>
      <c r="J394" s="850" t="s">
        <v>38</v>
      </c>
      <c r="K394" s="851" t="s">
        <v>38</v>
      </c>
      <c r="L394" s="634" t="s">
        <v>38</v>
      </c>
      <c r="M394" s="634" t="s">
        <v>38</v>
      </c>
      <c r="N394" s="634" t="s">
        <v>38</v>
      </c>
      <c r="O394" s="634" t="s">
        <v>38</v>
      </c>
      <c r="P394" s="634" t="s">
        <v>38</v>
      </c>
      <c r="Q394" s="634" t="s">
        <v>38</v>
      </c>
      <c r="R394" s="634" t="s">
        <v>38</v>
      </c>
      <c r="S394" s="634" t="s">
        <v>38</v>
      </c>
      <c r="T394" s="634" t="s">
        <v>38</v>
      </c>
      <c r="U394" s="634" t="s">
        <v>38</v>
      </c>
      <c r="V394" s="634" t="s">
        <v>38</v>
      </c>
      <c r="W394" s="634" t="s">
        <v>38</v>
      </c>
      <c r="X394" s="634" t="s">
        <v>38</v>
      </c>
      <c r="Y394" s="634" t="s">
        <v>38</v>
      </c>
      <c r="Z394" s="634" t="s">
        <v>38</v>
      </c>
      <c r="AA394" s="634" t="s">
        <v>38</v>
      </c>
    </row>
    <row r="395" spans="1:27" x14ac:dyDescent="0.45">
      <c r="A395" s="792"/>
      <c r="B395" s="705"/>
      <c r="C395" s="705"/>
      <c r="D395" s="707" t="s">
        <v>56</v>
      </c>
      <c r="E395" s="793" t="s">
        <v>806</v>
      </c>
      <c r="F395" s="707"/>
      <c r="G395" s="841">
        <f t="shared" ref="G395:AA395" ca="1" si="100">SUM(G390:G394)</f>
        <v>-2128800</v>
      </c>
      <c r="H395" s="841">
        <f t="shared" ca="1" si="100"/>
        <v>3104064.0000000005</v>
      </c>
      <c r="I395" s="841">
        <f t="shared" ca="1" si="100"/>
        <v>3166145.28</v>
      </c>
      <c r="J395" s="841">
        <f t="shared" ca="1" si="100"/>
        <v>3229468.1856000009</v>
      </c>
      <c r="K395" s="842">
        <f ca="1">SUM(K390:K394)</f>
        <v>3294057.5493120006</v>
      </c>
      <c r="L395" s="632">
        <f t="shared" ca="1" si="100"/>
        <v>3359938.700298239</v>
      </c>
      <c r="M395" s="632">
        <f t="shared" ca="1" si="100"/>
        <v>3427137.4743042053</v>
      </c>
      <c r="N395" s="632">
        <f t="shared" ca="1" si="100"/>
        <v>3495680.2237902912</v>
      </c>
      <c r="O395" s="632">
        <f t="shared" ca="1" si="100"/>
        <v>3565593.828266094</v>
      </c>
      <c r="P395" s="632">
        <f t="shared" ca="1" si="100"/>
        <v>3636905.7048314181</v>
      </c>
      <c r="Q395" s="632">
        <f t="shared" ca="1" si="100"/>
        <v>3709643.8189280466</v>
      </c>
      <c r="R395" s="632">
        <f t="shared" ca="1" si="100"/>
        <v>3783836.695306608</v>
      </c>
      <c r="S395" s="632">
        <f t="shared" ca="1" si="100"/>
        <v>3859513.4292127411</v>
      </c>
      <c r="T395" s="632">
        <f t="shared" ca="1" si="100"/>
        <v>3936703.6977969944</v>
      </c>
      <c r="U395" s="632">
        <f t="shared" ca="1" si="100"/>
        <v>4015437.7717529344</v>
      </c>
      <c r="V395" s="632">
        <f t="shared" ca="1" si="100"/>
        <v>4095746.5271879924</v>
      </c>
      <c r="W395" s="632">
        <f t="shared" ca="1" si="100"/>
        <v>4177661.4577317513</v>
      </c>
      <c r="X395" s="632">
        <f t="shared" ca="1" si="100"/>
        <v>4261214.686886386</v>
      </c>
      <c r="Y395" s="632">
        <f t="shared" ca="1" si="100"/>
        <v>4346438.9806241179</v>
      </c>
      <c r="Z395" s="632">
        <f t="shared" ca="1" si="100"/>
        <v>4433367.7602365976</v>
      </c>
      <c r="AA395" s="632">
        <f t="shared" ca="1" si="100"/>
        <v>4522035.1154413326</v>
      </c>
    </row>
    <row r="396" spans="1:27" x14ac:dyDescent="0.45">
      <c r="A396" s="792"/>
      <c r="B396" s="705"/>
      <c r="C396" s="705"/>
      <c r="D396" s="707"/>
      <c r="E396" s="783"/>
      <c r="F396" s="707"/>
      <c r="G396" s="841"/>
      <c r="H396" s="841"/>
      <c r="I396" s="841"/>
      <c r="J396" s="841"/>
      <c r="K396" s="842"/>
      <c r="L396" s="632"/>
      <c r="M396" s="632"/>
      <c r="N396" s="632"/>
      <c r="O396" s="632"/>
      <c r="P396" s="632"/>
      <c r="Q396" s="632"/>
      <c r="R396" s="632"/>
      <c r="S396" s="632"/>
      <c r="T396" s="632"/>
      <c r="U396" s="632"/>
      <c r="V396" s="632"/>
      <c r="W396" s="632"/>
      <c r="X396" s="632"/>
      <c r="Y396" s="632"/>
      <c r="Z396" s="632"/>
      <c r="AA396" s="632"/>
    </row>
    <row r="397" spans="1:27" x14ac:dyDescent="0.45">
      <c r="A397" s="792"/>
      <c r="B397" s="705"/>
      <c r="C397" s="705"/>
      <c r="D397" s="707" t="s">
        <v>57</v>
      </c>
      <c r="E397" s="793" t="s">
        <v>806</v>
      </c>
      <c r="F397" s="707"/>
      <c r="G397" s="841">
        <f t="shared" ref="G397:AA397" ca="1" si="101">G157</f>
        <v>5717078.3639399</v>
      </c>
      <c r="H397" s="841">
        <f t="shared" ca="1" si="101"/>
        <v>69380.057388981644</v>
      </c>
      <c r="I397" s="841">
        <f t="shared" ca="1" si="101"/>
        <v>70767.658536761272</v>
      </c>
      <c r="J397" s="841">
        <f t="shared" ca="1" si="101"/>
        <v>72183.011707496495</v>
      </c>
      <c r="K397" s="842">
        <f t="shared" ca="1" si="101"/>
        <v>73626.671941646433</v>
      </c>
      <c r="L397" s="632">
        <f t="shared" ca="1" si="101"/>
        <v>75099.205380479369</v>
      </c>
      <c r="M397" s="632">
        <f t="shared" ca="1" si="101"/>
        <v>76601.189488088959</v>
      </c>
      <c r="N397" s="632">
        <f t="shared" ca="1" si="101"/>
        <v>78133.213277850737</v>
      </c>
      <c r="O397" s="632">
        <f t="shared" ca="1" si="101"/>
        <v>79695.877543407754</v>
      </c>
      <c r="P397" s="632">
        <f t="shared" ca="1" si="101"/>
        <v>81289.795094275905</v>
      </c>
      <c r="Q397" s="632">
        <f t="shared" ca="1" si="101"/>
        <v>82915.590996161423</v>
      </c>
      <c r="R397" s="632">
        <f t="shared" ca="1" si="101"/>
        <v>84573.90281608465</v>
      </c>
      <c r="S397" s="632">
        <f t="shared" ca="1" si="101"/>
        <v>86265.380872406342</v>
      </c>
      <c r="T397" s="632">
        <f t="shared" ca="1" si="101"/>
        <v>87990.688489854467</v>
      </c>
      <c r="U397" s="632">
        <f t="shared" ca="1" si="101"/>
        <v>89750.502259651563</v>
      </c>
      <c r="V397" s="632">
        <f t="shared" ca="1" si="101"/>
        <v>91545.512304844597</v>
      </c>
      <c r="W397" s="632">
        <f t="shared" ca="1" si="101"/>
        <v>93376.422550941497</v>
      </c>
      <c r="X397" s="632">
        <f t="shared" ca="1" si="101"/>
        <v>95243.951001960333</v>
      </c>
      <c r="Y397" s="632">
        <f t="shared" ca="1" si="101"/>
        <v>97148.830021999544</v>
      </c>
      <c r="Z397" s="632">
        <f t="shared" ca="1" si="101"/>
        <v>99091.80662243953</v>
      </c>
      <c r="AA397" s="632">
        <f t="shared" ca="1" si="101"/>
        <v>101073.64275488832</v>
      </c>
    </row>
    <row r="398" spans="1:27" x14ac:dyDescent="0.45">
      <c r="A398" s="792"/>
      <c r="B398" s="705"/>
      <c r="C398" s="705"/>
      <c r="D398" s="707" t="s">
        <v>79</v>
      </c>
      <c r="E398" s="793"/>
      <c r="F398" s="707"/>
      <c r="G398" s="841">
        <f t="shared" ref="G398:AA398" si="102">G350</f>
        <v>1574728.7671232875</v>
      </c>
      <c r="H398" s="841">
        <f t="shared" si="102"/>
        <v>2829256.7671232875</v>
      </c>
      <c r="I398" s="841">
        <f t="shared" si="102"/>
        <v>88079.710684931837</v>
      </c>
      <c r="J398" s="841">
        <f t="shared" si="102"/>
        <v>89841.304898629896</v>
      </c>
      <c r="K398" s="842">
        <f t="shared" si="102"/>
        <v>91638.130996602587</v>
      </c>
      <c r="L398" s="632">
        <f t="shared" si="102"/>
        <v>93470.893616535701</v>
      </c>
      <c r="M398" s="632">
        <f t="shared" si="102"/>
        <v>95340.311488864943</v>
      </c>
      <c r="N398" s="632">
        <f>N350</f>
        <v>97247.117718642578</v>
      </c>
      <c r="O398" s="632">
        <f t="shared" si="102"/>
        <v>99192.060073016211</v>
      </c>
      <c r="P398" s="632">
        <f t="shared" si="102"/>
        <v>101175.9012744762</v>
      </c>
      <c r="Q398" s="632">
        <f t="shared" si="102"/>
        <v>103199.41929996479</v>
      </c>
      <c r="R398" s="632">
        <f t="shared" si="102"/>
        <v>105263.4076859653</v>
      </c>
      <c r="S398" s="632">
        <f t="shared" si="102"/>
        <v>107368.67583968397</v>
      </c>
      <c r="T398" s="632">
        <f t="shared" si="102"/>
        <v>109516.04935647827</v>
      </c>
      <c r="U398" s="632">
        <f t="shared" si="102"/>
        <v>111706.37034360785</v>
      </c>
      <c r="V398" s="632">
        <f t="shared" si="102"/>
        <v>113940.49775047973</v>
      </c>
      <c r="W398" s="632">
        <f t="shared" si="102"/>
        <v>116219.30770548899</v>
      </c>
      <c r="X398" s="632">
        <f t="shared" si="102"/>
        <v>118543.69385959953</v>
      </c>
      <c r="Y398" s="632">
        <f t="shared" si="102"/>
        <v>120914.56773678958</v>
      </c>
      <c r="Z398" s="632">
        <f t="shared" si="102"/>
        <v>123332.85909152683</v>
      </c>
      <c r="AA398" s="632">
        <f t="shared" si="102"/>
        <v>125799.51627335697</v>
      </c>
    </row>
    <row r="399" spans="1:27" x14ac:dyDescent="0.45">
      <c r="A399" s="792"/>
      <c r="B399" s="705"/>
      <c r="C399" s="705"/>
      <c r="D399" s="707" t="s">
        <v>80</v>
      </c>
      <c r="E399" s="793" t="s">
        <v>806</v>
      </c>
      <c r="F399" s="707"/>
      <c r="G399" s="841">
        <f t="shared" ref="G399:AA399" si="103">G413</f>
        <v>0</v>
      </c>
      <c r="H399" s="841">
        <f t="shared" ca="1" si="103"/>
        <v>0</v>
      </c>
      <c r="I399" s="841">
        <f t="shared" ca="1" si="103"/>
        <v>136658.88098345732</v>
      </c>
      <c r="J399" s="841">
        <f t="shared" ca="1" si="103"/>
        <v>871883.42449172854</v>
      </c>
      <c r="K399" s="842">
        <f t="shared" ca="1" si="103"/>
        <v>890880.29617172887</v>
      </c>
      <c r="L399" s="632">
        <f t="shared" ca="1" si="103"/>
        <v>910257.10528532893</v>
      </c>
      <c r="M399" s="632">
        <f t="shared" ca="1" si="103"/>
        <v>930021.4505812003</v>
      </c>
      <c r="N399" s="632">
        <f t="shared" ca="1" si="103"/>
        <v>950181.08278299018</v>
      </c>
      <c r="O399" s="632">
        <f t="shared" ca="1" si="103"/>
        <v>970743.90762881597</v>
      </c>
      <c r="P399" s="632">
        <f t="shared" ca="1" si="103"/>
        <v>991717.98897155665</v>
      </c>
      <c r="Q399" s="632">
        <f t="shared" ca="1" si="103"/>
        <v>1013111.5519411539</v>
      </c>
      <c r="R399" s="632">
        <f t="shared" ca="1" si="103"/>
        <v>1034932.9861701425</v>
      </c>
      <c r="S399" s="632">
        <f t="shared" ca="1" si="103"/>
        <v>1057190.8490837109</v>
      </c>
      <c r="T399" s="632">
        <f t="shared" ca="1" si="103"/>
        <v>1079893.8692555507</v>
      </c>
      <c r="U399" s="632">
        <f t="shared" ca="1" si="103"/>
        <v>1103050.9498308268</v>
      </c>
      <c r="V399" s="632">
        <f t="shared" ca="1" si="103"/>
        <v>1126671.1720176092</v>
      </c>
      <c r="W399" s="632">
        <f t="shared" ca="1" si="103"/>
        <v>1150763.798648126</v>
      </c>
      <c r="X399" s="632">
        <f t="shared" ca="1" si="103"/>
        <v>1175338.2778112539</v>
      </c>
      <c r="Y399" s="632">
        <f t="shared" ca="1" si="103"/>
        <v>1200404.2465576446</v>
      </c>
      <c r="Z399" s="632">
        <f t="shared" ca="1" si="103"/>
        <v>1225971.5346789639</v>
      </c>
      <c r="AA399" s="632">
        <f t="shared" ca="1" si="103"/>
        <v>1252050.168562708</v>
      </c>
    </row>
    <row r="400" spans="1:27" x14ac:dyDescent="0.45">
      <c r="A400" s="792"/>
      <c r="B400" s="705"/>
      <c r="C400" s="705"/>
      <c r="D400" s="707"/>
      <c r="E400" s="783"/>
      <c r="F400" s="707"/>
      <c r="G400" s="841"/>
      <c r="H400" s="841"/>
      <c r="I400" s="841"/>
      <c r="J400" s="841"/>
      <c r="K400" s="842"/>
      <c r="L400" s="632"/>
      <c r="M400" s="632"/>
      <c r="N400" s="632"/>
      <c r="O400" s="632"/>
      <c r="P400" s="632"/>
      <c r="Q400" s="632"/>
      <c r="R400" s="632"/>
      <c r="S400" s="632"/>
      <c r="T400" s="632"/>
      <c r="U400" s="632"/>
      <c r="V400" s="632"/>
      <c r="W400" s="632"/>
      <c r="X400" s="632"/>
      <c r="Y400" s="632"/>
      <c r="Z400" s="632"/>
      <c r="AA400" s="632"/>
    </row>
    <row r="401" spans="1:27" s="707" customFormat="1" x14ac:dyDescent="0.45">
      <c r="A401" s="845"/>
      <c r="B401" s="559"/>
      <c r="C401" s="559"/>
      <c r="D401" s="559" t="s">
        <v>81</v>
      </c>
      <c r="E401" s="870" t="s">
        <v>806</v>
      </c>
      <c r="F401" s="558"/>
      <c r="G401" s="871">
        <f ca="1">G395-(SUM(G397:G399))</f>
        <v>-9420607.1310631875</v>
      </c>
      <c r="H401" s="871">
        <f ca="1">H395-(SUM(H397:H399))</f>
        <v>205427.17548773112</v>
      </c>
      <c r="I401" s="871">
        <f t="shared" ref="I401:AA401" ca="1" si="104">I395-(SUM(I397:I399))</f>
        <v>2870639.0297948495</v>
      </c>
      <c r="J401" s="871">
        <f t="shared" ca="1" si="104"/>
        <v>2195560.444502146</v>
      </c>
      <c r="K401" s="872">
        <f ca="1">K395-(SUM(K397:K399))</f>
        <v>2237912.4502020227</v>
      </c>
      <c r="L401" s="708">
        <f t="shared" ca="1" si="104"/>
        <v>2281111.4960158952</v>
      </c>
      <c r="M401" s="708">
        <f t="shared" ca="1" si="104"/>
        <v>2325174.5227460512</v>
      </c>
      <c r="N401" s="708">
        <f t="shared" ca="1" si="104"/>
        <v>2370118.8100108076</v>
      </c>
      <c r="O401" s="708">
        <f t="shared" ca="1" si="104"/>
        <v>2415961.9830208542</v>
      </c>
      <c r="P401" s="708">
        <f t="shared" ca="1" si="104"/>
        <v>2462722.0194911091</v>
      </c>
      <c r="Q401" s="708">
        <f t="shared" ca="1" si="104"/>
        <v>2510417.2566907667</v>
      </c>
      <c r="R401" s="708">
        <f t="shared" ca="1" si="104"/>
        <v>2559066.3986344156</v>
      </c>
      <c r="S401" s="708">
        <f t="shared" ca="1" si="104"/>
        <v>2608688.5234169401</v>
      </c>
      <c r="T401" s="708">
        <f t="shared" ca="1" si="104"/>
        <v>2659303.0906951111</v>
      </c>
      <c r="U401" s="708">
        <f t="shared" ca="1" si="104"/>
        <v>2710929.9493188481</v>
      </c>
      <c r="V401" s="708">
        <f t="shared" ca="1" si="104"/>
        <v>2763589.3451150591</v>
      </c>
      <c r="W401" s="708">
        <f t="shared" ca="1" si="104"/>
        <v>2817301.9288271945</v>
      </c>
      <c r="X401" s="708">
        <f t="shared" ca="1" si="104"/>
        <v>2872088.7642135723</v>
      </c>
      <c r="Y401" s="708">
        <f t="shared" ca="1" si="104"/>
        <v>2927971.336307684</v>
      </c>
      <c r="Z401" s="708">
        <f t="shared" ca="1" si="104"/>
        <v>2984971.5598436673</v>
      </c>
      <c r="AA401" s="708">
        <f t="shared" ca="1" si="104"/>
        <v>3043111.787850379</v>
      </c>
    </row>
    <row r="402" spans="1:27" hidden="1" x14ac:dyDescent="0.45">
      <c r="A402" s="565"/>
      <c r="B402" s="552"/>
      <c r="C402" s="552"/>
      <c r="G402" s="555"/>
      <c r="H402" s="555"/>
      <c r="I402" s="555"/>
      <c r="J402" s="555"/>
      <c r="K402" s="555"/>
      <c r="L402" s="555"/>
      <c r="M402" s="555"/>
      <c r="N402" s="555"/>
      <c r="O402" s="555"/>
      <c r="P402" s="555"/>
      <c r="Q402" s="555"/>
      <c r="R402" s="555"/>
      <c r="S402" s="555"/>
      <c r="T402" s="555"/>
      <c r="U402" s="555"/>
      <c r="V402" s="555"/>
      <c r="W402" s="555"/>
      <c r="X402" s="555"/>
      <c r="Y402" s="555"/>
      <c r="Z402" s="555"/>
      <c r="AA402" s="555"/>
    </row>
    <row r="403" spans="1:27" hidden="1" x14ac:dyDescent="0.45">
      <c r="A403" s="565"/>
      <c r="B403" s="552" t="s">
        <v>82</v>
      </c>
      <c r="C403" s="552"/>
      <c r="G403" s="555"/>
      <c r="H403" s="555"/>
      <c r="I403" s="555"/>
      <c r="J403" s="555"/>
      <c r="K403" s="555"/>
      <c r="L403" s="555"/>
      <c r="M403" s="555"/>
      <c r="N403" s="555"/>
      <c r="O403" s="555"/>
      <c r="P403" s="555"/>
      <c r="Q403" s="555"/>
      <c r="R403" s="555"/>
      <c r="S403" s="555"/>
      <c r="T403" s="555"/>
      <c r="U403" s="555"/>
      <c r="V403" s="555"/>
      <c r="W403" s="555"/>
      <c r="X403" s="555"/>
      <c r="Y403" s="555"/>
      <c r="Z403" s="555"/>
      <c r="AA403" s="555"/>
    </row>
    <row r="404" spans="1:27" hidden="1" x14ac:dyDescent="0.45">
      <c r="A404" s="565"/>
      <c r="B404" s="552"/>
      <c r="C404" s="552"/>
      <c r="D404" s="580" t="s">
        <v>83</v>
      </c>
      <c r="E404" s="581" t="s">
        <v>806</v>
      </c>
      <c r="F404" s="582">
        <f>$E$422</f>
        <v>0.15</v>
      </c>
      <c r="G404" s="583">
        <f ca="1">NPV(F404,(OFFSET(G401,,$G$1-1):OFFSET(G401,,$G$1+$P$1-2)))</f>
        <v>149565.86443399737</v>
      </c>
      <c r="H404" s="574"/>
      <c r="I404" s="574"/>
      <c r="J404" s="574"/>
      <c r="K404" s="574"/>
      <c r="L404" s="574"/>
      <c r="M404" s="574"/>
      <c r="N404" s="574"/>
      <c r="O404" s="574"/>
      <c r="P404" s="574"/>
      <c r="Q404" s="574"/>
      <c r="R404" s="574"/>
      <c r="S404" s="574"/>
      <c r="T404" s="574"/>
      <c r="U404" s="574"/>
      <c r="V404" s="574"/>
      <c r="W404" s="574"/>
      <c r="X404" s="574"/>
      <c r="Y404" s="574"/>
      <c r="Z404" s="574"/>
      <c r="AA404" s="574"/>
    </row>
    <row r="405" spans="1:27" hidden="1" x14ac:dyDescent="0.45">
      <c r="A405" s="565"/>
      <c r="B405" s="552"/>
      <c r="C405" s="552"/>
      <c r="D405" s="584" t="s">
        <v>84</v>
      </c>
      <c r="E405" s="585" t="s">
        <v>21</v>
      </c>
      <c r="F405" s="558"/>
      <c r="G405" s="586">
        <f ca="1">IRR((OFFSET(G401,,$G$9-1):OFFSET(G401,,$G$9+$P$9-2)))</f>
        <v>0.15450144696167478</v>
      </c>
      <c r="H405" s="587"/>
      <c r="J405" s="555"/>
      <c r="K405" s="574"/>
      <c r="L405" s="574"/>
      <c r="M405" s="574"/>
      <c r="N405" s="574"/>
      <c r="O405" s="574"/>
      <c r="P405" s="574"/>
      <c r="Q405" s="574"/>
      <c r="R405" s="574"/>
      <c r="S405" s="574"/>
      <c r="T405" s="574"/>
      <c r="U405" s="574"/>
      <c r="V405" s="574"/>
      <c r="W405" s="574"/>
      <c r="X405" s="574"/>
      <c r="Y405" s="574"/>
      <c r="Z405" s="574"/>
      <c r="AA405" s="574"/>
    </row>
    <row r="406" spans="1:27" hidden="1" x14ac:dyDescent="0.45">
      <c r="A406" s="565"/>
      <c r="B406" s="552"/>
      <c r="C406" s="552"/>
      <c r="D406" s="588" t="s">
        <v>85</v>
      </c>
      <c r="E406" s="589" t="s">
        <v>806</v>
      </c>
      <c r="F406" s="590">
        <f>$E$422</f>
        <v>0.15</v>
      </c>
      <c r="G406" s="591">
        <f ca="1">NPV(F406,G401:$AM$401)</f>
        <v>3639459.8641996919</v>
      </c>
      <c r="H406" s="568"/>
      <c r="I406" s="568"/>
      <c r="J406" s="568"/>
      <c r="K406" s="568"/>
      <c r="L406" s="568"/>
      <c r="M406" s="574"/>
      <c r="N406" s="574"/>
      <c r="O406" s="574"/>
      <c r="P406" s="574"/>
      <c r="Q406" s="574"/>
      <c r="R406" s="574"/>
      <c r="S406" s="574"/>
      <c r="T406" s="574"/>
      <c r="U406" s="574"/>
      <c r="V406" s="574"/>
      <c r="W406" s="574"/>
      <c r="X406" s="574"/>
      <c r="Y406" s="574"/>
      <c r="Z406" s="574"/>
      <c r="AA406" s="574"/>
    </row>
    <row r="407" spans="1:27" hidden="1" x14ac:dyDescent="0.45">
      <c r="A407" s="565"/>
      <c r="B407" s="552"/>
      <c r="C407" s="552"/>
      <c r="D407" s="592" t="s">
        <v>86</v>
      </c>
      <c r="E407" s="593" t="s">
        <v>21</v>
      </c>
      <c r="F407" s="559"/>
      <c r="G407" s="594">
        <f ca="1">IRR(G401:AM401)</f>
        <v>0.21441496205710586</v>
      </c>
      <c r="H407" s="587"/>
      <c r="J407" s="555"/>
      <c r="K407" s="574"/>
      <c r="L407" s="574"/>
      <c r="M407" s="574"/>
      <c r="N407" s="574"/>
      <c r="O407" s="574"/>
      <c r="P407" s="574"/>
      <c r="Q407" s="574"/>
      <c r="R407" s="574"/>
      <c r="S407" s="574"/>
      <c r="T407" s="574"/>
      <c r="U407" s="574"/>
      <c r="V407" s="574"/>
      <c r="W407" s="574"/>
      <c r="X407" s="574"/>
      <c r="Y407" s="574"/>
      <c r="Z407" s="574"/>
      <c r="AA407" s="574"/>
    </row>
    <row r="408" spans="1:27" hidden="1" x14ac:dyDescent="0.45">
      <c r="A408" s="565"/>
      <c r="L408" s="568"/>
    </row>
    <row r="409" spans="1:27" hidden="1" x14ac:dyDescent="0.45">
      <c r="A409" s="565"/>
      <c r="B409" s="552" t="s">
        <v>87</v>
      </c>
      <c r="C409" s="552"/>
      <c r="G409" s="573"/>
      <c r="I409" s="573"/>
      <c r="J409" s="573"/>
      <c r="K409" s="573"/>
      <c r="L409" s="573"/>
      <c r="M409" s="573"/>
      <c r="N409" s="573"/>
      <c r="O409" s="573"/>
      <c r="P409" s="573"/>
      <c r="Q409" s="573"/>
      <c r="R409" s="573"/>
      <c r="S409" s="573"/>
      <c r="T409" s="573"/>
      <c r="U409" s="573"/>
      <c r="V409" s="573"/>
      <c r="W409" s="573"/>
      <c r="X409" s="573"/>
      <c r="Y409" s="573"/>
      <c r="Z409" s="573"/>
      <c r="AA409" s="573"/>
    </row>
    <row r="410" spans="1:27" hidden="1" x14ac:dyDescent="0.45">
      <c r="A410" s="565"/>
      <c r="D410" s="549" t="s">
        <v>76</v>
      </c>
      <c r="E410" s="564" t="s">
        <v>806</v>
      </c>
      <c r="F410" s="560">
        <f>F290</f>
        <v>0.3</v>
      </c>
      <c r="G410" s="573">
        <f t="shared" ref="G410:AA410" ca="1" si="105">$F$410*G281</f>
        <v>-716600.15950827138</v>
      </c>
      <c r="H410" s="573">
        <f t="shared" ca="1" si="105"/>
        <v>853259.04049172869</v>
      </c>
      <c r="I410" s="573">
        <f t="shared" ca="1" si="105"/>
        <v>871883.42449172854</v>
      </c>
      <c r="J410" s="573">
        <f t="shared" ca="1" si="105"/>
        <v>890880.29617172887</v>
      </c>
      <c r="K410" s="573">
        <f t="shared" ca="1" si="105"/>
        <v>910257.10528532881</v>
      </c>
      <c r="L410" s="573">
        <f t="shared" ca="1" si="105"/>
        <v>930021.4505812003</v>
      </c>
      <c r="M410" s="573">
        <f t="shared" ca="1" si="105"/>
        <v>950181.08278299018</v>
      </c>
      <c r="N410" s="573">
        <f t="shared" ca="1" si="105"/>
        <v>970743.90762881597</v>
      </c>
      <c r="O410" s="573">
        <f t="shared" ca="1" si="105"/>
        <v>991717.98897155677</v>
      </c>
      <c r="P410" s="573">
        <f t="shared" ca="1" si="105"/>
        <v>1013111.5519411541</v>
      </c>
      <c r="Q410" s="573">
        <f t="shared" ca="1" si="105"/>
        <v>1034932.9861701425</v>
      </c>
      <c r="R410" s="573">
        <f t="shared" ca="1" si="105"/>
        <v>1057190.8490837109</v>
      </c>
      <c r="S410" s="573">
        <f t="shared" ca="1" si="105"/>
        <v>1079893.8692555509</v>
      </c>
      <c r="T410" s="573">
        <f t="shared" ca="1" si="105"/>
        <v>1103050.9498308268</v>
      </c>
      <c r="U410" s="573">
        <f t="shared" ca="1" si="105"/>
        <v>1126671.172017609</v>
      </c>
      <c r="V410" s="573">
        <f t="shared" ca="1" si="105"/>
        <v>1150763.7986481262</v>
      </c>
      <c r="W410" s="573">
        <f t="shared" ca="1" si="105"/>
        <v>1175338.2778112539</v>
      </c>
      <c r="X410" s="573">
        <f t="shared" ca="1" si="105"/>
        <v>1200404.2465576446</v>
      </c>
      <c r="Y410" s="573">
        <f t="shared" ca="1" si="105"/>
        <v>1225971.5346789642</v>
      </c>
      <c r="Z410" s="573">
        <f t="shared" ca="1" si="105"/>
        <v>1252050.168562708</v>
      </c>
      <c r="AA410" s="573">
        <f t="shared" ca="1" si="105"/>
        <v>1278650.3751241285</v>
      </c>
    </row>
    <row r="411" spans="1:27" hidden="1" x14ac:dyDescent="0.45">
      <c r="A411" s="565"/>
      <c r="D411" s="549" t="s">
        <v>77</v>
      </c>
      <c r="E411" s="564" t="s">
        <v>806</v>
      </c>
      <c r="G411" s="573">
        <f ca="1">IF(G410+F411&gt;0,0,G410+F411)</f>
        <v>-716600.15950827138</v>
      </c>
      <c r="H411" s="573">
        <f t="shared" ref="H411:AA411" ca="1" si="106">IF(H410+G411&gt;0,0,H410+G411)</f>
        <v>0</v>
      </c>
      <c r="I411" s="573">
        <f t="shared" ca="1" si="106"/>
        <v>0</v>
      </c>
      <c r="J411" s="573">
        <f t="shared" ca="1" si="106"/>
        <v>0</v>
      </c>
      <c r="K411" s="573">
        <f t="shared" ca="1" si="106"/>
        <v>0</v>
      </c>
      <c r="L411" s="573">
        <f t="shared" ca="1" si="106"/>
        <v>0</v>
      </c>
      <c r="M411" s="573">
        <f t="shared" ca="1" si="106"/>
        <v>0</v>
      </c>
      <c r="N411" s="573">
        <f t="shared" ca="1" si="106"/>
        <v>0</v>
      </c>
      <c r="O411" s="573">
        <f t="shared" ca="1" si="106"/>
        <v>0</v>
      </c>
      <c r="P411" s="573">
        <f t="shared" ca="1" si="106"/>
        <v>0</v>
      </c>
      <c r="Q411" s="573">
        <f t="shared" ca="1" si="106"/>
        <v>0</v>
      </c>
      <c r="R411" s="573">
        <f t="shared" ca="1" si="106"/>
        <v>0</v>
      </c>
      <c r="S411" s="573">
        <f t="shared" ca="1" si="106"/>
        <v>0</v>
      </c>
      <c r="T411" s="573">
        <f t="shared" ca="1" si="106"/>
        <v>0</v>
      </c>
      <c r="U411" s="573">
        <f t="shared" ca="1" si="106"/>
        <v>0</v>
      </c>
      <c r="V411" s="573">
        <f t="shared" ca="1" si="106"/>
        <v>0</v>
      </c>
      <c r="W411" s="573">
        <f t="shared" ca="1" si="106"/>
        <v>0</v>
      </c>
      <c r="X411" s="573">
        <f t="shared" ca="1" si="106"/>
        <v>0</v>
      </c>
      <c r="Y411" s="573">
        <f t="shared" ca="1" si="106"/>
        <v>0</v>
      </c>
      <c r="Z411" s="573">
        <f t="shared" ca="1" si="106"/>
        <v>0</v>
      </c>
      <c r="AA411" s="573">
        <f t="shared" ca="1" si="106"/>
        <v>0</v>
      </c>
    </row>
    <row r="412" spans="1:27" hidden="1" x14ac:dyDescent="0.45">
      <c r="A412" s="565"/>
      <c r="D412" s="549" t="s">
        <v>40</v>
      </c>
      <c r="E412" s="564" t="s">
        <v>806</v>
      </c>
      <c r="G412" s="573">
        <f ca="1">IF(G411&lt;0,G411,F412+G410-G413)</f>
        <v>-716600.15950827138</v>
      </c>
      <c r="H412" s="573">
        <f t="shared" ref="H412:AA412" ca="1" si="107">IF(H411&lt;0,H411,G412+H410-H413)</f>
        <v>136658.88098345732</v>
      </c>
      <c r="I412" s="573">
        <f t="shared" ca="1" si="107"/>
        <v>871883.42449172854</v>
      </c>
      <c r="J412" s="573">
        <f t="shared" ca="1" si="107"/>
        <v>890880.29617172887</v>
      </c>
      <c r="K412" s="573">
        <f t="shared" ca="1" si="107"/>
        <v>910257.10528532893</v>
      </c>
      <c r="L412" s="573">
        <f t="shared" ca="1" si="107"/>
        <v>930021.4505812003</v>
      </c>
      <c r="M412" s="573">
        <f t="shared" ca="1" si="107"/>
        <v>950181.08278299018</v>
      </c>
      <c r="N412" s="573">
        <f t="shared" ca="1" si="107"/>
        <v>970743.90762881597</v>
      </c>
      <c r="O412" s="573">
        <f t="shared" ca="1" si="107"/>
        <v>991717.98897155665</v>
      </c>
      <c r="P412" s="573">
        <f t="shared" ca="1" si="107"/>
        <v>1013111.5519411539</v>
      </c>
      <c r="Q412" s="573">
        <f t="shared" ca="1" si="107"/>
        <v>1034932.9861701425</v>
      </c>
      <c r="R412" s="573">
        <f t="shared" ca="1" si="107"/>
        <v>1057190.8490837109</v>
      </c>
      <c r="S412" s="573">
        <f t="shared" ca="1" si="107"/>
        <v>1079893.8692555507</v>
      </c>
      <c r="T412" s="573">
        <f t="shared" ca="1" si="107"/>
        <v>1103050.9498308268</v>
      </c>
      <c r="U412" s="573">
        <f t="shared" ca="1" si="107"/>
        <v>1126671.1720176092</v>
      </c>
      <c r="V412" s="573">
        <f t="shared" ca="1" si="107"/>
        <v>1150763.798648126</v>
      </c>
      <c r="W412" s="573">
        <f t="shared" ca="1" si="107"/>
        <v>1175338.2778112539</v>
      </c>
      <c r="X412" s="573">
        <f t="shared" ca="1" si="107"/>
        <v>1200404.2465576446</v>
      </c>
      <c r="Y412" s="573">
        <f t="shared" ca="1" si="107"/>
        <v>1225971.5346789639</v>
      </c>
      <c r="Z412" s="573">
        <f t="shared" ca="1" si="107"/>
        <v>1252050.168562708</v>
      </c>
      <c r="AA412" s="573">
        <f t="shared" ca="1" si="107"/>
        <v>1278650.3751241285</v>
      </c>
    </row>
    <row r="413" spans="1:27" hidden="1" x14ac:dyDescent="0.45">
      <c r="A413" s="565"/>
      <c r="D413" s="549" t="s">
        <v>59</v>
      </c>
      <c r="E413" s="564" t="s">
        <v>806</v>
      </c>
      <c r="G413" s="573">
        <f>IF(F412&lt;0,0,F412)</f>
        <v>0</v>
      </c>
      <c r="H413" s="573">
        <f t="shared" ref="H413:AA413" ca="1" si="108">IF(G412&lt;0,0,G412)</f>
        <v>0</v>
      </c>
      <c r="I413" s="573">
        <f t="shared" ca="1" si="108"/>
        <v>136658.88098345732</v>
      </c>
      <c r="J413" s="573">
        <f t="shared" ca="1" si="108"/>
        <v>871883.42449172854</v>
      </c>
      <c r="K413" s="573">
        <f t="shared" ca="1" si="108"/>
        <v>890880.29617172887</v>
      </c>
      <c r="L413" s="573">
        <f t="shared" ca="1" si="108"/>
        <v>910257.10528532893</v>
      </c>
      <c r="M413" s="573">
        <f t="shared" ca="1" si="108"/>
        <v>930021.4505812003</v>
      </c>
      <c r="N413" s="573">
        <f t="shared" ca="1" si="108"/>
        <v>950181.08278299018</v>
      </c>
      <c r="O413" s="573">
        <f t="shared" ca="1" si="108"/>
        <v>970743.90762881597</v>
      </c>
      <c r="P413" s="573">
        <f t="shared" ca="1" si="108"/>
        <v>991717.98897155665</v>
      </c>
      <c r="Q413" s="573">
        <f t="shared" ca="1" si="108"/>
        <v>1013111.5519411539</v>
      </c>
      <c r="R413" s="573">
        <f t="shared" ca="1" si="108"/>
        <v>1034932.9861701425</v>
      </c>
      <c r="S413" s="573">
        <f t="shared" ca="1" si="108"/>
        <v>1057190.8490837109</v>
      </c>
      <c r="T413" s="573">
        <f t="shared" ca="1" si="108"/>
        <v>1079893.8692555507</v>
      </c>
      <c r="U413" s="573">
        <f t="shared" ca="1" si="108"/>
        <v>1103050.9498308268</v>
      </c>
      <c r="V413" s="573">
        <f t="shared" ca="1" si="108"/>
        <v>1126671.1720176092</v>
      </c>
      <c r="W413" s="573">
        <f t="shared" ca="1" si="108"/>
        <v>1150763.798648126</v>
      </c>
      <c r="X413" s="573">
        <f t="shared" ca="1" si="108"/>
        <v>1175338.2778112539</v>
      </c>
      <c r="Y413" s="573">
        <f t="shared" ca="1" si="108"/>
        <v>1200404.2465576446</v>
      </c>
      <c r="Z413" s="573">
        <f t="shared" ca="1" si="108"/>
        <v>1225971.5346789639</v>
      </c>
      <c r="AA413" s="573">
        <f t="shared" ca="1" si="108"/>
        <v>1252050.168562708</v>
      </c>
    </row>
    <row r="414" spans="1:27" hidden="1" x14ac:dyDescent="0.45">
      <c r="A414" s="565"/>
      <c r="D414" s="595" t="s">
        <v>52</v>
      </c>
      <c r="E414" s="596"/>
      <c r="F414" s="595"/>
      <c r="G414" s="597">
        <v>5.6843418860808015E-14</v>
      </c>
      <c r="H414" s="597">
        <v>5.6843418860808015E-14</v>
      </c>
      <c r="I414" s="597">
        <v>2.8421709430404007E-14</v>
      </c>
      <c r="J414" s="597">
        <v>5.6843418860808015E-14</v>
      </c>
      <c r="K414" s="597">
        <v>0</v>
      </c>
      <c r="L414" s="597">
        <v>0</v>
      </c>
      <c r="M414" s="597">
        <v>0</v>
      </c>
      <c r="N414" s="597">
        <v>0</v>
      </c>
      <c r="O414" s="597">
        <v>0</v>
      </c>
      <c r="P414" s="597">
        <v>0</v>
      </c>
      <c r="Q414" s="597">
        <v>0</v>
      </c>
      <c r="R414" s="597">
        <v>0</v>
      </c>
      <c r="S414" s="597">
        <v>1</v>
      </c>
      <c r="T414" s="597">
        <v>2</v>
      </c>
      <c r="U414" s="597">
        <v>3</v>
      </c>
      <c r="V414" s="597">
        <v>4</v>
      </c>
      <c r="W414" s="597">
        <v>5</v>
      </c>
      <c r="X414" s="597">
        <v>6</v>
      </c>
      <c r="Y414" s="597">
        <v>7</v>
      </c>
      <c r="Z414" s="597">
        <v>8</v>
      </c>
      <c r="AA414" s="597">
        <v>9</v>
      </c>
    </row>
    <row r="415" spans="1:27" hidden="1" x14ac:dyDescent="0.45"/>
    <row r="416" spans="1:27" hidden="1" x14ac:dyDescent="0.45">
      <c r="B416" s="552" t="s">
        <v>88</v>
      </c>
      <c r="C416" s="552"/>
      <c r="G416" s="568"/>
    </row>
    <row r="417" spans="2:27" hidden="1" x14ac:dyDescent="0.45">
      <c r="B417" s="552"/>
      <c r="C417" s="552"/>
      <c r="D417" s="552" t="s">
        <v>89</v>
      </c>
      <c r="G417" s="568"/>
    </row>
    <row r="418" spans="2:27" hidden="1" x14ac:dyDescent="0.45">
      <c r="B418" s="552"/>
      <c r="C418" s="552"/>
      <c r="D418" s="549" t="s">
        <v>90</v>
      </c>
      <c r="E418" s="556" t="s">
        <v>91</v>
      </c>
      <c r="F418" s="598">
        <v>1</v>
      </c>
    </row>
    <row r="419" spans="2:27" hidden="1" x14ac:dyDescent="0.45">
      <c r="B419" s="552"/>
      <c r="C419" s="552"/>
      <c r="D419" s="549" t="s">
        <v>92</v>
      </c>
      <c r="E419" s="556" t="s">
        <v>93</v>
      </c>
      <c r="F419" s="599">
        <f>20-F418</f>
        <v>19</v>
      </c>
    </row>
    <row r="420" spans="2:27" hidden="1" x14ac:dyDescent="0.45">
      <c r="B420" s="552"/>
      <c r="C420" s="552"/>
      <c r="D420" s="549" t="s">
        <v>382</v>
      </c>
      <c r="F420" s="598">
        <v>2037</v>
      </c>
    </row>
    <row r="421" spans="2:27" hidden="1" x14ac:dyDescent="0.45">
      <c r="B421" s="552"/>
      <c r="C421" s="552"/>
      <c r="D421" s="552" t="s">
        <v>95</v>
      </c>
      <c r="E421" s="549"/>
      <c r="G421" s="549" t="s">
        <v>94</v>
      </c>
      <c r="H421" s="555"/>
      <c r="I421" s="555"/>
      <c r="J421" s="555"/>
      <c r="K421" s="555"/>
      <c r="L421" s="555"/>
      <c r="M421" s="555"/>
      <c r="N421" s="555"/>
      <c r="O421" s="555"/>
      <c r="P421" s="555"/>
      <c r="Q421" s="555"/>
      <c r="R421" s="555"/>
      <c r="S421" s="555"/>
      <c r="T421" s="555"/>
      <c r="U421" s="555"/>
      <c r="V421" s="555"/>
      <c r="W421" s="555"/>
      <c r="X421" s="555"/>
      <c r="Y421" s="555"/>
      <c r="Z421" s="555"/>
      <c r="AA421" s="555"/>
    </row>
    <row r="422" spans="2:27" hidden="1" x14ac:dyDescent="0.45">
      <c r="B422" s="552"/>
      <c r="C422" s="552"/>
      <c r="D422" s="600" t="s">
        <v>96</v>
      </c>
      <c r="E422" s="601">
        <v>0.15</v>
      </c>
      <c r="F422" s="577">
        <f ca="1">(NPV(E422,(OFFSET(G401,,$F$418):OFFSET(G401,,$F$418+F419)))*((1+E422))+OFFSET($F$309,,$F$418))</f>
        <v>16243658.526131678</v>
      </c>
      <c r="G422" s="577">
        <f ca="1">NPV($E422,H401:OFFSET(H401,,$F$420-G10))*((1+$E422))+G309</f>
        <v>15516547.985623756</v>
      </c>
      <c r="H422" s="577">
        <f ca="1">NPV($E422,I401:OFFSET(I401,,$F$420-H10))*((1+$E422))+H309</f>
        <v>17481249.523294434</v>
      </c>
      <c r="I422" s="577">
        <f ca="1">NPV($E422,J401:OFFSET(J401,,$F$420-I10))*((1+$E422))+I309</f>
        <v>19487501.027263917</v>
      </c>
      <c r="J422" s="577">
        <f ca="1">NPV($E422,K401:OFFSET(K401,,$F$420-J10))*((1+$E422))+J309</f>
        <v>21602777.109719124</v>
      </c>
      <c r="K422" s="577">
        <f ca="1">NPV($E422,L401:OFFSET(L401,,$F$420-K10))*((1+$E422))+K309</f>
        <v>23781356.416200094</v>
      </c>
      <c r="L422" s="577">
        <f ca="1">NPV($E422,M401:OFFSET(M401,,$F$420-L10))*((1+$E422))+L309</f>
        <v>26024926.932223406</v>
      </c>
      <c r="M422" s="577">
        <f ca="1">NPV($E422,N401:OFFSET(N401,,$F$420-M10))*((1+$E422))+M309</f>
        <v>28328093.559841692</v>
      </c>
      <c r="N422" s="577">
        <f ca="1">NPV($E422,O401:OFFSET(O401,,$F$420-N10))*((1+$E422))+N309</f>
        <v>30683868.309288673</v>
      </c>
      <c r="O422" s="577">
        <f ca="1">NPV($E422,P401:OFFSET(P401,,$F$420-O10))*((1+$E422))+O309</f>
        <v>33083455.795517169</v>
      </c>
      <c r="P422" s="577">
        <f ca="1">NPV($E422,Q401:OFFSET(Q401,,$F$420-P10))*((1+$E422))+P309</f>
        <v>35515948.798651606</v>
      </c>
      <c r="Q422" s="577">
        <f ca="1">NPV($E422,R401:OFFSET(R401,,$F$420-Q10))*((1+$E422))+Q309</f>
        <v>37967976.205515161</v>
      </c>
      <c r="R422" s="577">
        <f ca="1">NPV($E422,S401:OFFSET(S401,,$F$420-R10))*((1+$E422))+R309</f>
        <v>40423296.608970016</v>
      </c>
      <c r="S422" s="577">
        <f ca="1">NPV($E422,T401:OFFSET(T401,,$F$420-S10))*((1+$E422))+S309</f>
        <v>42862329.35243611</v>
      </c>
      <c r="T422" s="577">
        <f ca="1">NPV($E422,U401:OFFSET(U401,,$F$420-T10))*((1+$E422))+T309</f>
        <v>45261613.568143152</v>
      </c>
      <c r="U422" s="577">
        <f ca="1">NPV($E422,V401:OFFSET(V401,,$F$420-U10))*((1+$E422))+U309</f>
        <v>47593184.337011382</v>
      </c>
      <c r="V422" s="577">
        <f ca="1">NPV($E422,W401:OFFSET(W401,,$F$420-V10))*((1+$E422))+V309</f>
        <v>49823853.464212403</v>
      </c>
      <c r="W422" s="577">
        <f ca="1">NPV($E422,X401:OFFSET(X401,,$F$420-W10))*((1+$E422))+W309</f>
        <v>51914380.485410504</v>
      </c>
      <c r="X422" s="577">
        <f ca="1">NPV($E422,Y401:OFFSET(Y401,,$F$420-X10))*((1+$E422))+X309</f>
        <v>59236668.153429121</v>
      </c>
      <c r="Y422" s="577">
        <f ca="1">NPV($E422,Z401:OFFSET(Z401,,$F$420-Y10))*((1+$E422))+Y309</f>
        <v>66524292.978041328</v>
      </c>
      <c r="Z422" s="577">
        <f ca="1">NPV($E422,AA401:OFFSET(AA401,,$F$420-Z10))*((1+$E422))+Z309</f>
        <v>73821892.340209767</v>
      </c>
      <c r="AA422" s="577">
        <f ca="1">NPV($E422,AB401:OFFSET(AB401,,$F$420-AA10))*((1+$E422))+AA309</f>
        <v>79397078.752325222</v>
      </c>
    </row>
    <row r="423" spans="2:27" hidden="1" x14ac:dyDescent="0.45">
      <c r="B423" s="552"/>
      <c r="C423" s="552"/>
      <c r="D423" s="600" t="s">
        <v>97</v>
      </c>
      <c r="E423" s="602">
        <v>5</v>
      </c>
      <c r="F423" s="577">
        <f ca="1">IF((F$418+F$419)&gt;$AA$9,"NA",OFFSET(F423,,F418))</f>
        <v>-10047225.344995083</v>
      </c>
      <c r="G423" s="577">
        <f t="shared" ref="G423:AA423" ca="1" si="109">$E423*(G281+G275)+G309</f>
        <v>-10047225.344995083</v>
      </c>
      <c r="H423" s="577">
        <f t="shared" ca="1" si="109"/>
        <v>16080071.444893667</v>
      </c>
      <c r="I423" s="577">
        <f t="shared" ca="1" si="109"/>
        <v>19159739.52136711</v>
      </c>
      <c r="J423" s="577">
        <f t="shared" ca="1" si="109"/>
        <v>21692751.45711527</v>
      </c>
      <c r="K423" s="577">
        <f t="shared" ca="1" si="109"/>
        <v>24359271.912797987</v>
      </c>
      <c r="L423" s="577">
        <f t="shared" ca="1" si="109"/>
        <v>27171670.566676453</v>
      </c>
      <c r="M423" s="577">
        <f t="shared" ca="1" si="109"/>
        <v>30136839.28542681</v>
      </c>
      <c r="N423" s="577">
        <f t="shared" ca="1" si="109"/>
        <v>33261923.166926257</v>
      </c>
      <c r="O423" s="577">
        <f t="shared" ca="1" si="109"/>
        <v>36554383.016810678</v>
      </c>
      <c r="P423" s="577">
        <f t="shared" ca="1" si="109"/>
        <v>40022009.437180966</v>
      </c>
      <c r="Q423" s="577">
        <f t="shared" ca="1" si="109"/>
        <v>43672937.076877892</v>
      </c>
      <c r="R423" s="577">
        <f t="shared" ca="1" si="109"/>
        <v>47515659.487163499</v>
      </c>
      <c r="S423" s="577">
        <f t="shared" ca="1" si="109"/>
        <v>51559044.612338811</v>
      </c>
      <c r="T423" s="577">
        <f t="shared" ca="1" si="109"/>
        <v>55812350.942342348</v>
      </c>
      <c r="U423" s="577">
        <f t="shared" ca="1" si="109"/>
        <v>60285244.35548909</v>
      </c>
      <c r="V423" s="577">
        <f t="shared" ca="1" si="109"/>
        <v>64987815.680704676</v>
      </c>
      <c r="W423" s="577">
        <f t="shared" ca="1" si="109"/>
        <v>69930599.009855688</v>
      </c>
      <c r="X423" s="577">
        <f t="shared" ca="1" si="109"/>
        <v>75124590.792075574</v>
      </c>
      <c r="Y423" s="577">
        <f t="shared" ca="1" si="109"/>
        <v>80581269.743339643</v>
      </c>
      <c r="Z423" s="577">
        <f t="shared" ca="1" si="109"/>
        <v>86312617.605953723</v>
      </c>
      <c r="AA423" s="577">
        <f t="shared" ca="1" si="109"/>
        <v>92331140.794092864</v>
      </c>
    </row>
    <row r="424" spans="2:27" hidden="1" x14ac:dyDescent="0.45">
      <c r="B424" s="552"/>
      <c r="C424" s="552"/>
      <c r="D424" s="552"/>
      <c r="E424" s="603"/>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row>
    <row r="425" spans="2:27" hidden="1" x14ac:dyDescent="0.45">
      <c r="B425" s="552"/>
      <c r="C425" s="552"/>
      <c r="D425" s="549" t="s">
        <v>98</v>
      </c>
      <c r="E425" s="567"/>
      <c r="F425" s="604" t="s">
        <v>99</v>
      </c>
      <c r="G425" s="552" t="s">
        <v>100</v>
      </c>
      <c r="N425" s="555"/>
      <c r="O425" s="555"/>
    </row>
    <row r="426" spans="2:27" hidden="1" x14ac:dyDescent="0.45">
      <c r="B426" s="552"/>
      <c r="C426" s="552"/>
      <c r="D426" s="600" t="s">
        <v>101</v>
      </c>
      <c r="E426" s="567"/>
      <c r="F426" s="605">
        <f ca="1">OFFSET($F$323,,$F$418)</f>
        <v>0</v>
      </c>
      <c r="G426" s="605">
        <f ca="1">OFFSET($F$323,,$F$418)</f>
        <v>0</v>
      </c>
    </row>
    <row r="427" spans="2:27" hidden="1" x14ac:dyDescent="0.45">
      <c r="B427" s="552"/>
      <c r="C427" s="552"/>
      <c r="D427" s="600" t="s">
        <v>102</v>
      </c>
      <c r="E427" s="567"/>
      <c r="F427" s="606"/>
    </row>
    <row r="428" spans="2:27" hidden="1" x14ac:dyDescent="0.45">
      <c r="B428" s="552"/>
      <c r="C428" s="552"/>
      <c r="D428" s="607" t="s">
        <v>103</v>
      </c>
      <c r="E428" s="598" t="s">
        <v>104</v>
      </c>
      <c r="F428" s="605">
        <f>IF($E428="Y",SUM($G$370:$H$370),0)</f>
        <v>0</v>
      </c>
      <c r="G428" s="605">
        <f>IF($E428="Y",SUM($G$379:$H$379),0)</f>
        <v>0</v>
      </c>
    </row>
    <row r="429" spans="2:27" hidden="1" x14ac:dyDescent="0.45">
      <c r="B429" s="552"/>
      <c r="C429" s="552"/>
      <c r="D429" s="607" t="s">
        <v>28</v>
      </c>
      <c r="E429" s="608">
        <v>0.05</v>
      </c>
      <c r="F429" s="605">
        <f ca="1">OFFSET($F$315,,$F$428)</f>
        <v>0</v>
      </c>
      <c r="G429" s="605">
        <f ca="1">OFFSET($F$330,,$F$428)</f>
        <v>0</v>
      </c>
      <c r="H429" s="561"/>
    </row>
    <row r="430" spans="2:27" hidden="1" x14ac:dyDescent="0.45">
      <c r="B430" s="552"/>
      <c r="C430" s="552"/>
      <c r="D430" s="607" t="s">
        <v>105</v>
      </c>
      <c r="E430" s="608">
        <v>0</v>
      </c>
      <c r="F430" s="605">
        <f ca="1">(F422-F426-F428-F429)*$E430</f>
        <v>0</v>
      </c>
      <c r="G430" s="605">
        <f ca="1">(G422-G426-G428-G429)*$E430</f>
        <v>0</v>
      </c>
      <c r="H430" s="561"/>
    </row>
    <row r="431" spans="2:27" hidden="1" x14ac:dyDescent="0.45">
      <c r="B431" s="552"/>
      <c r="C431" s="552"/>
      <c r="D431" s="607"/>
      <c r="E431" s="609"/>
      <c r="F431" s="605" t="s">
        <v>106</v>
      </c>
      <c r="G431" s="605" t="s">
        <v>106</v>
      </c>
      <c r="H431" s="561"/>
    </row>
    <row r="432" spans="2:27" hidden="1" x14ac:dyDescent="0.45">
      <c r="B432" s="552"/>
      <c r="C432" s="552"/>
      <c r="D432" s="607" t="s">
        <v>107</v>
      </c>
      <c r="E432" s="609"/>
      <c r="F432" s="605">
        <f ca="1">SUM(F427:F431)</f>
        <v>0</v>
      </c>
      <c r="G432" s="605">
        <f ca="1">SUM(G427:G431)</f>
        <v>0</v>
      </c>
      <c r="H432" s="561"/>
    </row>
    <row r="433" spans="2:27" hidden="1" x14ac:dyDescent="0.45">
      <c r="B433" s="552"/>
      <c r="C433" s="552"/>
      <c r="D433" s="607"/>
      <c r="E433" s="609"/>
      <c r="F433" s="605"/>
      <c r="G433" s="605"/>
      <c r="H433" s="561"/>
    </row>
    <row r="434" spans="2:27" hidden="1" x14ac:dyDescent="0.45">
      <c r="B434" s="552"/>
      <c r="C434" s="552"/>
      <c r="D434" s="607"/>
      <c r="E434" s="557" t="s">
        <v>105</v>
      </c>
      <c r="F434" s="610" t="s">
        <v>186</v>
      </c>
      <c r="G434" s="605"/>
      <c r="H434" s="561"/>
    </row>
    <row r="435" spans="2:27" hidden="1" x14ac:dyDescent="0.45">
      <c r="B435" s="552"/>
      <c r="C435" s="552"/>
      <c r="D435" s="600" t="s">
        <v>172</v>
      </c>
      <c r="E435" s="611">
        <v>0.15</v>
      </c>
      <c r="F435" s="611">
        <v>0</v>
      </c>
      <c r="H435" s="578"/>
    </row>
    <row r="436" spans="2:27" hidden="1" x14ac:dyDescent="0.45">
      <c r="B436" s="552"/>
      <c r="C436" s="552"/>
      <c r="D436" s="600" t="s">
        <v>173</v>
      </c>
      <c r="E436" s="611">
        <v>0.25</v>
      </c>
      <c r="F436" s="611">
        <v>0.15</v>
      </c>
      <c r="K436" s="612"/>
      <c r="L436" s="613"/>
      <c r="M436" s="613"/>
      <c r="N436" s="613"/>
    </row>
    <row r="437" spans="2:27" hidden="1" x14ac:dyDescent="0.45">
      <c r="B437" s="552"/>
      <c r="C437" s="552"/>
      <c r="D437" s="600" t="s">
        <v>174</v>
      </c>
      <c r="E437" s="608">
        <f>(1-$E435-$E436)</f>
        <v>0.6</v>
      </c>
      <c r="F437" s="608">
        <f>(1-$F435-$F436)</f>
        <v>0.85</v>
      </c>
      <c r="H437" s="561"/>
    </row>
    <row r="438" spans="2:27" hidden="1" x14ac:dyDescent="0.45">
      <c r="B438" s="552"/>
      <c r="C438" s="552"/>
      <c r="D438" s="600" t="s">
        <v>52</v>
      </c>
      <c r="E438" s="567"/>
      <c r="H438" s="561"/>
    </row>
    <row r="439" spans="2:27" hidden="1" x14ac:dyDescent="0.45">
      <c r="B439" s="552"/>
      <c r="C439" s="552" t="s">
        <v>193</v>
      </c>
      <c r="D439" s="600"/>
      <c r="E439" s="567"/>
      <c r="F439" s="606"/>
      <c r="G439" s="606"/>
      <c r="H439" s="561"/>
    </row>
    <row r="440" spans="2:27" hidden="1" x14ac:dyDescent="0.45">
      <c r="B440" s="552"/>
      <c r="C440" s="552"/>
      <c r="D440" s="552" t="s">
        <v>184</v>
      </c>
      <c r="E440" s="614">
        <f ca="1">E437*F422</f>
        <v>9746195.115679007</v>
      </c>
      <c r="F440" s="606"/>
      <c r="G440" s="606"/>
      <c r="H440" s="561"/>
    </row>
    <row r="441" spans="2:27" hidden="1" x14ac:dyDescent="0.45">
      <c r="B441" s="552"/>
      <c r="C441" s="552"/>
      <c r="D441" s="552" t="s">
        <v>185</v>
      </c>
      <c r="E441" s="614">
        <f ca="1">E437*F423</f>
        <v>-6028335.20699705</v>
      </c>
      <c r="F441" s="606"/>
      <c r="G441" s="606"/>
      <c r="H441" s="561"/>
    </row>
    <row r="442" spans="2:27" hidden="1" x14ac:dyDescent="0.45">
      <c r="B442" s="552"/>
      <c r="C442" s="552"/>
      <c r="D442" s="600"/>
      <c r="E442" s="567"/>
      <c r="F442" s="606"/>
      <c r="G442" s="606"/>
      <c r="H442" s="561"/>
    </row>
    <row r="443" spans="2:27" hidden="1" x14ac:dyDescent="0.45">
      <c r="C443" s="552" t="s">
        <v>194</v>
      </c>
      <c r="D443" s="600"/>
      <c r="E443" s="567"/>
      <c r="F443" s="606"/>
      <c r="G443" s="606"/>
      <c r="H443" s="561"/>
    </row>
    <row r="444" spans="2:27" hidden="1" x14ac:dyDescent="0.45">
      <c r="B444" s="552"/>
      <c r="D444" s="552" t="s">
        <v>184</v>
      </c>
      <c r="E444" s="567"/>
      <c r="F444" s="567">
        <v>0</v>
      </c>
      <c r="G444" s="567">
        <v>1</v>
      </c>
      <c r="H444" s="567">
        <v>2</v>
      </c>
      <c r="I444" s="567">
        <v>3</v>
      </c>
      <c r="J444" s="567">
        <v>4</v>
      </c>
      <c r="K444" s="567">
        <v>5</v>
      </c>
      <c r="L444" s="567">
        <v>6</v>
      </c>
      <c r="M444" s="567">
        <v>7</v>
      </c>
      <c r="N444" s="567">
        <v>8</v>
      </c>
      <c r="O444" s="567">
        <v>9</v>
      </c>
      <c r="P444" s="567">
        <v>10</v>
      </c>
      <c r="Q444" s="567">
        <v>11</v>
      </c>
      <c r="R444" s="567">
        <v>12</v>
      </c>
      <c r="S444" s="567">
        <v>13</v>
      </c>
      <c r="T444" s="567">
        <v>14</v>
      </c>
      <c r="U444" s="567">
        <v>15</v>
      </c>
      <c r="V444" s="567">
        <v>16</v>
      </c>
      <c r="W444" s="567">
        <v>17</v>
      </c>
      <c r="X444" s="567">
        <v>18</v>
      </c>
      <c r="Y444" s="567">
        <v>19</v>
      </c>
      <c r="Z444" s="567">
        <v>20</v>
      </c>
      <c r="AA444" s="567">
        <v>21</v>
      </c>
    </row>
    <row r="445" spans="2:27" hidden="1" x14ac:dyDescent="0.45">
      <c r="B445" s="552"/>
      <c r="D445" s="600" t="s">
        <v>182</v>
      </c>
      <c r="E445" s="549"/>
      <c r="G445" s="615">
        <f t="shared" ref="G445:AA445" ca="1" si="110">IF(G$10=$G$10+$F$418-1,$E$436*($F$422-$F$426-$F$432),0)</f>
        <v>4060914.6315329196</v>
      </c>
      <c r="H445" s="615">
        <f t="shared" si="110"/>
        <v>0</v>
      </c>
      <c r="I445" s="615">
        <f t="shared" si="110"/>
        <v>0</v>
      </c>
      <c r="J445" s="615">
        <f t="shared" si="110"/>
        <v>0</v>
      </c>
      <c r="K445" s="615">
        <f t="shared" si="110"/>
        <v>0</v>
      </c>
      <c r="L445" s="615">
        <f t="shared" si="110"/>
        <v>0</v>
      </c>
      <c r="M445" s="615">
        <f t="shared" si="110"/>
        <v>0</v>
      </c>
      <c r="N445" s="615">
        <f t="shared" si="110"/>
        <v>0</v>
      </c>
      <c r="O445" s="615">
        <f t="shared" si="110"/>
        <v>0</v>
      </c>
      <c r="P445" s="615">
        <f t="shared" si="110"/>
        <v>0</v>
      </c>
      <c r="Q445" s="615">
        <f t="shared" si="110"/>
        <v>0</v>
      </c>
      <c r="R445" s="615">
        <f t="shared" si="110"/>
        <v>0</v>
      </c>
      <c r="S445" s="615">
        <f t="shared" si="110"/>
        <v>0</v>
      </c>
      <c r="T445" s="615">
        <f t="shared" si="110"/>
        <v>0</v>
      </c>
      <c r="U445" s="615">
        <f t="shared" si="110"/>
        <v>0</v>
      </c>
      <c r="V445" s="615">
        <f t="shared" si="110"/>
        <v>0</v>
      </c>
      <c r="W445" s="615">
        <f t="shared" si="110"/>
        <v>0</v>
      </c>
      <c r="X445" s="615">
        <f t="shared" si="110"/>
        <v>0</v>
      </c>
      <c r="Y445" s="615">
        <f t="shared" si="110"/>
        <v>0</v>
      </c>
      <c r="Z445" s="615">
        <f t="shared" si="110"/>
        <v>0</v>
      </c>
      <c r="AA445" s="615">
        <f t="shared" si="110"/>
        <v>0</v>
      </c>
    </row>
    <row r="446" spans="2:27" hidden="1" x14ac:dyDescent="0.45">
      <c r="B446" s="552"/>
      <c r="D446" s="600" t="s">
        <v>190</v>
      </c>
      <c r="E446" s="549"/>
      <c r="G446" s="615">
        <f t="shared" ref="G446:AA446" si="111">-G364</f>
        <v>0</v>
      </c>
      <c r="H446" s="615">
        <f t="shared" si="111"/>
        <v>0</v>
      </c>
      <c r="I446" s="615">
        <f t="shared" si="111"/>
        <v>0</v>
      </c>
      <c r="J446" s="615">
        <f t="shared" si="111"/>
        <v>0</v>
      </c>
      <c r="K446" s="615">
        <f t="shared" si="111"/>
        <v>0</v>
      </c>
      <c r="L446" s="615">
        <f t="shared" si="111"/>
        <v>0</v>
      </c>
      <c r="M446" s="615">
        <f t="shared" si="111"/>
        <v>0</v>
      </c>
      <c r="N446" s="615">
        <f t="shared" si="111"/>
        <v>0</v>
      </c>
      <c r="O446" s="615">
        <f t="shared" si="111"/>
        <v>0</v>
      </c>
      <c r="P446" s="615">
        <f t="shared" si="111"/>
        <v>0</v>
      </c>
      <c r="Q446" s="615">
        <f t="shared" si="111"/>
        <v>0</v>
      </c>
      <c r="R446" s="615">
        <f t="shared" si="111"/>
        <v>0</v>
      </c>
      <c r="S446" s="615">
        <f t="shared" si="111"/>
        <v>0</v>
      </c>
      <c r="T446" s="615">
        <f t="shared" si="111"/>
        <v>0</v>
      </c>
      <c r="U446" s="615">
        <f t="shared" si="111"/>
        <v>0</v>
      </c>
      <c r="V446" s="615">
        <f t="shared" si="111"/>
        <v>0</v>
      </c>
      <c r="W446" s="615">
        <f t="shared" si="111"/>
        <v>0</v>
      </c>
      <c r="X446" s="615">
        <f t="shared" si="111"/>
        <v>0</v>
      </c>
      <c r="Y446" s="615">
        <f t="shared" si="111"/>
        <v>0</v>
      </c>
      <c r="Z446" s="615">
        <f t="shared" si="111"/>
        <v>0</v>
      </c>
      <c r="AA446" s="615">
        <f t="shared" si="111"/>
        <v>0</v>
      </c>
    </row>
    <row r="447" spans="2:27" hidden="1" x14ac:dyDescent="0.45">
      <c r="B447" s="552"/>
      <c r="D447" s="600" t="s">
        <v>191</v>
      </c>
      <c r="E447" s="549"/>
      <c r="G447" s="615">
        <f t="shared" ref="G447:AA447" si="112">G14*(F319+G364/2)</f>
        <v>0</v>
      </c>
      <c r="H447" s="615">
        <f t="shared" si="112"/>
        <v>0</v>
      </c>
      <c r="I447" s="615">
        <f t="shared" si="112"/>
        <v>0</v>
      </c>
      <c r="J447" s="615">
        <f t="shared" si="112"/>
        <v>0</v>
      </c>
      <c r="K447" s="615">
        <f t="shared" si="112"/>
        <v>0</v>
      </c>
      <c r="L447" s="615">
        <f t="shared" si="112"/>
        <v>0</v>
      </c>
      <c r="M447" s="615">
        <f t="shared" si="112"/>
        <v>0</v>
      </c>
      <c r="N447" s="615">
        <f t="shared" si="112"/>
        <v>0</v>
      </c>
      <c r="O447" s="615">
        <f t="shared" si="112"/>
        <v>0</v>
      </c>
      <c r="P447" s="615">
        <f t="shared" si="112"/>
        <v>0</v>
      </c>
      <c r="Q447" s="615">
        <f t="shared" si="112"/>
        <v>0</v>
      </c>
      <c r="R447" s="615">
        <f t="shared" si="112"/>
        <v>0</v>
      </c>
      <c r="S447" s="615">
        <f t="shared" si="112"/>
        <v>0</v>
      </c>
      <c r="T447" s="615">
        <f t="shared" si="112"/>
        <v>0</v>
      </c>
      <c r="U447" s="615">
        <f t="shared" si="112"/>
        <v>0</v>
      </c>
      <c r="V447" s="615">
        <f t="shared" si="112"/>
        <v>0</v>
      </c>
      <c r="W447" s="615">
        <f t="shared" si="112"/>
        <v>0</v>
      </c>
      <c r="X447" s="615">
        <f t="shared" si="112"/>
        <v>0</v>
      </c>
      <c r="Y447" s="615">
        <f t="shared" si="112"/>
        <v>0</v>
      </c>
      <c r="Z447" s="615">
        <f t="shared" si="112"/>
        <v>0</v>
      </c>
      <c r="AA447" s="615">
        <f t="shared" si="112"/>
        <v>0</v>
      </c>
    </row>
    <row r="448" spans="2:27" hidden="1" x14ac:dyDescent="0.45">
      <c r="B448" s="552"/>
      <c r="D448" s="600" t="s">
        <v>192</v>
      </c>
      <c r="E448" s="549"/>
      <c r="G448" s="615">
        <f t="shared" ref="G448:AA448" ca="1" si="113">(G281+G275)*IF(OR(F319&gt;0,G319&gt;0),$F$436,0)</f>
        <v>0</v>
      </c>
      <c r="H448" s="615">
        <f t="shared" ca="1" si="113"/>
        <v>0</v>
      </c>
      <c r="I448" s="615">
        <f t="shared" ca="1" si="113"/>
        <v>0</v>
      </c>
      <c r="J448" s="615">
        <f t="shared" ca="1" si="113"/>
        <v>0</v>
      </c>
      <c r="K448" s="615">
        <f t="shared" ca="1" si="113"/>
        <v>0</v>
      </c>
      <c r="L448" s="615">
        <f t="shared" ca="1" si="113"/>
        <v>0</v>
      </c>
      <c r="M448" s="615">
        <f t="shared" ca="1" si="113"/>
        <v>0</v>
      </c>
      <c r="N448" s="615">
        <f t="shared" ca="1" si="113"/>
        <v>0</v>
      </c>
      <c r="O448" s="615">
        <f t="shared" ca="1" si="113"/>
        <v>0</v>
      </c>
      <c r="P448" s="615">
        <f t="shared" ca="1" si="113"/>
        <v>0</v>
      </c>
      <c r="Q448" s="615">
        <f t="shared" ca="1" si="113"/>
        <v>0</v>
      </c>
      <c r="R448" s="615">
        <f t="shared" ca="1" si="113"/>
        <v>0</v>
      </c>
      <c r="S448" s="615">
        <f t="shared" ca="1" si="113"/>
        <v>0</v>
      </c>
      <c r="T448" s="615">
        <f t="shared" ca="1" si="113"/>
        <v>0</v>
      </c>
      <c r="U448" s="615">
        <f t="shared" ca="1" si="113"/>
        <v>0</v>
      </c>
      <c r="V448" s="615">
        <f t="shared" ca="1" si="113"/>
        <v>0</v>
      </c>
      <c r="W448" s="615">
        <f t="shared" ca="1" si="113"/>
        <v>0</v>
      </c>
      <c r="X448" s="615">
        <f t="shared" ca="1" si="113"/>
        <v>0</v>
      </c>
      <c r="Y448" s="615">
        <f t="shared" ca="1" si="113"/>
        <v>0</v>
      </c>
      <c r="Z448" s="615">
        <f t="shared" ca="1" si="113"/>
        <v>0</v>
      </c>
      <c r="AA448" s="615">
        <f t="shared" ca="1" si="113"/>
        <v>0</v>
      </c>
    </row>
    <row r="449" spans="2:27" ht="14.65" hidden="1" thickBot="1" x14ac:dyDescent="0.5">
      <c r="E449" s="549"/>
      <c r="G449" s="575" t="s">
        <v>38</v>
      </c>
      <c r="H449" s="575" t="s">
        <v>38</v>
      </c>
      <c r="I449" s="575" t="s">
        <v>38</v>
      </c>
      <c r="J449" s="575" t="s">
        <v>38</v>
      </c>
      <c r="K449" s="575" t="s">
        <v>38</v>
      </c>
      <c r="L449" s="575" t="s">
        <v>38</v>
      </c>
      <c r="M449" s="575" t="s">
        <v>38</v>
      </c>
      <c r="N449" s="575" t="s">
        <v>38</v>
      </c>
      <c r="O449" s="575" t="s">
        <v>38</v>
      </c>
      <c r="P449" s="575" t="s">
        <v>38</v>
      </c>
      <c r="Q449" s="575" t="s">
        <v>38</v>
      </c>
      <c r="R449" s="575" t="s">
        <v>38</v>
      </c>
      <c r="S449" s="575" t="s">
        <v>38</v>
      </c>
      <c r="T449" s="575" t="s">
        <v>38</v>
      </c>
      <c r="U449" s="575" t="s">
        <v>38</v>
      </c>
      <c r="V449" s="575" t="s">
        <v>38</v>
      </c>
      <c r="W449" s="575" t="s">
        <v>38</v>
      </c>
      <c r="X449" s="575" t="s">
        <v>38</v>
      </c>
      <c r="Y449" s="575" t="s">
        <v>38</v>
      </c>
      <c r="Z449" s="575" t="s">
        <v>38</v>
      </c>
      <c r="AA449" s="575" t="s">
        <v>38</v>
      </c>
    </row>
    <row r="450" spans="2:27" ht="14.65" hidden="1" thickBot="1" x14ac:dyDescent="0.5">
      <c r="B450" s="552"/>
      <c r="D450" s="600" t="s">
        <v>181</v>
      </c>
      <c r="E450" s="616" t="e">
        <f ca="1">IRR($G450:$U450)</f>
        <v>#NUM!</v>
      </c>
      <c r="G450" s="615">
        <f t="shared" ref="G450:AA450" ca="1" si="114">SUM(G445:G448)</f>
        <v>4060914.6315329196</v>
      </c>
      <c r="H450" s="615">
        <f t="shared" ca="1" si="114"/>
        <v>0</v>
      </c>
      <c r="I450" s="615">
        <f t="shared" ca="1" si="114"/>
        <v>0</v>
      </c>
      <c r="J450" s="615">
        <f t="shared" ca="1" si="114"/>
        <v>0</v>
      </c>
      <c r="K450" s="615">
        <f t="shared" ca="1" si="114"/>
        <v>0</v>
      </c>
      <c r="L450" s="615">
        <f t="shared" ca="1" si="114"/>
        <v>0</v>
      </c>
      <c r="M450" s="615">
        <f t="shared" ca="1" si="114"/>
        <v>0</v>
      </c>
      <c r="N450" s="615">
        <f t="shared" ca="1" si="114"/>
        <v>0</v>
      </c>
      <c r="O450" s="615">
        <f t="shared" ca="1" si="114"/>
        <v>0</v>
      </c>
      <c r="P450" s="615">
        <f t="shared" ca="1" si="114"/>
        <v>0</v>
      </c>
      <c r="Q450" s="615">
        <f t="shared" ca="1" si="114"/>
        <v>0</v>
      </c>
      <c r="R450" s="615">
        <f t="shared" ca="1" si="114"/>
        <v>0</v>
      </c>
      <c r="S450" s="615">
        <f t="shared" ca="1" si="114"/>
        <v>0</v>
      </c>
      <c r="T450" s="615">
        <f t="shared" ca="1" si="114"/>
        <v>0</v>
      </c>
      <c r="U450" s="615">
        <f t="shared" ca="1" si="114"/>
        <v>0</v>
      </c>
      <c r="V450" s="615">
        <f t="shared" ca="1" si="114"/>
        <v>0</v>
      </c>
      <c r="W450" s="615">
        <f t="shared" ca="1" si="114"/>
        <v>0</v>
      </c>
      <c r="X450" s="615">
        <f t="shared" ca="1" si="114"/>
        <v>0</v>
      </c>
      <c r="Y450" s="615">
        <f t="shared" ca="1" si="114"/>
        <v>0</v>
      </c>
      <c r="Z450" s="615">
        <f t="shared" ca="1" si="114"/>
        <v>0</v>
      </c>
      <c r="AA450" s="615">
        <f t="shared" ca="1" si="114"/>
        <v>0</v>
      </c>
    </row>
    <row r="451" spans="2:27" hidden="1" x14ac:dyDescent="0.45">
      <c r="B451" s="552"/>
      <c r="D451" s="600"/>
      <c r="E451" s="549"/>
      <c r="F451" s="617"/>
      <c r="G451" s="615"/>
      <c r="H451" s="615"/>
      <c r="I451" s="615"/>
      <c r="J451" s="615"/>
      <c r="K451" s="615"/>
      <c r="L451" s="615"/>
      <c r="M451" s="615"/>
      <c r="N451" s="615"/>
      <c r="O451" s="615"/>
      <c r="P451" s="615"/>
      <c r="Q451" s="615"/>
      <c r="R451" s="615"/>
      <c r="S451" s="615"/>
      <c r="T451" s="615"/>
      <c r="U451" s="615"/>
      <c r="V451" s="615"/>
      <c r="W451" s="615"/>
      <c r="X451" s="615"/>
      <c r="Y451" s="615"/>
      <c r="Z451" s="615"/>
      <c r="AA451" s="615"/>
    </row>
    <row r="452" spans="2:27" hidden="1" x14ac:dyDescent="0.45">
      <c r="B452" s="552"/>
      <c r="D452" s="552" t="s">
        <v>185</v>
      </c>
      <c r="E452" s="567"/>
      <c r="F452" s="567"/>
      <c r="G452" s="567"/>
      <c r="H452" s="561"/>
    </row>
    <row r="453" spans="2:27" hidden="1" x14ac:dyDescent="0.45">
      <c r="B453" s="552"/>
      <c r="D453" s="600" t="s">
        <v>183</v>
      </c>
      <c r="E453" s="549"/>
      <c r="G453" s="615">
        <f t="shared" ref="G453:AA453" ca="1" si="115">IF(G$10=$G$10+$F$418-1,$E$436*($F$423-$G$426-$G$432),0)</f>
        <v>-2511806.3362487708</v>
      </c>
      <c r="H453" s="615">
        <f t="shared" si="115"/>
        <v>0</v>
      </c>
      <c r="I453" s="615">
        <f t="shared" si="115"/>
        <v>0</v>
      </c>
      <c r="J453" s="615">
        <f t="shared" si="115"/>
        <v>0</v>
      </c>
      <c r="K453" s="615">
        <f t="shared" si="115"/>
        <v>0</v>
      </c>
      <c r="L453" s="615">
        <f t="shared" si="115"/>
        <v>0</v>
      </c>
      <c r="M453" s="615">
        <f t="shared" si="115"/>
        <v>0</v>
      </c>
      <c r="N453" s="615">
        <f t="shared" si="115"/>
        <v>0</v>
      </c>
      <c r="O453" s="615">
        <f t="shared" si="115"/>
        <v>0</v>
      </c>
      <c r="P453" s="615">
        <f t="shared" si="115"/>
        <v>0</v>
      </c>
      <c r="Q453" s="615">
        <f t="shared" si="115"/>
        <v>0</v>
      </c>
      <c r="R453" s="615">
        <f t="shared" si="115"/>
        <v>0</v>
      </c>
      <c r="S453" s="615">
        <f t="shared" si="115"/>
        <v>0</v>
      </c>
      <c r="T453" s="615">
        <f t="shared" si="115"/>
        <v>0</v>
      </c>
      <c r="U453" s="615">
        <f t="shared" si="115"/>
        <v>0</v>
      </c>
      <c r="V453" s="615">
        <f t="shared" si="115"/>
        <v>0</v>
      </c>
      <c r="W453" s="615">
        <f t="shared" si="115"/>
        <v>0</v>
      </c>
      <c r="X453" s="615">
        <f t="shared" si="115"/>
        <v>0</v>
      </c>
      <c r="Y453" s="615">
        <f t="shared" si="115"/>
        <v>0</v>
      </c>
      <c r="Z453" s="615">
        <f t="shared" si="115"/>
        <v>0</v>
      </c>
      <c r="AA453" s="615">
        <f t="shared" si="115"/>
        <v>0</v>
      </c>
    </row>
    <row r="454" spans="2:27" hidden="1" x14ac:dyDescent="0.45">
      <c r="B454" s="552"/>
      <c r="D454" s="600" t="s">
        <v>175</v>
      </c>
      <c r="E454" s="549"/>
      <c r="G454" s="615">
        <f t="shared" ref="G454:AA456" si="116">G446</f>
        <v>0</v>
      </c>
      <c r="H454" s="615">
        <f t="shared" si="116"/>
        <v>0</v>
      </c>
      <c r="I454" s="615">
        <f t="shared" si="116"/>
        <v>0</v>
      </c>
      <c r="J454" s="615">
        <f t="shared" si="116"/>
        <v>0</v>
      </c>
      <c r="K454" s="615">
        <f t="shared" si="116"/>
        <v>0</v>
      </c>
      <c r="L454" s="615">
        <f t="shared" si="116"/>
        <v>0</v>
      </c>
      <c r="M454" s="615">
        <f t="shared" si="116"/>
        <v>0</v>
      </c>
      <c r="N454" s="615">
        <f t="shared" si="116"/>
        <v>0</v>
      </c>
      <c r="O454" s="615">
        <f t="shared" si="116"/>
        <v>0</v>
      </c>
      <c r="P454" s="615">
        <f t="shared" si="116"/>
        <v>0</v>
      </c>
      <c r="Q454" s="615">
        <f t="shared" si="116"/>
        <v>0</v>
      </c>
      <c r="R454" s="615">
        <f t="shared" si="116"/>
        <v>0</v>
      </c>
      <c r="S454" s="615">
        <f t="shared" si="116"/>
        <v>0</v>
      </c>
      <c r="T454" s="615">
        <f t="shared" si="116"/>
        <v>0</v>
      </c>
      <c r="U454" s="615">
        <f t="shared" si="116"/>
        <v>0</v>
      </c>
      <c r="V454" s="615">
        <f t="shared" si="116"/>
        <v>0</v>
      </c>
      <c r="W454" s="615">
        <f t="shared" si="116"/>
        <v>0</v>
      </c>
      <c r="X454" s="615">
        <f t="shared" si="116"/>
        <v>0</v>
      </c>
      <c r="Y454" s="615">
        <f t="shared" si="116"/>
        <v>0</v>
      </c>
      <c r="Z454" s="615">
        <f t="shared" si="116"/>
        <v>0</v>
      </c>
      <c r="AA454" s="615">
        <f t="shared" si="116"/>
        <v>0</v>
      </c>
    </row>
    <row r="455" spans="2:27" hidden="1" x14ac:dyDescent="0.45">
      <c r="B455" s="552"/>
      <c r="D455" s="600" t="s">
        <v>176</v>
      </c>
      <c r="E455" s="549"/>
      <c r="G455" s="615">
        <f t="shared" si="116"/>
        <v>0</v>
      </c>
      <c r="H455" s="615">
        <f t="shared" si="116"/>
        <v>0</v>
      </c>
      <c r="I455" s="615">
        <f t="shared" si="116"/>
        <v>0</v>
      </c>
      <c r="J455" s="615">
        <f t="shared" si="116"/>
        <v>0</v>
      </c>
      <c r="K455" s="615">
        <f t="shared" si="116"/>
        <v>0</v>
      </c>
      <c r="L455" s="615">
        <f t="shared" si="116"/>
        <v>0</v>
      </c>
      <c r="M455" s="615">
        <f t="shared" si="116"/>
        <v>0</v>
      </c>
      <c r="N455" s="615">
        <f t="shared" si="116"/>
        <v>0</v>
      </c>
      <c r="O455" s="615">
        <f t="shared" si="116"/>
        <v>0</v>
      </c>
      <c r="P455" s="615">
        <f t="shared" si="116"/>
        <v>0</v>
      </c>
      <c r="Q455" s="615">
        <f t="shared" si="116"/>
        <v>0</v>
      </c>
      <c r="R455" s="615">
        <f t="shared" si="116"/>
        <v>0</v>
      </c>
      <c r="S455" s="615">
        <f t="shared" si="116"/>
        <v>0</v>
      </c>
      <c r="T455" s="615">
        <f t="shared" si="116"/>
        <v>0</v>
      </c>
      <c r="U455" s="615">
        <f t="shared" si="116"/>
        <v>0</v>
      </c>
      <c r="V455" s="615">
        <f t="shared" si="116"/>
        <v>0</v>
      </c>
      <c r="W455" s="615">
        <f t="shared" si="116"/>
        <v>0</v>
      </c>
      <c r="X455" s="615">
        <f t="shared" si="116"/>
        <v>0</v>
      </c>
      <c r="Y455" s="615">
        <f t="shared" si="116"/>
        <v>0</v>
      </c>
      <c r="Z455" s="615">
        <f t="shared" si="116"/>
        <v>0</v>
      </c>
      <c r="AA455" s="615">
        <f t="shared" si="116"/>
        <v>0</v>
      </c>
    </row>
    <row r="456" spans="2:27" hidden="1" x14ac:dyDescent="0.45">
      <c r="B456" s="552"/>
      <c r="D456" s="600" t="s">
        <v>177</v>
      </c>
      <c r="E456" s="549"/>
      <c r="G456" s="615">
        <f t="shared" ca="1" si="116"/>
        <v>0</v>
      </c>
      <c r="H456" s="615">
        <f t="shared" ca="1" si="116"/>
        <v>0</v>
      </c>
      <c r="I456" s="615">
        <f t="shared" ca="1" si="116"/>
        <v>0</v>
      </c>
      <c r="J456" s="615">
        <f t="shared" ca="1" si="116"/>
        <v>0</v>
      </c>
      <c r="K456" s="615">
        <f t="shared" ca="1" si="116"/>
        <v>0</v>
      </c>
      <c r="L456" s="615">
        <f t="shared" ca="1" si="116"/>
        <v>0</v>
      </c>
      <c r="M456" s="615">
        <f t="shared" ca="1" si="116"/>
        <v>0</v>
      </c>
      <c r="N456" s="615">
        <f t="shared" ca="1" si="116"/>
        <v>0</v>
      </c>
      <c r="O456" s="615">
        <f t="shared" ca="1" si="116"/>
        <v>0</v>
      </c>
      <c r="P456" s="615">
        <f t="shared" ca="1" si="116"/>
        <v>0</v>
      </c>
      <c r="Q456" s="615">
        <f t="shared" ca="1" si="116"/>
        <v>0</v>
      </c>
      <c r="R456" s="615">
        <f t="shared" ca="1" si="116"/>
        <v>0</v>
      </c>
      <c r="S456" s="615">
        <f t="shared" ca="1" si="116"/>
        <v>0</v>
      </c>
      <c r="T456" s="615">
        <f t="shared" ca="1" si="116"/>
        <v>0</v>
      </c>
      <c r="U456" s="615">
        <f t="shared" ca="1" si="116"/>
        <v>0</v>
      </c>
      <c r="V456" s="615">
        <f t="shared" ca="1" si="116"/>
        <v>0</v>
      </c>
      <c r="W456" s="615">
        <f t="shared" ca="1" si="116"/>
        <v>0</v>
      </c>
      <c r="X456" s="615">
        <f t="shared" ca="1" si="116"/>
        <v>0</v>
      </c>
      <c r="Y456" s="615">
        <f t="shared" ca="1" si="116"/>
        <v>0</v>
      </c>
      <c r="Z456" s="615">
        <f t="shared" ca="1" si="116"/>
        <v>0</v>
      </c>
      <c r="AA456" s="615">
        <f t="shared" ca="1" si="116"/>
        <v>0</v>
      </c>
    </row>
    <row r="457" spans="2:27" ht="14.65" hidden="1" thickBot="1" x14ac:dyDescent="0.5">
      <c r="E457" s="549"/>
      <c r="G457" s="575" t="s">
        <v>38</v>
      </c>
      <c r="H457" s="575" t="s">
        <v>38</v>
      </c>
      <c r="I457" s="575" t="s">
        <v>38</v>
      </c>
      <c r="J457" s="575" t="s">
        <v>38</v>
      </c>
      <c r="K457" s="575" t="s">
        <v>38</v>
      </c>
      <c r="L457" s="575" t="s">
        <v>38</v>
      </c>
      <c r="M457" s="575" t="s">
        <v>38</v>
      </c>
      <c r="N457" s="575" t="s">
        <v>38</v>
      </c>
      <c r="O457" s="575" t="s">
        <v>38</v>
      </c>
      <c r="P457" s="575" t="s">
        <v>38</v>
      </c>
      <c r="Q457" s="575" t="s">
        <v>38</v>
      </c>
      <c r="R457" s="575" t="s">
        <v>38</v>
      </c>
      <c r="S457" s="575" t="s">
        <v>38</v>
      </c>
      <c r="T457" s="575" t="s">
        <v>38</v>
      </c>
      <c r="U457" s="575" t="s">
        <v>38</v>
      </c>
      <c r="V457" s="575" t="s">
        <v>38</v>
      </c>
      <c r="W457" s="575" t="s">
        <v>38</v>
      </c>
      <c r="X457" s="575" t="s">
        <v>38</v>
      </c>
      <c r="Y457" s="575" t="s">
        <v>38</v>
      </c>
      <c r="Z457" s="575" t="s">
        <v>38</v>
      </c>
      <c r="AA457" s="575" t="s">
        <v>38</v>
      </c>
    </row>
    <row r="458" spans="2:27" ht="14.65" hidden="1" thickBot="1" x14ac:dyDescent="0.5">
      <c r="B458" s="552"/>
      <c r="D458" s="600" t="s">
        <v>181</v>
      </c>
      <c r="E458" s="616" t="e">
        <f ca="1">IRR($G458:$U458)</f>
        <v>#NUM!</v>
      </c>
      <c r="G458" s="615">
        <f ca="1">SUM(G453:G456)</f>
        <v>-2511806.3362487708</v>
      </c>
      <c r="H458" s="615">
        <f t="shared" ref="H458:AA458" ca="1" si="117">SUM(H453:H456)</f>
        <v>0</v>
      </c>
      <c r="I458" s="615">
        <f t="shared" ca="1" si="117"/>
        <v>0</v>
      </c>
      <c r="J458" s="615">
        <f t="shared" ca="1" si="117"/>
        <v>0</v>
      </c>
      <c r="K458" s="615">
        <f t="shared" ca="1" si="117"/>
        <v>0</v>
      </c>
      <c r="L458" s="615">
        <f t="shared" ca="1" si="117"/>
        <v>0</v>
      </c>
      <c r="M458" s="615">
        <f t="shared" ca="1" si="117"/>
        <v>0</v>
      </c>
      <c r="N458" s="615">
        <f t="shared" ca="1" si="117"/>
        <v>0</v>
      </c>
      <c r="O458" s="615">
        <f t="shared" ca="1" si="117"/>
        <v>0</v>
      </c>
      <c r="P458" s="615">
        <f t="shared" ca="1" si="117"/>
        <v>0</v>
      </c>
      <c r="Q458" s="615">
        <f t="shared" ca="1" si="117"/>
        <v>0</v>
      </c>
      <c r="R458" s="615">
        <f t="shared" ca="1" si="117"/>
        <v>0</v>
      </c>
      <c r="S458" s="615">
        <f t="shared" ca="1" si="117"/>
        <v>0</v>
      </c>
      <c r="T458" s="615">
        <f t="shared" ca="1" si="117"/>
        <v>0</v>
      </c>
      <c r="U458" s="615">
        <f t="shared" ca="1" si="117"/>
        <v>0</v>
      </c>
      <c r="V458" s="615">
        <f t="shared" ca="1" si="117"/>
        <v>0</v>
      </c>
      <c r="W458" s="615">
        <f t="shared" ca="1" si="117"/>
        <v>0</v>
      </c>
      <c r="X458" s="615">
        <f t="shared" ca="1" si="117"/>
        <v>0</v>
      </c>
      <c r="Y458" s="615">
        <f t="shared" ca="1" si="117"/>
        <v>0</v>
      </c>
      <c r="Z458" s="615">
        <f t="shared" ca="1" si="117"/>
        <v>0</v>
      </c>
      <c r="AA458" s="615">
        <f t="shared" ca="1" si="117"/>
        <v>0</v>
      </c>
    </row>
    <row r="459" spans="2:27" hidden="1" x14ac:dyDescent="0.45">
      <c r="B459" s="552"/>
      <c r="D459" s="600"/>
      <c r="E459" s="549"/>
      <c r="F459" s="617"/>
      <c r="G459" s="615"/>
      <c r="H459" s="615"/>
      <c r="I459" s="615"/>
      <c r="J459" s="615"/>
      <c r="K459" s="615"/>
      <c r="L459" s="615"/>
      <c r="M459" s="615"/>
      <c r="N459" s="615"/>
      <c r="O459" s="615"/>
      <c r="P459" s="615"/>
      <c r="Q459" s="615"/>
      <c r="R459" s="615"/>
      <c r="S459" s="615"/>
      <c r="T459" s="615"/>
      <c r="U459" s="615"/>
      <c r="V459" s="615"/>
      <c r="W459" s="615"/>
      <c r="X459" s="615"/>
      <c r="Y459" s="615"/>
      <c r="Z459" s="615"/>
      <c r="AA459" s="615"/>
    </row>
    <row r="460" spans="2:27" hidden="1" x14ac:dyDescent="0.45">
      <c r="B460" s="552"/>
      <c r="C460" s="552" t="s">
        <v>195</v>
      </c>
      <c r="D460" s="600"/>
      <c r="E460" s="549"/>
      <c r="F460" s="617"/>
      <c r="N460" s="615"/>
      <c r="O460" s="615"/>
      <c r="P460" s="615"/>
      <c r="Q460" s="615"/>
      <c r="R460" s="615"/>
      <c r="S460" s="615"/>
      <c r="T460" s="615"/>
      <c r="U460" s="615"/>
      <c r="V460" s="615"/>
      <c r="W460" s="615"/>
      <c r="X460" s="615"/>
      <c r="Y460" s="615"/>
      <c r="Z460" s="615"/>
      <c r="AA460" s="615"/>
    </row>
    <row r="461" spans="2:27" hidden="1" x14ac:dyDescent="0.45">
      <c r="B461" s="552"/>
      <c r="D461" s="552" t="s">
        <v>184</v>
      </c>
      <c r="E461" s="567"/>
      <c r="F461" s="567"/>
    </row>
    <row r="462" spans="2:27" hidden="1" x14ac:dyDescent="0.45">
      <c r="B462" s="552"/>
      <c r="D462" s="600" t="s">
        <v>182</v>
      </c>
      <c r="E462" s="549"/>
      <c r="G462" s="615">
        <f t="shared" ref="G462:AA462" ca="1" si="118">IF(G$10=$G$10+$F$418-1,$E$435*($F$422-$F$426-$F$432),0)</f>
        <v>2436548.7789197518</v>
      </c>
      <c r="H462" s="615">
        <f t="shared" si="118"/>
        <v>0</v>
      </c>
      <c r="I462" s="615">
        <f t="shared" si="118"/>
        <v>0</v>
      </c>
      <c r="J462" s="615">
        <f t="shared" si="118"/>
        <v>0</v>
      </c>
      <c r="K462" s="615">
        <f t="shared" si="118"/>
        <v>0</v>
      </c>
      <c r="L462" s="615">
        <f t="shared" si="118"/>
        <v>0</v>
      </c>
      <c r="M462" s="615">
        <f t="shared" si="118"/>
        <v>0</v>
      </c>
      <c r="N462" s="615">
        <f t="shared" si="118"/>
        <v>0</v>
      </c>
      <c r="O462" s="615">
        <f t="shared" si="118"/>
        <v>0</v>
      </c>
      <c r="P462" s="615">
        <f t="shared" si="118"/>
        <v>0</v>
      </c>
      <c r="Q462" s="615">
        <f t="shared" si="118"/>
        <v>0</v>
      </c>
      <c r="R462" s="615">
        <f t="shared" si="118"/>
        <v>0</v>
      </c>
      <c r="S462" s="615">
        <f t="shared" si="118"/>
        <v>0</v>
      </c>
      <c r="T462" s="615">
        <f t="shared" si="118"/>
        <v>0</v>
      </c>
      <c r="U462" s="615">
        <f t="shared" si="118"/>
        <v>0</v>
      </c>
      <c r="V462" s="615">
        <f t="shared" si="118"/>
        <v>0</v>
      </c>
      <c r="W462" s="615">
        <f t="shared" si="118"/>
        <v>0</v>
      </c>
      <c r="X462" s="615">
        <f t="shared" si="118"/>
        <v>0</v>
      </c>
      <c r="Y462" s="615">
        <f t="shared" si="118"/>
        <v>0</v>
      </c>
      <c r="Z462" s="615">
        <f t="shared" si="118"/>
        <v>0</v>
      </c>
      <c r="AA462" s="615">
        <f t="shared" si="118"/>
        <v>0</v>
      </c>
    </row>
    <row r="463" spans="2:27" hidden="1" x14ac:dyDescent="0.45">
      <c r="B463" s="552"/>
      <c r="D463" s="600" t="s">
        <v>175</v>
      </c>
      <c r="E463" s="549"/>
      <c r="G463" s="615">
        <f t="shared" ref="G463:AA463" si="119">-G363</f>
        <v>0</v>
      </c>
      <c r="H463" s="615">
        <f t="shared" si="119"/>
        <v>0</v>
      </c>
      <c r="I463" s="615">
        <f t="shared" si="119"/>
        <v>0</v>
      </c>
      <c r="J463" s="615">
        <f t="shared" si="119"/>
        <v>0</v>
      </c>
      <c r="K463" s="615">
        <f t="shared" si="119"/>
        <v>0</v>
      </c>
      <c r="L463" s="615">
        <f t="shared" si="119"/>
        <v>0</v>
      </c>
      <c r="M463" s="615">
        <f t="shared" si="119"/>
        <v>0</v>
      </c>
      <c r="N463" s="615">
        <f>-N363</f>
        <v>0</v>
      </c>
      <c r="O463" s="615">
        <f>-O363</f>
        <v>0</v>
      </c>
      <c r="P463" s="615">
        <f>-P363</f>
        <v>0</v>
      </c>
      <c r="Q463" s="615">
        <f>-Q363</f>
        <v>0</v>
      </c>
      <c r="R463" s="615">
        <f>-R363</f>
        <v>0</v>
      </c>
      <c r="S463" s="615">
        <f t="shared" si="119"/>
        <v>0</v>
      </c>
      <c r="T463" s="615">
        <f t="shared" si="119"/>
        <v>0</v>
      </c>
      <c r="U463" s="615">
        <f t="shared" si="119"/>
        <v>0</v>
      </c>
      <c r="V463" s="615">
        <f t="shared" si="119"/>
        <v>0</v>
      </c>
      <c r="W463" s="615">
        <f t="shared" si="119"/>
        <v>0</v>
      </c>
      <c r="X463" s="615">
        <f t="shared" si="119"/>
        <v>0</v>
      </c>
      <c r="Y463" s="615">
        <f t="shared" si="119"/>
        <v>0</v>
      </c>
      <c r="Z463" s="615">
        <f t="shared" si="119"/>
        <v>0</v>
      </c>
      <c r="AA463" s="615">
        <f t="shared" si="119"/>
        <v>0</v>
      </c>
    </row>
    <row r="464" spans="2:27" hidden="1" x14ac:dyDescent="0.45">
      <c r="B464" s="552"/>
      <c r="D464" s="600" t="s">
        <v>176</v>
      </c>
      <c r="E464" s="549"/>
      <c r="G464" s="618">
        <f t="shared" ref="G464:AA464" si="120">G13*(F318+G363/2)</f>
        <v>0</v>
      </c>
      <c r="H464" s="618">
        <f t="shared" si="120"/>
        <v>0</v>
      </c>
      <c r="I464" s="618">
        <f t="shared" si="120"/>
        <v>0</v>
      </c>
      <c r="J464" s="618">
        <f t="shared" si="120"/>
        <v>0</v>
      </c>
      <c r="K464" s="618">
        <f t="shared" si="120"/>
        <v>0</v>
      </c>
      <c r="L464" s="618">
        <f t="shared" si="120"/>
        <v>0</v>
      </c>
      <c r="M464" s="618">
        <f t="shared" si="120"/>
        <v>0</v>
      </c>
      <c r="N464" s="618">
        <f t="shared" si="120"/>
        <v>0</v>
      </c>
      <c r="O464" s="618">
        <f t="shared" si="120"/>
        <v>0</v>
      </c>
      <c r="P464" s="618">
        <f t="shared" si="120"/>
        <v>0</v>
      </c>
      <c r="Q464" s="618">
        <f t="shared" si="120"/>
        <v>0</v>
      </c>
      <c r="R464" s="618">
        <f t="shared" si="120"/>
        <v>0</v>
      </c>
      <c r="S464" s="618">
        <f t="shared" si="120"/>
        <v>0</v>
      </c>
      <c r="T464" s="618">
        <f t="shared" si="120"/>
        <v>0</v>
      </c>
      <c r="U464" s="618">
        <f t="shared" si="120"/>
        <v>0</v>
      </c>
      <c r="V464" s="618">
        <f t="shared" si="120"/>
        <v>0</v>
      </c>
      <c r="W464" s="618">
        <f t="shared" si="120"/>
        <v>0</v>
      </c>
      <c r="X464" s="618">
        <f t="shared" si="120"/>
        <v>0</v>
      </c>
      <c r="Y464" s="618">
        <f t="shared" si="120"/>
        <v>0</v>
      </c>
      <c r="Z464" s="618">
        <f t="shared" si="120"/>
        <v>0</v>
      </c>
      <c r="AA464" s="618">
        <f t="shared" si="120"/>
        <v>0</v>
      </c>
    </row>
    <row r="465" spans="1:27" hidden="1" x14ac:dyDescent="0.45">
      <c r="B465" s="552"/>
      <c r="D465" s="600" t="s">
        <v>177</v>
      </c>
      <c r="E465" s="549"/>
      <c r="G465" s="618">
        <f t="shared" ref="G465:AA465" ca="1" si="121">(G281+G275)*IF(OR(F318&gt;0,G318&gt;0),$F$435,0)</f>
        <v>0</v>
      </c>
      <c r="H465" s="618">
        <f t="shared" ca="1" si="121"/>
        <v>0</v>
      </c>
      <c r="I465" s="618">
        <f t="shared" ca="1" si="121"/>
        <v>0</v>
      </c>
      <c r="J465" s="618">
        <f t="shared" ca="1" si="121"/>
        <v>0</v>
      </c>
      <c r="K465" s="618">
        <f t="shared" ca="1" si="121"/>
        <v>0</v>
      </c>
      <c r="L465" s="618">
        <f t="shared" ca="1" si="121"/>
        <v>0</v>
      </c>
      <c r="M465" s="618">
        <f t="shared" ca="1" si="121"/>
        <v>0</v>
      </c>
      <c r="N465" s="618">
        <f t="shared" ca="1" si="121"/>
        <v>0</v>
      </c>
      <c r="O465" s="618">
        <f t="shared" ca="1" si="121"/>
        <v>0</v>
      </c>
      <c r="P465" s="618">
        <f t="shared" ca="1" si="121"/>
        <v>0</v>
      </c>
      <c r="Q465" s="618">
        <f t="shared" ca="1" si="121"/>
        <v>0</v>
      </c>
      <c r="R465" s="618">
        <f t="shared" ca="1" si="121"/>
        <v>0</v>
      </c>
      <c r="S465" s="618">
        <f t="shared" ca="1" si="121"/>
        <v>0</v>
      </c>
      <c r="T465" s="618">
        <f t="shared" ca="1" si="121"/>
        <v>0</v>
      </c>
      <c r="U465" s="618">
        <f t="shared" ca="1" si="121"/>
        <v>0</v>
      </c>
      <c r="V465" s="618">
        <f t="shared" ca="1" si="121"/>
        <v>0</v>
      </c>
      <c r="W465" s="618">
        <f t="shared" ca="1" si="121"/>
        <v>0</v>
      </c>
      <c r="X465" s="618">
        <f t="shared" ca="1" si="121"/>
        <v>0</v>
      </c>
      <c r="Y465" s="618">
        <f t="shared" ca="1" si="121"/>
        <v>0</v>
      </c>
      <c r="Z465" s="618">
        <f t="shared" ca="1" si="121"/>
        <v>0</v>
      </c>
      <c r="AA465" s="618">
        <f t="shared" ca="1" si="121"/>
        <v>0</v>
      </c>
    </row>
    <row r="466" spans="1:27" ht="14.65" hidden="1" thickBot="1" x14ac:dyDescent="0.5">
      <c r="E466" s="549"/>
      <c r="G466" s="575" t="s">
        <v>38</v>
      </c>
      <c r="H466" s="575" t="s">
        <v>38</v>
      </c>
      <c r="I466" s="575" t="s">
        <v>38</v>
      </c>
      <c r="J466" s="575" t="s">
        <v>38</v>
      </c>
      <c r="K466" s="575" t="s">
        <v>38</v>
      </c>
      <c r="L466" s="575" t="s">
        <v>38</v>
      </c>
      <c r="M466" s="575" t="s">
        <v>38</v>
      </c>
      <c r="N466" s="575" t="s">
        <v>38</v>
      </c>
      <c r="O466" s="575" t="s">
        <v>38</v>
      </c>
      <c r="P466" s="575" t="s">
        <v>38</v>
      </c>
      <c r="Q466" s="575" t="s">
        <v>38</v>
      </c>
      <c r="R466" s="575" t="s">
        <v>38</v>
      </c>
      <c r="S466" s="575" t="s">
        <v>38</v>
      </c>
      <c r="T466" s="575" t="s">
        <v>38</v>
      </c>
      <c r="U466" s="575" t="s">
        <v>38</v>
      </c>
      <c r="V466" s="575" t="s">
        <v>38</v>
      </c>
      <c r="W466" s="575" t="s">
        <v>38</v>
      </c>
      <c r="X466" s="575" t="s">
        <v>38</v>
      </c>
      <c r="Y466" s="575" t="s">
        <v>38</v>
      </c>
      <c r="Z466" s="575" t="s">
        <v>38</v>
      </c>
      <c r="AA466" s="575" t="s">
        <v>38</v>
      </c>
    </row>
    <row r="467" spans="1:27" ht="14.65" hidden="1" thickBot="1" x14ac:dyDescent="0.5">
      <c r="B467" s="552"/>
      <c r="D467" s="600" t="s">
        <v>181</v>
      </c>
      <c r="E467" s="616" t="e">
        <f ca="1">IRR($G467:$U467)</f>
        <v>#NUM!</v>
      </c>
      <c r="G467" s="615">
        <f t="shared" ref="G467:AA467" ca="1" si="122">SUM(G462:G465)</f>
        <v>2436548.7789197518</v>
      </c>
      <c r="H467" s="615">
        <f t="shared" ca="1" si="122"/>
        <v>0</v>
      </c>
      <c r="I467" s="615">
        <f t="shared" ca="1" si="122"/>
        <v>0</v>
      </c>
      <c r="J467" s="615">
        <f t="shared" ca="1" si="122"/>
        <v>0</v>
      </c>
      <c r="K467" s="615">
        <f t="shared" ca="1" si="122"/>
        <v>0</v>
      </c>
      <c r="L467" s="615">
        <f t="shared" ca="1" si="122"/>
        <v>0</v>
      </c>
      <c r="M467" s="615">
        <f t="shared" ca="1" si="122"/>
        <v>0</v>
      </c>
      <c r="N467" s="615">
        <f t="shared" ca="1" si="122"/>
        <v>0</v>
      </c>
      <c r="O467" s="615">
        <f t="shared" ca="1" si="122"/>
        <v>0</v>
      </c>
      <c r="P467" s="615">
        <f t="shared" ca="1" si="122"/>
        <v>0</v>
      </c>
      <c r="Q467" s="615">
        <f t="shared" ca="1" si="122"/>
        <v>0</v>
      </c>
      <c r="R467" s="615">
        <f t="shared" ca="1" si="122"/>
        <v>0</v>
      </c>
      <c r="S467" s="615">
        <f t="shared" ca="1" si="122"/>
        <v>0</v>
      </c>
      <c r="T467" s="615">
        <f t="shared" ca="1" si="122"/>
        <v>0</v>
      </c>
      <c r="U467" s="615">
        <f t="shared" ca="1" si="122"/>
        <v>0</v>
      </c>
      <c r="V467" s="615">
        <f t="shared" ca="1" si="122"/>
        <v>0</v>
      </c>
      <c r="W467" s="615">
        <f t="shared" ca="1" si="122"/>
        <v>0</v>
      </c>
      <c r="X467" s="615">
        <f t="shared" ca="1" si="122"/>
        <v>0</v>
      </c>
      <c r="Y467" s="615">
        <f t="shared" ca="1" si="122"/>
        <v>0</v>
      </c>
      <c r="Z467" s="615">
        <f t="shared" ca="1" si="122"/>
        <v>0</v>
      </c>
      <c r="AA467" s="615">
        <f t="shared" ca="1" si="122"/>
        <v>0</v>
      </c>
    </row>
    <row r="468" spans="1:27" hidden="1" x14ac:dyDescent="0.45">
      <c r="B468" s="552"/>
      <c r="C468" s="600"/>
      <c r="D468" s="567"/>
      <c r="E468" s="606"/>
      <c r="G468" s="561"/>
    </row>
    <row r="469" spans="1:27" hidden="1" x14ac:dyDescent="0.45">
      <c r="B469" s="552"/>
      <c r="D469" s="552" t="s">
        <v>185</v>
      </c>
      <c r="E469" s="567"/>
      <c r="F469" s="567"/>
      <c r="G469" s="567"/>
      <c r="H469" s="567"/>
      <c r="I469" s="567"/>
      <c r="J469" s="567"/>
      <c r="K469" s="567"/>
      <c r="L469" s="567"/>
      <c r="M469" s="567"/>
      <c r="N469" s="567"/>
      <c r="O469" s="567"/>
      <c r="P469" s="567"/>
      <c r="Q469" s="567"/>
      <c r="R469" s="567"/>
      <c r="S469" s="567"/>
      <c r="T469" s="567"/>
      <c r="U469" s="567"/>
      <c r="V469" s="567"/>
      <c r="W469" s="567"/>
      <c r="X469" s="567"/>
      <c r="Y469" s="567"/>
      <c r="Z469" s="567"/>
      <c r="AA469" s="567"/>
    </row>
    <row r="470" spans="1:27" hidden="1" x14ac:dyDescent="0.45">
      <c r="B470" s="552"/>
      <c r="D470" s="600" t="s">
        <v>183</v>
      </c>
      <c r="E470" s="549"/>
      <c r="G470" s="615">
        <f t="shared" ref="G470:AA470" ca="1" si="123">IF(G$10=$G$10+$F$418-1,$E$435*($F$423-$G$426-$G$432),0)</f>
        <v>-1507083.8017492625</v>
      </c>
      <c r="H470" s="615">
        <f t="shared" si="123"/>
        <v>0</v>
      </c>
      <c r="I470" s="615">
        <f t="shared" si="123"/>
        <v>0</v>
      </c>
      <c r="J470" s="615">
        <f t="shared" si="123"/>
        <v>0</v>
      </c>
      <c r="K470" s="615">
        <f t="shared" si="123"/>
        <v>0</v>
      </c>
      <c r="L470" s="615">
        <f t="shared" si="123"/>
        <v>0</v>
      </c>
      <c r="M470" s="615">
        <f t="shared" si="123"/>
        <v>0</v>
      </c>
      <c r="N470" s="615">
        <f t="shared" si="123"/>
        <v>0</v>
      </c>
      <c r="O470" s="615">
        <f t="shared" si="123"/>
        <v>0</v>
      </c>
      <c r="P470" s="615">
        <f t="shared" si="123"/>
        <v>0</v>
      </c>
      <c r="Q470" s="615">
        <f t="shared" si="123"/>
        <v>0</v>
      </c>
      <c r="R470" s="615">
        <f t="shared" si="123"/>
        <v>0</v>
      </c>
      <c r="S470" s="615">
        <f t="shared" si="123"/>
        <v>0</v>
      </c>
      <c r="T470" s="615">
        <f t="shared" si="123"/>
        <v>0</v>
      </c>
      <c r="U470" s="615">
        <f t="shared" si="123"/>
        <v>0</v>
      </c>
      <c r="V470" s="615">
        <f t="shared" si="123"/>
        <v>0</v>
      </c>
      <c r="W470" s="615">
        <f t="shared" si="123"/>
        <v>0</v>
      </c>
      <c r="X470" s="615">
        <f t="shared" si="123"/>
        <v>0</v>
      </c>
      <c r="Y470" s="615">
        <f t="shared" si="123"/>
        <v>0</v>
      </c>
      <c r="Z470" s="615">
        <f t="shared" si="123"/>
        <v>0</v>
      </c>
      <c r="AA470" s="615">
        <f t="shared" si="123"/>
        <v>0</v>
      </c>
    </row>
    <row r="471" spans="1:27" hidden="1" x14ac:dyDescent="0.45">
      <c r="B471" s="552"/>
      <c r="D471" s="600" t="s">
        <v>175</v>
      </c>
      <c r="E471" s="549"/>
      <c r="G471" s="615">
        <f>G463</f>
        <v>0</v>
      </c>
      <c r="H471" s="615">
        <f t="shared" ref="H471:AA473" si="124">H463</f>
        <v>0</v>
      </c>
      <c r="I471" s="615">
        <f t="shared" si="124"/>
        <v>0</v>
      </c>
      <c r="J471" s="615">
        <f t="shared" si="124"/>
        <v>0</v>
      </c>
      <c r="K471" s="615">
        <f t="shared" si="124"/>
        <v>0</v>
      </c>
      <c r="L471" s="615">
        <f t="shared" si="124"/>
        <v>0</v>
      </c>
      <c r="M471" s="615">
        <f t="shared" si="124"/>
        <v>0</v>
      </c>
      <c r="N471" s="615">
        <f t="shared" si="124"/>
        <v>0</v>
      </c>
      <c r="O471" s="615">
        <f t="shared" si="124"/>
        <v>0</v>
      </c>
      <c r="P471" s="615">
        <f t="shared" si="124"/>
        <v>0</v>
      </c>
      <c r="Q471" s="615">
        <f t="shared" si="124"/>
        <v>0</v>
      </c>
      <c r="R471" s="615">
        <f t="shared" si="124"/>
        <v>0</v>
      </c>
      <c r="S471" s="615">
        <f t="shared" si="124"/>
        <v>0</v>
      </c>
      <c r="T471" s="615">
        <f t="shared" si="124"/>
        <v>0</v>
      </c>
      <c r="U471" s="615">
        <f t="shared" si="124"/>
        <v>0</v>
      </c>
      <c r="V471" s="615">
        <f t="shared" si="124"/>
        <v>0</v>
      </c>
      <c r="W471" s="615">
        <f t="shared" si="124"/>
        <v>0</v>
      </c>
      <c r="X471" s="615">
        <f t="shared" si="124"/>
        <v>0</v>
      </c>
      <c r="Y471" s="615">
        <f t="shared" si="124"/>
        <v>0</v>
      </c>
      <c r="Z471" s="615">
        <f t="shared" si="124"/>
        <v>0</v>
      </c>
      <c r="AA471" s="615">
        <f t="shared" si="124"/>
        <v>0</v>
      </c>
    </row>
    <row r="472" spans="1:27" hidden="1" x14ac:dyDescent="0.45">
      <c r="B472" s="552"/>
      <c r="D472" s="600" t="s">
        <v>176</v>
      </c>
      <c r="E472" s="549"/>
      <c r="G472" s="615">
        <f t="shared" ref="G472:U473" si="125">G464</f>
        <v>0</v>
      </c>
      <c r="H472" s="615">
        <f t="shared" si="125"/>
        <v>0</v>
      </c>
      <c r="I472" s="615">
        <f t="shared" si="125"/>
        <v>0</v>
      </c>
      <c r="J472" s="615">
        <f t="shared" si="125"/>
        <v>0</v>
      </c>
      <c r="K472" s="615">
        <f t="shared" si="125"/>
        <v>0</v>
      </c>
      <c r="L472" s="615">
        <f t="shared" si="125"/>
        <v>0</v>
      </c>
      <c r="M472" s="615">
        <f t="shared" si="125"/>
        <v>0</v>
      </c>
      <c r="N472" s="615">
        <f t="shared" si="125"/>
        <v>0</v>
      </c>
      <c r="O472" s="615">
        <f t="shared" si="125"/>
        <v>0</v>
      </c>
      <c r="P472" s="615">
        <f t="shared" si="125"/>
        <v>0</v>
      </c>
      <c r="Q472" s="615">
        <f t="shared" si="125"/>
        <v>0</v>
      </c>
      <c r="R472" s="615">
        <f t="shared" si="125"/>
        <v>0</v>
      </c>
      <c r="S472" s="615">
        <f t="shared" si="125"/>
        <v>0</v>
      </c>
      <c r="T472" s="615">
        <f t="shared" si="125"/>
        <v>0</v>
      </c>
      <c r="U472" s="615">
        <f t="shared" si="125"/>
        <v>0</v>
      </c>
      <c r="V472" s="615">
        <f t="shared" si="124"/>
        <v>0</v>
      </c>
      <c r="W472" s="615">
        <f t="shared" si="124"/>
        <v>0</v>
      </c>
      <c r="X472" s="615">
        <f t="shared" si="124"/>
        <v>0</v>
      </c>
      <c r="Y472" s="615">
        <f t="shared" si="124"/>
        <v>0</v>
      </c>
      <c r="Z472" s="615">
        <f t="shared" si="124"/>
        <v>0</v>
      </c>
      <c r="AA472" s="615">
        <f t="shared" si="124"/>
        <v>0</v>
      </c>
    </row>
    <row r="473" spans="1:27" hidden="1" x14ac:dyDescent="0.45">
      <c r="B473" s="552"/>
      <c r="D473" s="600" t="s">
        <v>177</v>
      </c>
      <c r="E473" s="549"/>
      <c r="G473" s="615">
        <f t="shared" ca="1" si="125"/>
        <v>0</v>
      </c>
      <c r="H473" s="615">
        <f t="shared" ca="1" si="125"/>
        <v>0</v>
      </c>
      <c r="I473" s="615">
        <f t="shared" ca="1" si="125"/>
        <v>0</v>
      </c>
      <c r="J473" s="615">
        <f t="shared" ca="1" si="125"/>
        <v>0</v>
      </c>
      <c r="K473" s="615">
        <f t="shared" ca="1" si="125"/>
        <v>0</v>
      </c>
      <c r="L473" s="615">
        <f t="shared" ca="1" si="125"/>
        <v>0</v>
      </c>
      <c r="M473" s="615">
        <f t="shared" ca="1" si="125"/>
        <v>0</v>
      </c>
      <c r="N473" s="615">
        <f t="shared" ca="1" si="125"/>
        <v>0</v>
      </c>
      <c r="O473" s="615">
        <f t="shared" ca="1" si="125"/>
        <v>0</v>
      </c>
      <c r="P473" s="615">
        <f t="shared" ca="1" si="125"/>
        <v>0</v>
      </c>
      <c r="Q473" s="615">
        <f t="shared" ca="1" si="125"/>
        <v>0</v>
      </c>
      <c r="R473" s="615">
        <f t="shared" ca="1" si="125"/>
        <v>0</v>
      </c>
      <c r="S473" s="615">
        <f t="shared" ca="1" si="125"/>
        <v>0</v>
      </c>
      <c r="T473" s="615">
        <f t="shared" ca="1" si="125"/>
        <v>0</v>
      </c>
      <c r="U473" s="615">
        <f t="shared" ca="1" si="125"/>
        <v>0</v>
      </c>
      <c r="V473" s="615">
        <f t="shared" ca="1" si="124"/>
        <v>0</v>
      </c>
      <c r="W473" s="615">
        <f t="shared" ca="1" si="124"/>
        <v>0</v>
      </c>
      <c r="X473" s="615">
        <f t="shared" ca="1" si="124"/>
        <v>0</v>
      </c>
      <c r="Y473" s="615">
        <f t="shared" ca="1" si="124"/>
        <v>0</v>
      </c>
      <c r="Z473" s="615">
        <f t="shared" ca="1" si="124"/>
        <v>0</v>
      </c>
      <c r="AA473" s="615">
        <f t="shared" ca="1" si="124"/>
        <v>0</v>
      </c>
    </row>
    <row r="474" spans="1:27" ht="14.65" hidden="1" thickBot="1" x14ac:dyDescent="0.5">
      <c r="E474" s="549"/>
      <c r="G474" s="575" t="s">
        <v>38</v>
      </c>
      <c r="H474" s="575" t="s">
        <v>38</v>
      </c>
      <c r="I474" s="575" t="s">
        <v>38</v>
      </c>
      <c r="J474" s="575" t="s">
        <v>38</v>
      </c>
      <c r="K474" s="575" t="s">
        <v>38</v>
      </c>
      <c r="L474" s="575" t="s">
        <v>38</v>
      </c>
      <c r="M474" s="575" t="s">
        <v>38</v>
      </c>
      <c r="N474" s="575" t="s">
        <v>38</v>
      </c>
      <c r="O474" s="575" t="s">
        <v>38</v>
      </c>
      <c r="P474" s="575" t="s">
        <v>38</v>
      </c>
      <c r="Q474" s="575" t="s">
        <v>38</v>
      </c>
      <c r="R474" s="575" t="s">
        <v>38</v>
      </c>
      <c r="S474" s="575" t="s">
        <v>38</v>
      </c>
      <c r="T474" s="575" t="s">
        <v>38</v>
      </c>
      <c r="U474" s="575" t="s">
        <v>38</v>
      </c>
      <c r="V474" s="575" t="s">
        <v>38</v>
      </c>
      <c r="W474" s="575" t="s">
        <v>38</v>
      </c>
      <c r="X474" s="575" t="s">
        <v>38</v>
      </c>
      <c r="Y474" s="575" t="s">
        <v>38</v>
      </c>
      <c r="Z474" s="575" t="s">
        <v>38</v>
      </c>
      <c r="AA474" s="575" t="s">
        <v>38</v>
      </c>
    </row>
    <row r="475" spans="1:27" ht="14.65" hidden="1" thickBot="1" x14ac:dyDescent="0.5">
      <c r="B475" s="552"/>
      <c r="D475" s="600" t="s">
        <v>181</v>
      </c>
      <c r="E475" s="616" t="e">
        <f ca="1">IRR($G475:$U475)</f>
        <v>#NUM!</v>
      </c>
      <c r="G475" s="615">
        <f ca="1">SUM(G470:G473)</f>
        <v>-1507083.8017492625</v>
      </c>
      <c r="H475" s="615">
        <f t="shared" ref="H475:AA475" ca="1" si="126">SUM(H470:H473)</f>
        <v>0</v>
      </c>
      <c r="I475" s="615">
        <f t="shared" ca="1" si="126"/>
        <v>0</v>
      </c>
      <c r="J475" s="615">
        <f t="shared" ca="1" si="126"/>
        <v>0</v>
      </c>
      <c r="K475" s="615">
        <f t="shared" ca="1" si="126"/>
        <v>0</v>
      </c>
      <c r="L475" s="615">
        <f t="shared" ca="1" si="126"/>
        <v>0</v>
      </c>
      <c r="M475" s="615">
        <f t="shared" ca="1" si="126"/>
        <v>0</v>
      </c>
      <c r="N475" s="615">
        <f t="shared" ca="1" si="126"/>
        <v>0</v>
      </c>
      <c r="O475" s="615">
        <f t="shared" ca="1" si="126"/>
        <v>0</v>
      </c>
      <c r="P475" s="615">
        <f t="shared" ca="1" si="126"/>
        <v>0</v>
      </c>
      <c r="Q475" s="615">
        <f t="shared" ca="1" si="126"/>
        <v>0</v>
      </c>
      <c r="R475" s="615">
        <f t="shared" ca="1" si="126"/>
        <v>0</v>
      </c>
      <c r="S475" s="615">
        <f t="shared" ca="1" si="126"/>
        <v>0</v>
      </c>
      <c r="T475" s="615">
        <f t="shared" ca="1" si="126"/>
        <v>0</v>
      </c>
      <c r="U475" s="615">
        <f t="shared" ca="1" si="126"/>
        <v>0</v>
      </c>
      <c r="V475" s="615">
        <f t="shared" ca="1" si="126"/>
        <v>0</v>
      </c>
      <c r="W475" s="615">
        <f t="shared" ca="1" si="126"/>
        <v>0</v>
      </c>
      <c r="X475" s="615">
        <f t="shared" ca="1" si="126"/>
        <v>0</v>
      </c>
      <c r="Y475" s="615">
        <f t="shared" ca="1" si="126"/>
        <v>0</v>
      </c>
      <c r="Z475" s="615">
        <f t="shared" ca="1" si="126"/>
        <v>0</v>
      </c>
      <c r="AA475" s="615">
        <f t="shared" ca="1" si="126"/>
        <v>0</v>
      </c>
    </row>
    <row r="476" spans="1:27" hidden="1" x14ac:dyDescent="0.45"/>
    <row r="477" spans="1:27" hidden="1" x14ac:dyDescent="0.45"/>
    <row r="478" spans="1:27" x14ac:dyDescent="0.45">
      <c r="A478" s="619" t="s">
        <v>108</v>
      </c>
      <c r="E478" s="549"/>
      <c r="M478" s="599"/>
    </row>
    <row r="479" spans="1:27" x14ac:dyDescent="0.45">
      <c r="E479" s="687"/>
    </row>
    <row r="480" spans="1:27" x14ac:dyDescent="0.45">
      <c r="E480" s="687"/>
    </row>
  </sheetData>
  <mergeCells count="1">
    <mergeCell ref="B7:D7"/>
  </mergeCells>
  <phoneticPr fontId="108" type="noConversion"/>
  <pageMargins left="0.23622047244094491" right="0.23622047244094491" top="0.74803149606299213" bottom="0.74803149606299213" header="0.31496062992125984" footer="0.31496062992125984"/>
  <pageSetup paperSize="9" scale="45" fitToHeight="0" orientation="landscape" r:id="rId1"/>
  <headerFooter>
    <oddFooter>Page &amp;P of &amp;N</oddFooter>
  </headerFooter>
  <rowBreaks count="4" manualBreakCount="4">
    <brk id="236" max="15" man="1"/>
    <brk id="299" max="15" man="1"/>
    <brk id="373" max="15" man="1"/>
    <brk id="401" max="15"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pageSetUpPr fitToPage="1"/>
  </sheetPr>
  <dimension ref="A1:AK623"/>
  <sheetViews>
    <sheetView showGridLines="0" zoomScale="70" zoomScaleNormal="70" workbookViewId="0">
      <pane xSplit="6" ySplit="3" topLeftCell="G85" activePane="bottomRight" state="frozen"/>
      <selection activeCell="H11" sqref="H11"/>
      <selection pane="topRight" activeCell="H11" sqref="H11"/>
      <selection pane="bottomLeft" activeCell="H11" sqref="H11"/>
      <selection pane="bottomRight" activeCell="G6" sqref="G6"/>
    </sheetView>
  </sheetViews>
  <sheetFormatPr defaultColWidth="17.265625" defaultRowHeight="15" customHeight="1" x14ac:dyDescent="0.45"/>
  <cols>
    <col min="1" max="2" width="4.86328125" style="277" customWidth="1"/>
    <col min="3" max="3" width="12.59765625" style="277" customWidth="1"/>
    <col min="4" max="4" width="34.86328125" style="277" customWidth="1"/>
    <col min="5" max="5" width="19.73046875" style="277" customWidth="1"/>
    <col min="6" max="6" width="16.265625" style="277" customWidth="1"/>
    <col min="7" max="27" width="15.59765625" style="277" customWidth="1"/>
    <col min="28" max="28" width="15" style="277" customWidth="1"/>
    <col min="29" max="37" width="10.86328125" style="277" customWidth="1"/>
    <col min="38" max="16384" width="17.265625" style="277"/>
  </cols>
  <sheetData>
    <row r="1" spans="1:37" ht="20.25" customHeight="1" x14ac:dyDescent="0.45">
      <c r="B1" s="278"/>
      <c r="C1" s="279"/>
      <c r="D1" s="280"/>
      <c r="E1" s="281"/>
      <c r="F1" s="282"/>
      <c r="G1" s="283">
        <v>1</v>
      </c>
      <c r="H1" s="283">
        <v>2</v>
      </c>
      <c r="I1" s="283">
        <v>3</v>
      </c>
      <c r="J1" s="283">
        <v>4</v>
      </c>
      <c r="K1" s="283">
        <v>5</v>
      </c>
      <c r="L1" s="283">
        <v>6</v>
      </c>
      <c r="M1" s="283">
        <v>7</v>
      </c>
      <c r="N1" s="283">
        <v>8</v>
      </c>
      <c r="O1" s="283">
        <v>9</v>
      </c>
      <c r="P1" s="283">
        <v>10</v>
      </c>
      <c r="Q1" s="283">
        <v>11</v>
      </c>
      <c r="R1" s="283">
        <v>12</v>
      </c>
      <c r="S1" s="283">
        <v>13</v>
      </c>
      <c r="T1" s="283">
        <v>14</v>
      </c>
      <c r="U1" s="283">
        <v>15</v>
      </c>
      <c r="V1" s="283">
        <v>16</v>
      </c>
      <c r="W1" s="283">
        <v>17</v>
      </c>
      <c r="X1" s="283">
        <v>18</v>
      </c>
      <c r="Y1" s="283">
        <v>19</v>
      </c>
      <c r="Z1" s="283">
        <v>20</v>
      </c>
      <c r="AA1" s="283">
        <v>21</v>
      </c>
      <c r="AB1" s="284"/>
      <c r="AC1" s="284"/>
      <c r="AD1" s="284"/>
      <c r="AE1" s="284"/>
      <c r="AF1" s="284"/>
      <c r="AG1" s="284"/>
      <c r="AH1" s="284"/>
      <c r="AI1" s="284"/>
      <c r="AJ1" s="284"/>
      <c r="AK1" s="284"/>
    </row>
    <row r="2" spans="1:37" ht="13.5" customHeight="1" x14ac:dyDescent="0.45">
      <c r="A2" s="285" t="s">
        <v>478</v>
      </c>
      <c r="B2" s="286"/>
      <c r="C2" s="287"/>
      <c r="D2" s="288"/>
      <c r="E2" s="289"/>
      <c r="F2" s="290"/>
      <c r="G2" s="291">
        <v>2020</v>
      </c>
      <c r="H2" s="291">
        <f>G2+1</f>
        <v>2021</v>
      </c>
      <c r="I2" s="291">
        <f t="shared" ref="I2:AA2" si="0">H2+1</f>
        <v>2022</v>
      </c>
      <c r="J2" s="291">
        <f t="shared" si="0"/>
        <v>2023</v>
      </c>
      <c r="K2" s="291">
        <f t="shared" si="0"/>
        <v>2024</v>
      </c>
      <c r="L2" s="291">
        <f t="shared" si="0"/>
        <v>2025</v>
      </c>
      <c r="M2" s="291">
        <f t="shared" si="0"/>
        <v>2026</v>
      </c>
      <c r="N2" s="291">
        <f t="shared" si="0"/>
        <v>2027</v>
      </c>
      <c r="O2" s="291">
        <f t="shared" si="0"/>
        <v>2028</v>
      </c>
      <c r="P2" s="291">
        <f t="shared" si="0"/>
        <v>2029</v>
      </c>
      <c r="Q2" s="291">
        <f t="shared" si="0"/>
        <v>2030</v>
      </c>
      <c r="R2" s="291">
        <f t="shared" si="0"/>
        <v>2031</v>
      </c>
      <c r="S2" s="291">
        <f t="shared" si="0"/>
        <v>2032</v>
      </c>
      <c r="T2" s="291">
        <f t="shared" si="0"/>
        <v>2033</v>
      </c>
      <c r="U2" s="291">
        <f t="shared" si="0"/>
        <v>2034</v>
      </c>
      <c r="V2" s="291">
        <f t="shared" si="0"/>
        <v>2035</v>
      </c>
      <c r="W2" s="291">
        <f t="shared" si="0"/>
        <v>2036</v>
      </c>
      <c r="X2" s="291">
        <f t="shared" si="0"/>
        <v>2037</v>
      </c>
      <c r="Y2" s="291">
        <f t="shared" si="0"/>
        <v>2038</v>
      </c>
      <c r="Z2" s="291">
        <f t="shared" si="0"/>
        <v>2039</v>
      </c>
      <c r="AA2" s="291">
        <f t="shared" si="0"/>
        <v>2040</v>
      </c>
      <c r="AB2" s="292"/>
      <c r="AC2" s="292"/>
      <c r="AD2" s="292"/>
      <c r="AE2" s="292"/>
      <c r="AF2" s="292"/>
      <c r="AG2" s="292"/>
      <c r="AH2" s="292"/>
      <c r="AI2" s="292"/>
      <c r="AJ2" s="292"/>
      <c r="AK2" s="292"/>
    </row>
    <row r="3" spans="1:37" ht="12.95" customHeight="1" x14ac:dyDescent="0.45">
      <c r="A3" s="293"/>
      <c r="B3" s="278"/>
      <c r="C3" s="294"/>
      <c r="D3" s="295"/>
      <c r="E3" s="296"/>
      <c r="F3" s="297"/>
      <c r="G3" s="19">
        <f ca="1">'Financial Overview'!G6</f>
        <v>596774.65500491671</v>
      </c>
      <c r="H3" s="19">
        <f ca="1">'Financial Overview'!H6</f>
        <v>559751.44489366515</v>
      </c>
      <c r="I3" s="19">
        <f ca="1">'Financial Overview'!I6</f>
        <v>3329013.1213671113</v>
      </c>
      <c r="J3" s="19">
        <f ca="1">'Financial Overview'!J6</f>
        <v>5545410.5291152643</v>
      </c>
      <c r="K3" s="19">
        <f ca="1">'Financial Overview'!K6</f>
        <v>7888984.1662379857</v>
      </c>
      <c r="L3" s="19">
        <f ca="1">'Financial Overview'!L6</f>
        <v>10371977.065185256</v>
      </c>
      <c r="M3" s="298"/>
      <c r="N3" s="298"/>
      <c r="O3" s="298"/>
      <c r="P3" s="298"/>
      <c r="Q3" s="298"/>
      <c r="R3" s="298"/>
      <c r="S3" s="298"/>
      <c r="T3" s="298"/>
      <c r="U3" s="298"/>
      <c r="V3" s="298"/>
      <c r="W3" s="298"/>
      <c r="X3" s="298"/>
      <c r="Y3" s="298"/>
      <c r="Z3" s="298"/>
      <c r="AA3" s="298"/>
      <c r="AB3" s="284"/>
      <c r="AC3" s="284"/>
      <c r="AD3" s="284"/>
      <c r="AE3" s="284"/>
      <c r="AF3" s="284"/>
      <c r="AG3" s="284"/>
      <c r="AH3" s="284"/>
      <c r="AI3" s="284"/>
      <c r="AJ3" s="284"/>
      <c r="AK3" s="284"/>
    </row>
    <row r="4" spans="1:37" ht="23.25" customHeight="1" x14ac:dyDescent="0.45">
      <c r="A4" s="293" t="s">
        <v>383</v>
      </c>
      <c r="B4" s="278"/>
      <c r="C4" s="294"/>
      <c r="D4" s="299"/>
      <c r="E4" s="299" t="s">
        <v>384</v>
      </c>
      <c r="F4" s="300" t="s">
        <v>385</v>
      </c>
      <c r="G4" s="301"/>
      <c r="H4" s="301"/>
      <c r="I4" s="301"/>
      <c r="J4" s="301"/>
      <c r="K4" s="301"/>
      <c r="L4" s="301"/>
      <c r="M4" s="301"/>
      <c r="N4" s="301"/>
      <c r="O4" s="301"/>
      <c r="P4" s="301"/>
      <c r="Q4" s="301"/>
      <c r="R4" s="301"/>
      <c r="S4" s="301"/>
      <c r="T4" s="301"/>
      <c r="U4" s="301"/>
      <c r="V4" s="301"/>
      <c r="W4" s="301"/>
      <c r="X4" s="301"/>
      <c r="Y4" s="301"/>
      <c r="Z4" s="301"/>
      <c r="AA4" s="301"/>
      <c r="AB4" s="284"/>
      <c r="AC4" s="284"/>
      <c r="AD4" s="284"/>
      <c r="AE4" s="284"/>
      <c r="AF4" s="284"/>
      <c r="AG4" s="284"/>
      <c r="AH4" s="284"/>
      <c r="AI4" s="284"/>
      <c r="AJ4" s="284"/>
      <c r="AK4" s="284"/>
    </row>
    <row r="5" spans="1:37" ht="12.95" customHeight="1" x14ac:dyDescent="0.45">
      <c r="A5" s="293"/>
      <c r="B5" s="278"/>
      <c r="C5" s="339" t="s">
        <v>481</v>
      </c>
      <c r="D5" s="294"/>
      <c r="E5" s="302"/>
      <c r="F5" s="303"/>
      <c r="G5" s="304">
        <f>SUMIF('Capex Data'!$F$11:$F$33,'Financing Template'!$C5,'Capex Data'!$K$11:$K$33)*Assumptions!H$17*(1+Assumptions!$H$184)^('Financing Template'!G$2-'Financing Template'!$G$2)+SUMIF('Capex Data'!$F$38:$F$73,'Financing Template'!$C5,'Capex Data'!$K$38:$K$73)*Assumptions!H$18*(1+Assumptions!$H$184)^('Financing Template'!G$2-'Financing Template'!$G$2)</f>
        <v>0</v>
      </c>
      <c r="H5" s="304">
        <f>SUMIF('Capex Data'!$F$11:$F$33,'Financing Template'!$C5,'Capex Data'!$K$11:$K$33)*Assumptions!I$17*(1+Assumptions!$H$184)^('Financing Template'!H$2-'Financing Template'!$G$2)+SUMIF('Capex Data'!$F$38:$F$73,'Financing Template'!$C5,'Capex Data'!$K$38:$K$73)*Assumptions!I$18*(1+Assumptions!$H$184)^('Financing Template'!H$2-'Financing Template'!$G$2)</f>
        <v>0</v>
      </c>
      <c r="I5" s="304">
        <f>SUMIF('Capex Data'!$F$11:$F$33,'Financing Template'!$C5,'Capex Data'!$K$11:$K$33)*Assumptions!J$17*(1+Assumptions!$H$184)^('Financing Template'!I$2-'Financing Template'!$G$2)+SUMIF('Capex Data'!$F$38:$F$73,'Financing Template'!$C5,'Capex Data'!$K$38:$K$73)*Assumptions!J$18*(1+Assumptions!$H$184)^('Financing Template'!I$2-'Financing Template'!$G$2)</f>
        <v>0</v>
      </c>
      <c r="J5" s="304">
        <f>SUMIF('Capex Data'!$F$11:$F$33,'Financing Template'!$C5,'Capex Data'!$K$11:$K$33)*Assumptions!K$17*(1+Assumptions!$H$184)^('Financing Template'!J$2-'Financing Template'!$G$2)+SUMIF('Capex Data'!$F$38:$F$73,'Financing Template'!$C5,'Capex Data'!$K$38:$K$73)*Assumptions!K$18*(1+Assumptions!$H$184)^('Financing Template'!J$2-'Financing Template'!$G$2)</f>
        <v>0</v>
      </c>
      <c r="K5" s="304">
        <f>SUMIF('Capex Data'!$F$11:$F$33,'Financing Template'!$C5,'Capex Data'!$K$11:$K$33)*Assumptions!L$17*(1+Assumptions!$H$184)^('Financing Template'!K$2-'Financing Template'!$G$2)+SUMIF('Capex Data'!$F$38:$F$73,'Financing Template'!$C5,'Capex Data'!$K$38:$K$73)*Assumptions!L$18*(1+Assumptions!$H$184)^('Financing Template'!K$2-'Financing Template'!$G$2)</f>
        <v>0</v>
      </c>
      <c r="L5" s="304">
        <f>SUMIF('Capex Data'!$F$11:$F$33,'Financing Template'!$C5,'Capex Data'!$K$11:$K$33)*Assumptions!M$17*(1+Assumptions!$H$184)^('Financing Template'!L$2-'Financing Template'!$G$2)+SUMIF('Capex Data'!$F$38:$F$73,'Financing Template'!$C5,'Capex Data'!$K$38:$K$73)*Assumptions!M$18*(1+Assumptions!$H$184)^('Financing Template'!L$2-'Financing Template'!$G$2)</f>
        <v>0</v>
      </c>
      <c r="M5" s="304">
        <f>SUMIF('Capex Data'!$F$11:$F$33,'Financing Template'!$C5,'Capex Data'!$K$11:$K$33)*Assumptions!N$17*(1+Assumptions!$H$184)^('Financing Template'!M$2-'Financing Template'!$G$2)+SUMIF('Capex Data'!$F$38:$F$73,'Financing Template'!$C5,'Capex Data'!$K$38:$K$73)*Assumptions!N$18*(1+Assumptions!$H$184)^('Financing Template'!M$2-'Financing Template'!$G$2)</f>
        <v>0</v>
      </c>
      <c r="N5" s="304">
        <f>SUMIF('Capex Data'!$F$11:$F$33,'Financing Template'!$C5,'Capex Data'!$K$11:$K$33)*Assumptions!O$17*(1+Assumptions!$H$184)^('Financing Template'!N$2-'Financing Template'!$G$2)+SUMIF('Capex Data'!$F$38:$F$73,'Financing Template'!$C5,'Capex Data'!$K$38:$K$73)*Assumptions!O$18*(1+Assumptions!$H$184)^('Financing Template'!N$2-'Financing Template'!$G$2)</f>
        <v>0</v>
      </c>
      <c r="O5" s="304">
        <f>SUMIF('Capex Data'!$F$11:$F$33,'Financing Template'!$C5,'Capex Data'!$K$11:$K$33)*Assumptions!P$17*(1+Assumptions!$H$184)^('Financing Template'!O$2-'Financing Template'!$G$2)+SUMIF('Capex Data'!$F$38:$F$73,'Financing Template'!$C5,'Capex Data'!$K$38:$K$73)*Assumptions!P$18*(1+Assumptions!$H$184)^('Financing Template'!O$2-'Financing Template'!$G$2)</f>
        <v>0</v>
      </c>
      <c r="P5" s="304">
        <f>SUMIF('Capex Data'!$F$11:$F$33,'Financing Template'!$C5,'Capex Data'!$K$11:$K$33)*Assumptions!Q$17*(1+Assumptions!$H$184)^('Financing Template'!P$2-'Financing Template'!$G$2)+SUMIF('Capex Data'!$F$38:$F$73,'Financing Template'!$C5,'Capex Data'!$K$38:$K$73)*Assumptions!Q$18*(1+Assumptions!$H$184)^('Financing Template'!P$2-'Financing Template'!$G$2)</f>
        <v>0</v>
      </c>
      <c r="Q5" s="304">
        <f>SUMIF('Capex Data'!$F$11:$F$33,'Financing Template'!$C5,'Capex Data'!$K$11:$K$33)*Assumptions!R$17*(1+Assumptions!$H$184)^('Financing Template'!Q$2-'Financing Template'!$G$2)+SUMIF('Capex Data'!$F$38:$F$73,'Financing Template'!$C5,'Capex Data'!$K$38:$K$73)*Assumptions!R$18*(1+Assumptions!$H$184)^('Financing Template'!Q$2-'Financing Template'!$G$2)</f>
        <v>0</v>
      </c>
      <c r="R5" s="304">
        <f>SUMIF('Capex Data'!$F$11:$F$33,'Financing Template'!$C5,'Capex Data'!$K$11:$K$33)*Assumptions!S$17*(1+Assumptions!$H$184)^('Financing Template'!R$2-'Financing Template'!$G$2)+SUMIF('Capex Data'!$F$38:$F$73,'Financing Template'!$C5,'Capex Data'!$K$38:$K$73)*Assumptions!S$18*(1+Assumptions!$H$184)^('Financing Template'!R$2-'Financing Template'!$G$2)</f>
        <v>0</v>
      </c>
      <c r="S5" s="304">
        <f>SUMIF('Capex Data'!$F$11:$F$33,'Financing Template'!$C5,'Capex Data'!$K$11:$K$33)*Assumptions!T$17*(1+Assumptions!$H$184)^('Financing Template'!S$2-'Financing Template'!$G$2)+SUMIF('Capex Data'!$F$38:$F$73,'Financing Template'!$C5,'Capex Data'!$K$38:$K$73)*Assumptions!T$18*(1+Assumptions!$H$184)^('Financing Template'!S$2-'Financing Template'!$G$2)</f>
        <v>0</v>
      </c>
      <c r="T5" s="304">
        <f>SUMIF('Capex Data'!$F$11:$F$33,'Financing Template'!$C5,'Capex Data'!$K$11:$K$33)*Assumptions!U$17*(1+Assumptions!$H$184)^('Financing Template'!T$2-'Financing Template'!$G$2)+SUMIF('Capex Data'!$F$38:$F$73,'Financing Template'!$C5,'Capex Data'!$K$38:$K$73)*Assumptions!U$18*(1+Assumptions!$H$184)^('Financing Template'!T$2-'Financing Template'!$G$2)</f>
        <v>0</v>
      </c>
      <c r="U5" s="304">
        <f>SUMIF('Capex Data'!$F$11:$F$33,'Financing Template'!$C5,'Capex Data'!$K$11:$K$33)*Assumptions!V$17*(1+Assumptions!$H$184)^('Financing Template'!U$2-'Financing Template'!$G$2)+SUMIF('Capex Data'!$F$38:$F$73,'Financing Template'!$C5,'Capex Data'!$K$38:$K$73)*Assumptions!V$18*(1+Assumptions!$H$184)^('Financing Template'!U$2-'Financing Template'!$G$2)</f>
        <v>0</v>
      </c>
      <c r="V5" s="304">
        <f>SUMIF('Capex Data'!$F$11:$F$33,'Financing Template'!$C5,'Capex Data'!$K$11:$K$33)*Assumptions!W$17*(1+Assumptions!$H$184)^('Financing Template'!V$2-'Financing Template'!$G$2)+SUMIF('Capex Data'!$F$38:$F$73,'Financing Template'!$C5,'Capex Data'!$K$38:$K$73)*Assumptions!W$18*(1+Assumptions!$H$184)^('Financing Template'!V$2-'Financing Template'!$G$2)</f>
        <v>0</v>
      </c>
      <c r="W5" s="304">
        <f>SUMIF('Capex Data'!$F$11:$F$33,'Financing Template'!$C5,'Capex Data'!$K$11:$K$33)*Assumptions!X$17*(1+Assumptions!$H$184)^('Financing Template'!W$2-'Financing Template'!$G$2)+SUMIF('Capex Data'!$F$38:$F$73,'Financing Template'!$C5,'Capex Data'!$K$38:$K$73)*Assumptions!X$18*(1+Assumptions!$H$184)^('Financing Template'!W$2-'Financing Template'!$G$2)</f>
        <v>0</v>
      </c>
      <c r="X5" s="304">
        <f>SUMIF('Capex Data'!$F$11:$F$33,'Financing Template'!$C5,'Capex Data'!$K$11:$K$33)*Assumptions!Y$17*(1+Assumptions!$H$184)^('Financing Template'!X$2-'Financing Template'!$G$2)+SUMIF('Capex Data'!$F$38:$F$73,'Financing Template'!$C5,'Capex Data'!$K$38:$K$73)*Assumptions!Y$18*(1+Assumptions!$H$184)^('Financing Template'!X$2-'Financing Template'!$G$2)</f>
        <v>0</v>
      </c>
      <c r="Y5" s="304">
        <f>SUMIF('Capex Data'!$F$11:$F$33,'Financing Template'!$C5,'Capex Data'!$K$11:$K$33)*Assumptions!Z$17*(1+Assumptions!$H$184)^('Financing Template'!Y$2-'Financing Template'!$G$2)+SUMIF('Capex Data'!$F$38:$F$73,'Financing Template'!$C5,'Capex Data'!$K$38:$K$73)*Assumptions!Z$18*(1+Assumptions!$H$184)^('Financing Template'!Y$2-'Financing Template'!$G$2)</f>
        <v>0</v>
      </c>
      <c r="Z5" s="304">
        <f>SUMIF('Capex Data'!$F$11:$F$33,'Financing Template'!$C5,'Capex Data'!$K$11:$K$33)*Assumptions!AA$17*(1+Assumptions!$H$184)^('Financing Template'!Z$2-'Financing Template'!$G$2)+SUMIF('Capex Data'!$F$38:$F$73,'Financing Template'!$C5,'Capex Data'!$K$38:$K$73)*Assumptions!AA$18*(1+Assumptions!$H$184)^('Financing Template'!Z$2-'Financing Template'!$G$2)</f>
        <v>0</v>
      </c>
      <c r="AA5" s="304">
        <f>SUMIF('Capex Data'!$F$11:$F$33,'Financing Template'!$C5,'Capex Data'!$K$11:$K$33)*Assumptions!AB$17*(1+Assumptions!$H$184)^('Financing Template'!AA$2-'Financing Template'!$G$2)+SUMIF('Capex Data'!$F$38:$F$73,'Financing Template'!$C5,'Capex Data'!$K$38:$K$73)*Assumptions!AB$18*(1+Assumptions!$H$184)^('Financing Template'!AA$2-'Financing Template'!$G$2)</f>
        <v>0</v>
      </c>
      <c r="AB5" s="284"/>
      <c r="AC5" s="284"/>
      <c r="AD5" s="284"/>
      <c r="AE5" s="284"/>
      <c r="AF5" s="284"/>
      <c r="AG5" s="284"/>
      <c r="AH5" s="284"/>
      <c r="AI5" s="284"/>
      <c r="AJ5" s="284"/>
      <c r="AK5" s="284"/>
    </row>
    <row r="6" spans="1:37" ht="12.95" customHeight="1" x14ac:dyDescent="0.45">
      <c r="A6" s="293"/>
      <c r="B6" s="278"/>
      <c r="C6" s="339" t="s">
        <v>483</v>
      </c>
      <c r="D6" s="294"/>
      <c r="E6" s="302"/>
      <c r="F6" s="303"/>
      <c r="G6" s="304">
        <f>SUMIF('Capex Data'!$F$11:$F$33,'Financing Template'!$C6,'Capex Data'!$K$11:$K$33)*Assumptions!H$17*(1+Assumptions!$H$184)^('Financing Template'!G$2-'Financing Template'!$G$2)+SUMIF('Capex Data'!$F$38:$F$73,'Financing Template'!$C6,'Capex Data'!$K$38:$K$73)*Assumptions!H$18*(1+Assumptions!$H$184)^('Financing Template'!G$2-'Financing Template'!$G$2)</f>
        <v>1922804.674457429</v>
      </c>
      <c r="H6" s="304">
        <f>SUMIF('Capex Data'!$F$11:$F$33,'Financing Template'!$C6,'Capex Data'!$K$11:$K$33)*Assumptions!I$17*(1+Assumptions!$H$184)^('Financing Template'!H$2-'Financing Template'!$G$2)+SUMIF('Capex Data'!$F$38:$F$73,'Financing Template'!$C6,'Capex Data'!$K$38:$K$73)*Assumptions!I$18*(1+Assumptions!$H$184)^('Financing Template'!H$2-'Financing Template'!$G$2)</f>
        <v>0</v>
      </c>
      <c r="I6" s="304">
        <f>SUMIF('Capex Data'!$F$11:$F$33,'Financing Template'!$C6,'Capex Data'!$K$11:$K$33)*Assumptions!J$17*(1+Assumptions!$H$184)^('Financing Template'!I$2-'Financing Template'!$G$2)+SUMIF('Capex Data'!$F$38:$F$73,'Financing Template'!$C6,'Capex Data'!$K$38:$K$73)*Assumptions!J$18*(1+Assumptions!$H$184)^('Financing Template'!I$2-'Financing Template'!$G$2)</f>
        <v>0</v>
      </c>
      <c r="J6" s="304">
        <f>SUMIF('Capex Data'!$F$11:$F$33,'Financing Template'!$C6,'Capex Data'!$K$11:$K$33)*Assumptions!K$17*(1+Assumptions!$H$184)^('Financing Template'!J$2-'Financing Template'!$G$2)+SUMIF('Capex Data'!$F$38:$F$73,'Financing Template'!$C6,'Capex Data'!$K$38:$K$73)*Assumptions!K$18*(1+Assumptions!$H$184)^('Financing Template'!J$2-'Financing Template'!$G$2)</f>
        <v>0</v>
      </c>
      <c r="K6" s="304">
        <f>SUMIF('Capex Data'!$F$11:$F$33,'Financing Template'!$C6,'Capex Data'!$K$11:$K$33)*Assumptions!L$17*(1+Assumptions!$H$184)^('Financing Template'!K$2-'Financing Template'!$G$2)+SUMIF('Capex Data'!$F$38:$F$73,'Financing Template'!$C6,'Capex Data'!$K$38:$K$73)*Assumptions!L$18*(1+Assumptions!$H$184)^('Financing Template'!K$2-'Financing Template'!$G$2)</f>
        <v>0</v>
      </c>
      <c r="L6" s="304">
        <f>SUMIF('Capex Data'!$F$11:$F$33,'Financing Template'!$C6,'Capex Data'!$K$11:$K$33)*Assumptions!M$17*(1+Assumptions!$H$184)^('Financing Template'!L$2-'Financing Template'!$G$2)+SUMIF('Capex Data'!$F$38:$F$73,'Financing Template'!$C6,'Capex Data'!$K$38:$K$73)*Assumptions!M$18*(1+Assumptions!$H$184)^('Financing Template'!L$2-'Financing Template'!$G$2)</f>
        <v>0</v>
      </c>
      <c r="M6" s="304">
        <f>SUMIF('Capex Data'!$F$11:$F$33,'Financing Template'!$C6,'Capex Data'!$K$11:$K$33)*Assumptions!N$17*(1+Assumptions!$H$184)^('Financing Template'!M$2-'Financing Template'!$G$2)+SUMIF('Capex Data'!$F$38:$F$73,'Financing Template'!$C6,'Capex Data'!$K$38:$K$73)*Assumptions!N$18*(1+Assumptions!$H$184)^('Financing Template'!M$2-'Financing Template'!$G$2)</f>
        <v>0</v>
      </c>
      <c r="N6" s="304">
        <f>SUMIF('Capex Data'!$F$11:$F$33,'Financing Template'!$C6,'Capex Data'!$K$11:$K$33)*Assumptions!O$17*(1+Assumptions!$H$184)^('Financing Template'!N$2-'Financing Template'!$G$2)+SUMIF('Capex Data'!$F$38:$F$73,'Financing Template'!$C6,'Capex Data'!$K$38:$K$73)*Assumptions!O$18*(1+Assumptions!$H$184)^('Financing Template'!N$2-'Financing Template'!$G$2)</f>
        <v>0</v>
      </c>
      <c r="O6" s="304">
        <f>SUMIF('Capex Data'!$F$11:$F$33,'Financing Template'!$C6,'Capex Data'!$K$11:$K$33)*Assumptions!P$17*(1+Assumptions!$H$184)^('Financing Template'!O$2-'Financing Template'!$G$2)+SUMIF('Capex Data'!$F$38:$F$73,'Financing Template'!$C6,'Capex Data'!$K$38:$K$73)*Assumptions!P$18*(1+Assumptions!$H$184)^('Financing Template'!O$2-'Financing Template'!$G$2)</f>
        <v>0</v>
      </c>
      <c r="P6" s="304">
        <f>SUMIF('Capex Data'!$F$11:$F$33,'Financing Template'!$C6,'Capex Data'!$K$11:$K$33)*Assumptions!Q$17*(1+Assumptions!$H$184)^('Financing Template'!P$2-'Financing Template'!$G$2)+SUMIF('Capex Data'!$F$38:$F$73,'Financing Template'!$C6,'Capex Data'!$K$38:$K$73)*Assumptions!Q$18*(1+Assumptions!$H$184)^('Financing Template'!P$2-'Financing Template'!$G$2)</f>
        <v>0</v>
      </c>
      <c r="Q6" s="304">
        <f>SUMIF('Capex Data'!$F$11:$F$33,'Financing Template'!$C6,'Capex Data'!$K$11:$K$33)*Assumptions!R$17*(1+Assumptions!$H$184)^('Financing Template'!Q$2-'Financing Template'!$G$2)+SUMIF('Capex Data'!$F$38:$F$73,'Financing Template'!$C6,'Capex Data'!$K$38:$K$73)*Assumptions!R$18*(1+Assumptions!$H$184)^('Financing Template'!Q$2-'Financing Template'!$G$2)</f>
        <v>0</v>
      </c>
      <c r="R6" s="304">
        <f>SUMIF('Capex Data'!$F$11:$F$33,'Financing Template'!$C6,'Capex Data'!$K$11:$K$33)*Assumptions!S$17*(1+Assumptions!$H$184)^('Financing Template'!R$2-'Financing Template'!$G$2)+SUMIF('Capex Data'!$F$38:$F$73,'Financing Template'!$C6,'Capex Data'!$K$38:$K$73)*Assumptions!S$18*(1+Assumptions!$H$184)^('Financing Template'!R$2-'Financing Template'!$G$2)</f>
        <v>0</v>
      </c>
      <c r="S6" s="304">
        <f>SUMIF('Capex Data'!$F$11:$F$33,'Financing Template'!$C6,'Capex Data'!$K$11:$K$33)*Assumptions!T$17*(1+Assumptions!$H$184)^('Financing Template'!S$2-'Financing Template'!$G$2)+SUMIF('Capex Data'!$F$38:$F$73,'Financing Template'!$C6,'Capex Data'!$K$38:$K$73)*Assumptions!T$18*(1+Assumptions!$H$184)^('Financing Template'!S$2-'Financing Template'!$G$2)</f>
        <v>0</v>
      </c>
      <c r="T6" s="304">
        <f>SUMIF('Capex Data'!$F$11:$F$33,'Financing Template'!$C6,'Capex Data'!$K$11:$K$33)*Assumptions!U$17*(1+Assumptions!$H$184)^('Financing Template'!T$2-'Financing Template'!$G$2)+SUMIF('Capex Data'!$F$38:$F$73,'Financing Template'!$C6,'Capex Data'!$K$38:$K$73)*Assumptions!U$18*(1+Assumptions!$H$184)^('Financing Template'!T$2-'Financing Template'!$G$2)</f>
        <v>0</v>
      </c>
      <c r="U6" s="304">
        <f>SUMIF('Capex Data'!$F$11:$F$33,'Financing Template'!$C6,'Capex Data'!$K$11:$K$33)*Assumptions!V$17*(1+Assumptions!$H$184)^('Financing Template'!U$2-'Financing Template'!$G$2)+SUMIF('Capex Data'!$F$38:$F$73,'Financing Template'!$C6,'Capex Data'!$K$38:$K$73)*Assumptions!V$18*(1+Assumptions!$H$184)^('Financing Template'!U$2-'Financing Template'!$G$2)</f>
        <v>0</v>
      </c>
      <c r="V6" s="304">
        <f>SUMIF('Capex Data'!$F$11:$F$33,'Financing Template'!$C6,'Capex Data'!$K$11:$K$33)*Assumptions!W$17*(1+Assumptions!$H$184)^('Financing Template'!V$2-'Financing Template'!$G$2)+SUMIF('Capex Data'!$F$38:$F$73,'Financing Template'!$C6,'Capex Data'!$K$38:$K$73)*Assumptions!W$18*(1+Assumptions!$H$184)^('Financing Template'!V$2-'Financing Template'!$G$2)</f>
        <v>0</v>
      </c>
      <c r="W6" s="304">
        <f>SUMIF('Capex Data'!$F$11:$F$33,'Financing Template'!$C6,'Capex Data'!$K$11:$K$33)*Assumptions!X$17*(1+Assumptions!$H$184)^('Financing Template'!W$2-'Financing Template'!$G$2)+SUMIF('Capex Data'!$F$38:$F$73,'Financing Template'!$C6,'Capex Data'!$K$38:$K$73)*Assumptions!X$18*(1+Assumptions!$H$184)^('Financing Template'!W$2-'Financing Template'!$G$2)</f>
        <v>0</v>
      </c>
      <c r="X6" s="304">
        <f>SUMIF('Capex Data'!$F$11:$F$33,'Financing Template'!$C6,'Capex Data'!$K$11:$K$33)*Assumptions!Y$17*(1+Assumptions!$H$184)^('Financing Template'!X$2-'Financing Template'!$G$2)+SUMIF('Capex Data'!$F$38:$F$73,'Financing Template'!$C6,'Capex Data'!$K$38:$K$73)*Assumptions!Y$18*(1+Assumptions!$H$184)^('Financing Template'!X$2-'Financing Template'!$G$2)</f>
        <v>0</v>
      </c>
      <c r="Y6" s="304">
        <f>SUMIF('Capex Data'!$F$11:$F$33,'Financing Template'!$C6,'Capex Data'!$K$11:$K$33)*Assumptions!Z$17*(1+Assumptions!$H$184)^('Financing Template'!Y$2-'Financing Template'!$G$2)+SUMIF('Capex Data'!$F$38:$F$73,'Financing Template'!$C6,'Capex Data'!$K$38:$K$73)*Assumptions!Z$18*(1+Assumptions!$H$184)^('Financing Template'!Y$2-'Financing Template'!$G$2)</f>
        <v>0</v>
      </c>
      <c r="Z6" s="304">
        <f>SUMIF('Capex Data'!$F$11:$F$33,'Financing Template'!$C6,'Capex Data'!$K$11:$K$33)*Assumptions!AA$17*(1+Assumptions!$H$184)^('Financing Template'!Z$2-'Financing Template'!$G$2)+SUMIF('Capex Data'!$F$38:$F$73,'Financing Template'!$C6,'Capex Data'!$K$38:$K$73)*Assumptions!AA$18*(1+Assumptions!$H$184)^('Financing Template'!Z$2-'Financing Template'!$G$2)</f>
        <v>0</v>
      </c>
      <c r="AA6" s="304">
        <f>SUMIF('Capex Data'!$F$11:$F$33,'Financing Template'!$C6,'Capex Data'!$K$11:$K$33)*Assumptions!AB$17*(1+Assumptions!$H$184)^('Financing Template'!AA$2-'Financing Template'!$G$2)+SUMIF('Capex Data'!$F$38:$F$73,'Financing Template'!$C6,'Capex Data'!$K$38:$K$73)*Assumptions!AB$18*(1+Assumptions!$H$184)^('Financing Template'!AA$2-'Financing Template'!$G$2)</f>
        <v>0</v>
      </c>
      <c r="AB6" s="284"/>
      <c r="AC6" s="284"/>
      <c r="AD6" s="284"/>
      <c r="AE6" s="284"/>
      <c r="AF6" s="284"/>
      <c r="AG6" s="284"/>
      <c r="AH6" s="284"/>
      <c r="AI6" s="284"/>
      <c r="AJ6" s="284"/>
      <c r="AK6" s="284"/>
    </row>
    <row r="7" spans="1:37" ht="12.95" customHeight="1" x14ac:dyDescent="0.45">
      <c r="A7" s="293"/>
      <c r="B7" s="278"/>
      <c r="C7" s="339" t="s">
        <v>484</v>
      </c>
      <c r="D7" s="294"/>
      <c r="E7" s="302"/>
      <c r="F7" s="303"/>
      <c r="G7" s="304">
        <f>SUMIF('Capex Data'!$F$11:$F$33,'Financing Template'!$C7,'Capex Data'!$K$11:$K$33)*Assumptions!H$17*(1+Assumptions!$H$184)^('Financing Template'!G$2-'Financing Template'!$G$2)+SUMIF('Capex Data'!$F$38:$F$73,'Financing Template'!$C7,'Capex Data'!$K$38:$K$73)*Assumptions!H$18*(1+Assumptions!$H$184)^('Financing Template'!G$2-'Financing Template'!$G$2)</f>
        <v>0</v>
      </c>
      <c r="H7" s="304">
        <f>SUMIF('Capex Data'!$F$11:$F$33,'Financing Template'!$C7,'Capex Data'!$K$11:$K$33)*Assumptions!I$17*(1+Assumptions!$H$184)^('Financing Template'!H$2-'Financing Template'!$G$2)+SUMIF('Capex Data'!$F$38:$F$73,'Financing Template'!$C7,'Capex Data'!$K$38:$K$73)*Assumptions!I$18*(1+Assumptions!$H$184)^('Financing Template'!H$2-'Financing Template'!$G$2)</f>
        <v>0</v>
      </c>
      <c r="I7" s="304">
        <f>SUMIF('Capex Data'!$F$11:$F$33,'Financing Template'!$C7,'Capex Data'!$K$11:$K$33)*Assumptions!J$17*(1+Assumptions!$H$184)^('Financing Template'!I$2-'Financing Template'!$G$2)+SUMIF('Capex Data'!$F$38:$F$73,'Financing Template'!$C7,'Capex Data'!$K$38:$K$73)*Assumptions!J$18*(1+Assumptions!$H$184)^('Financing Template'!I$2-'Financing Template'!$G$2)</f>
        <v>0</v>
      </c>
      <c r="J7" s="304">
        <f>SUMIF('Capex Data'!$F$11:$F$33,'Financing Template'!$C7,'Capex Data'!$K$11:$K$33)*Assumptions!K$17*(1+Assumptions!$H$184)^('Financing Template'!J$2-'Financing Template'!$G$2)+SUMIF('Capex Data'!$F$38:$F$73,'Financing Template'!$C7,'Capex Data'!$K$38:$K$73)*Assumptions!K$18*(1+Assumptions!$H$184)^('Financing Template'!J$2-'Financing Template'!$G$2)</f>
        <v>0</v>
      </c>
      <c r="K7" s="304">
        <f>SUMIF('Capex Data'!$F$11:$F$33,'Financing Template'!$C7,'Capex Data'!$K$11:$K$33)*Assumptions!L$17*(1+Assumptions!$H$184)^('Financing Template'!K$2-'Financing Template'!$G$2)+SUMIF('Capex Data'!$F$38:$F$73,'Financing Template'!$C7,'Capex Data'!$K$38:$K$73)*Assumptions!L$18*(1+Assumptions!$H$184)^('Financing Template'!K$2-'Financing Template'!$G$2)</f>
        <v>0</v>
      </c>
      <c r="L7" s="304">
        <f>SUMIF('Capex Data'!$F$11:$F$33,'Financing Template'!$C7,'Capex Data'!$K$11:$K$33)*Assumptions!M$17*(1+Assumptions!$H$184)^('Financing Template'!L$2-'Financing Template'!$G$2)+SUMIF('Capex Data'!$F$38:$F$73,'Financing Template'!$C7,'Capex Data'!$K$38:$K$73)*Assumptions!M$18*(1+Assumptions!$H$184)^('Financing Template'!L$2-'Financing Template'!$G$2)</f>
        <v>0</v>
      </c>
      <c r="M7" s="304">
        <f>SUMIF('Capex Data'!$F$11:$F$33,'Financing Template'!$C7,'Capex Data'!$K$11:$K$33)*Assumptions!N$17*(1+Assumptions!$H$184)^('Financing Template'!M$2-'Financing Template'!$G$2)+SUMIF('Capex Data'!$F$38:$F$73,'Financing Template'!$C7,'Capex Data'!$K$38:$K$73)*Assumptions!N$18*(1+Assumptions!$H$184)^('Financing Template'!M$2-'Financing Template'!$G$2)</f>
        <v>0</v>
      </c>
      <c r="N7" s="304">
        <f>SUMIF('Capex Data'!$F$11:$F$33,'Financing Template'!$C7,'Capex Data'!$K$11:$K$33)*Assumptions!O$17*(1+Assumptions!$H$184)^('Financing Template'!N$2-'Financing Template'!$G$2)+SUMIF('Capex Data'!$F$38:$F$73,'Financing Template'!$C7,'Capex Data'!$K$38:$K$73)*Assumptions!O$18*(1+Assumptions!$H$184)^('Financing Template'!N$2-'Financing Template'!$G$2)</f>
        <v>0</v>
      </c>
      <c r="O7" s="304">
        <f>SUMIF('Capex Data'!$F$11:$F$33,'Financing Template'!$C7,'Capex Data'!$K$11:$K$33)*Assumptions!P$17*(1+Assumptions!$H$184)^('Financing Template'!O$2-'Financing Template'!$G$2)+SUMIF('Capex Data'!$F$38:$F$73,'Financing Template'!$C7,'Capex Data'!$K$38:$K$73)*Assumptions!P$18*(1+Assumptions!$H$184)^('Financing Template'!O$2-'Financing Template'!$G$2)</f>
        <v>0</v>
      </c>
      <c r="P7" s="304">
        <f>SUMIF('Capex Data'!$F$11:$F$33,'Financing Template'!$C7,'Capex Data'!$K$11:$K$33)*Assumptions!Q$17*(1+Assumptions!$H$184)^('Financing Template'!P$2-'Financing Template'!$G$2)+SUMIF('Capex Data'!$F$38:$F$73,'Financing Template'!$C7,'Capex Data'!$K$38:$K$73)*Assumptions!Q$18*(1+Assumptions!$H$184)^('Financing Template'!P$2-'Financing Template'!$G$2)</f>
        <v>0</v>
      </c>
      <c r="Q7" s="304">
        <f>SUMIF('Capex Data'!$F$11:$F$33,'Financing Template'!$C7,'Capex Data'!$K$11:$K$33)*Assumptions!R$17*(1+Assumptions!$H$184)^('Financing Template'!Q$2-'Financing Template'!$G$2)+SUMIF('Capex Data'!$F$38:$F$73,'Financing Template'!$C7,'Capex Data'!$K$38:$K$73)*Assumptions!R$18*(1+Assumptions!$H$184)^('Financing Template'!Q$2-'Financing Template'!$G$2)</f>
        <v>0</v>
      </c>
      <c r="R7" s="304">
        <f>SUMIF('Capex Data'!$F$11:$F$33,'Financing Template'!$C7,'Capex Data'!$K$11:$K$33)*Assumptions!S$17*(1+Assumptions!$H$184)^('Financing Template'!R$2-'Financing Template'!$G$2)+SUMIF('Capex Data'!$F$38:$F$73,'Financing Template'!$C7,'Capex Data'!$K$38:$K$73)*Assumptions!S$18*(1+Assumptions!$H$184)^('Financing Template'!R$2-'Financing Template'!$G$2)</f>
        <v>0</v>
      </c>
      <c r="S7" s="304">
        <f>SUMIF('Capex Data'!$F$11:$F$33,'Financing Template'!$C7,'Capex Data'!$K$11:$K$33)*Assumptions!T$17*(1+Assumptions!$H$184)^('Financing Template'!S$2-'Financing Template'!$G$2)+SUMIF('Capex Data'!$F$38:$F$73,'Financing Template'!$C7,'Capex Data'!$K$38:$K$73)*Assumptions!T$18*(1+Assumptions!$H$184)^('Financing Template'!S$2-'Financing Template'!$G$2)</f>
        <v>0</v>
      </c>
      <c r="T7" s="304">
        <f>SUMIF('Capex Data'!$F$11:$F$33,'Financing Template'!$C7,'Capex Data'!$K$11:$K$33)*Assumptions!U$17*(1+Assumptions!$H$184)^('Financing Template'!T$2-'Financing Template'!$G$2)+SUMIF('Capex Data'!$F$38:$F$73,'Financing Template'!$C7,'Capex Data'!$K$38:$K$73)*Assumptions!U$18*(1+Assumptions!$H$184)^('Financing Template'!T$2-'Financing Template'!$G$2)</f>
        <v>0</v>
      </c>
      <c r="U7" s="304">
        <f>SUMIF('Capex Data'!$F$11:$F$33,'Financing Template'!$C7,'Capex Data'!$K$11:$K$33)*Assumptions!V$17*(1+Assumptions!$H$184)^('Financing Template'!U$2-'Financing Template'!$G$2)+SUMIF('Capex Data'!$F$38:$F$73,'Financing Template'!$C7,'Capex Data'!$K$38:$K$73)*Assumptions!V$18*(1+Assumptions!$H$184)^('Financing Template'!U$2-'Financing Template'!$G$2)</f>
        <v>0</v>
      </c>
      <c r="V7" s="304">
        <f>SUMIF('Capex Data'!$F$11:$F$33,'Financing Template'!$C7,'Capex Data'!$K$11:$K$33)*Assumptions!W$17*(1+Assumptions!$H$184)^('Financing Template'!V$2-'Financing Template'!$G$2)+SUMIF('Capex Data'!$F$38:$F$73,'Financing Template'!$C7,'Capex Data'!$K$38:$K$73)*Assumptions!W$18*(1+Assumptions!$H$184)^('Financing Template'!V$2-'Financing Template'!$G$2)</f>
        <v>0</v>
      </c>
      <c r="W7" s="304">
        <f>SUMIF('Capex Data'!$F$11:$F$33,'Financing Template'!$C7,'Capex Data'!$K$11:$K$33)*Assumptions!X$17*(1+Assumptions!$H$184)^('Financing Template'!W$2-'Financing Template'!$G$2)+SUMIF('Capex Data'!$F$38:$F$73,'Financing Template'!$C7,'Capex Data'!$K$38:$K$73)*Assumptions!X$18*(1+Assumptions!$H$184)^('Financing Template'!W$2-'Financing Template'!$G$2)</f>
        <v>0</v>
      </c>
      <c r="X7" s="304">
        <f>SUMIF('Capex Data'!$F$11:$F$33,'Financing Template'!$C7,'Capex Data'!$K$11:$K$33)*Assumptions!Y$17*(1+Assumptions!$H$184)^('Financing Template'!X$2-'Financing Template'!$G$2)+SUMIF('Capex Data'!$F$38:$F$73,'Financing Template'!$C7,'Capex Data'!$K$38:$K$73)*Assumptions!Y$18*(1+Assumptions!$H$184)^('Financing Template'!X$2-'Financing Template'!$G$2)</f>
        <v>0</v>
      </c>
      <c r="Y7" s="304">
        <f>SUMIF('Capex Data'!$F$11:$F$33,'Financing Template'!$C7,'Capex Data'!$K$11:$K$33)*Assumptions!Z$17*(1+Assumptions!$H$184)^('Financing Template'!Y$2-'Financing Template'!$G$2)+SUMIF('Capex Data'!$F$38:$F$73,'Financing Template'!$C7,'Capex Data'!$K$38:$K$73)*Assumptions!Z$18*(1+Assumptions!$H$184)^('Financing Template'!Y$2-'Financing Template'!$G$2)</f>
        <v>0</v>
      </c>
      <c r="Z7" s="304">
        <f>SUMIF('Capex Data'!$F$11:$F$33,'Financing Template'!$C7,'Capex Data'!$K$11:$K$33)*Assumptions!AA$17*(1+Assumptions!$H$184)^('Financing Template'!Z$2-'Financing Template'!$G$2)+SUMIF('Capex Data'!$F$38:$F$73,'Financing Template'!$C7,'Capex Data'!$K$38:$K$73)*Assumptions!AA$18*(1+Assumptions!$H$184)^('Financing Template'!Z$2-'Financing Template'!$G$2)</f>
        <v>0</v>
      </c>
      <c r="AA7" s="304">
        <f>SUMIF('Capex Data'!$F$11:$F$33,'Financing Template'!$C7,'Capex Data'!$K$11:$K$33)*Assumptions!AB$17*(1+Assumptions!$H$184)^('Financing Template'!AA$2-'Financing Template'!$G$2)+SUMIF('Capex Data'!$F$38:$F$73,'Financing Template'!$C7,'Capex Data'!$K$38:$K$73)*Assumptions!AB$18*(1+Assumptions!$H$184)^('Financing Template'!AA$2-'Financing Template'!$G$2)</f>
        <v>0</v>
      </c>
      <c r="AB7" s="284"/>
      <c r="AC7" s="284"/>
      <c r="AD7" s="284"/>
      <c r="AE7" s="284"/>
      <c r="AF7" s="284"/>
      <c r="AG7" s="284"/>
      <c r="AH7" s="284"/>
      <c r="AI7" s="284"/>
      <c r="AJ7" s="284"/>
      <c r="AK7" s="284"/>
    </row>
    <row r="8" spans="1:37" ht="12.95" customHeight="1" x14ac:dyDescent="0.45">
      <c r="A8" s="293"/>
      <c r="B8" s="278"/>
      <c r="C8" s="339" t="s">
        <v>482</v>
      </c>
      <c r="D8" s="294"/>
      <c r="E8" s="302"/>
      <c r="F8" s="303"/>
      <c r="G8" s="304">
        <f>SUMIF('Capex Data'!$F$11:$F$33,'Financing Template'!$C8,'Capex Data'!$K$11:$K$33)*Assumptions!H$17*(1+Assumptions!$H$184)^('Financing Template'!G$2-'Financing Template'!$G$2)+SUMIF('Capex Data'!$F$38:$F$73,'Financing Template'!$C8,'Capex Data'!$K$38:$K$73)*Assumptions!H$18*(1+Assumptions!$H$184)^('Financing Template'!G$2-'Financing Template'!$G$2)</f>
        <v>472787.97996661102</v>
      </c>
      <c r="H8" s="304">
        <f>SUMIF('Capex Data'!$F$11:$F$33,'Financing Template'!$C8,'Capex Data'!$K$11:$K$33)*Assumptions!I$17*(1+Assumptions!$H$184)^('Financing Template'!H$2-'Financing Template'!$G$2)+SUMIF('Capex Data'!$F$38:$F$73,'Financing Template'!$C8,'Capex Data'!$K$38:$K$73)*Assumptions!I$18*(1+Assumptions!$H$184)^('Financing Template'!H$2-'Financing Template'!$G$2)</f>
        <v>0</v>
      </c>
      <c r="I8" s="304">
        <f>SUMIF('Capex Data'!$F$11:$F$33,'Financing Template'!$C8,'Capex Data'!$K$11:$K$33)*Assumptions!J$17*(1+Assumptions!$H$184)^('Financing Template'!I$2-'Financing Template'!$G$2)+SUMIF('Capex Data'!$F$38:$F$73,'Financing Template'!$C8,'Capex Data'!$K$38:$K$73)*Assumptions!J$18*(1+Assumptions!$H$184)^('Financing Template'!I$2-'Financing Template'!$G$2)</f>
        <v>0</v>
      </c>
      <c r="J8" s="304">
        <f>SUMIF('Capex Data'!$F$11:$F$33,'Financing Template'!$C8,'Capex Data'!$K$11:$K$33)*Assumptions!K$17*(1+Assumptions!$H$184)^('Financing Template'!J$2-'Financing Template'!$G$2)+SUMIF('Capex Data'!$F$38:$F$73,'Financing Template'!$C8,'Capex Data'!$K$38:$K$73)*Assumptions!K$18*(1+Assumptions!$H$184)^('Financing Template'!J$2-'Financing Template'!$G$2)</f>
        <v>0</v>
      </c>
      <c r="K8" s="304">
        <f>SUMIF('Capex Data'!$F$11:$F$33,'Financing Template'!$C8,'Capex Data'!$K$11:$K$33)*Assumptions!L$17*(1+Assumptions!$H$184)^('Financing Template'!K$2-'Financing Template'!$G$2)+SUMIF('Capex Data'!$F$38:$F$73,'Financing Template'!$C8,'Capex Data'!$K$38:$K$73)*Assumptions!L$18*(1+Assumptions!$H$184)^('Financing Template'!K$2-'Financing Template'!$G$2)</f>
        <v>0</v>
      </c>
      <c r="L8" s="304">
        <f>SUMIF('Capex Data'!$F$11:$F$33,'Financing Template'!$C8,'Capex Data'!$K$11:$K$33)*Assumptions!M$17*(1+Assumptions!$H$184)^('Financing Template'!L$2-'Financing Template'!$G$2)+SUMIF('Capex Data'!$F$38:$F$73,'Financing Template'!$C8,'Capex Data'!$K$38:$K$73)*Assumptions!M$18*(1+Assumptions!$H$184)^('Financing Template'!L$2-'Financing Template'!$G$2)</f>
        <v>0</v>
      </c>
      <c r="M8" s="304">
        <f>SUMIF('Capex Data'!$F$11:$F$33,'Financing Template'!$C8,'Capex Data'!$K$11:$K$33)*Assumptions!N$17*(1+Assumptions!$H$184)^('Financing Template'!M$2-'Financing Template'!$G$2)+SUMIF('Capex Data'!$F$38:$F$73,'Financing Template'!$C8,'Capex Data'!$K$38:$K$73)*Assumptions!N$18*(1+Assumptions!$H$184)^('Financing Template'!M$2-'Financing Template'!$G$2)</f>
        <v>0</v>
      </c>
      <c r="N8" s="304">
        <f>SUMIF('Capex Data'!$F$11:$F$33,'Financing Template'!$C8,'Capex Data'!$K$11:$K$33)*Assumptions!O$17*(1+Assumptions!$H$184)^('Financing Template'!N$2-'Financing Template'!$G$2)+SUMIF('Capex Data'!$F$38:$F$73,'Financing Template'!$C8,'Capex Data'!$K$38:$K$73)*Assumptions!O$18*(1+Assumptions!$H$184)^('Financing Template'!N$2-'Financing Template'!$G$2)</f>
        <v>0</v>
      </c>
      <c r="O8" s="304">
        <f>SUMIF('Capex Data'!$F$11:$F$33,'Financing Template'!$C8,'Capex Data'!$K$11:$K$33)*Assumptions!P$17*(1+Assumptions!$H$184)^('Financing Template'!O$2-'Financing Template'!$G$2)+SUMIF('Capex Data'!$F$38:$F$73,'Financing Template'!$C8,'Capex Data'!$K$38:$K$73)*Assumptions!P$18*(1+Assumptions!$H$184)^('Financing Template'!O$2-'Financing Template'!$G$2)</f>
        <v>0</v>
      </c>
      <c r="P8" s="304">
        <f>SUMIF('Capex Data'!$F$11:$F$33,'Financing Template'!$C8,'Capex Data'!$K$11:$K$33)*Assumptions!Q$17*(1+Assumptions!$H$184)^('Financing Template'!P$2-'Financing Template'!$G$2)+SUMIF('Capex Data'!$F$38:$F$73,'Financing Template'!$C8,'Capex Data'!$K$38:$K$73)*Assumptions!Q$18*(1+Assumptions!$H$184)^('Financing Template'!P$2-'Financing Template'!$G$2)</f>
        <v>0</v>
      </c>
      <c r="Q8" s="304">
        <f>SUMIF('Capex Data'!$F$11:$F$33,'Financing Template'!$C8,'Capex Data'!$K$11:$K$33)*Assumptions!R$17*(1+Assumptions!$H$184)^('Financing Template'!Q$2-'Financing Template'!$G$2)+SUMIF('Capex Data'!$F$38:$F$73,'Financing Template'!$C8,'Capex Data'!$K$38:$K$73)*Assumptions!R$18*(1+Assumptions!$H$184)^('Financing Template'!Q$2-'Financing Template'!$G$2)</f>
        <v>0</v>
      </c>
      <c r="R8" s="304">
        <f>SUMIF('Capex Data'!$F$11:$F$33,'Financing Template'!$C8,'Capex Data'!$K$11:$K$33)*Assumptions!S$17*(1+Assumptions!$H$184)^('Financing Template'!R$2-'Financing Template'!$G$2)+SUMIF('Capex Data'!$F$38:$F$73,'Financing Template'!$C8,'Capex Data'!$K$38:$K$73)*Assumptions!S$18*(1+Assumptions!$H$184)^('Financing Template'!R$2-'Financing Template'!$G$2)</f>
        <v>0</v>
      </c>
      <c r="S8" s="304">
        <f>SUMIF('Capex Data'!$F$11:$F$33,'Financing Template'!$C8,'Capex Data'!$K$11:$K$33)*Assumptions!T$17*(1+Assumptions!$H$184)^('Financing Template'!S$2-'Financing Template'!$G$2)+SUMIF('Capex Data'!$F$38:$F$73,'Financing Template'!$C8,'Capex Data'!$K$38:$K$73)*Assumptions!T$18*(1+Assumptions!$H$184)^('Financing Template'!S$2-'Financing Template'!$G$2)</f>
        <v>0</v>
      </c>
      <c r="T8" s="304">
        <f>SUMIF('Capex Data'!$F$11:$F$33,'Financing Template'!$C8,'Capex Data'!$K$11:$K$33)*Assumptions!U$17*(1+Assumptions!$H$184)^('Financing Template'!T$2-'Financing Template'!$G$2)+SUMIF('Capex Data'!$F$38:$F$73,'Financing Template'!$C8,'Capex Data'!$K$38:$K$73)*Assumptions!U$18*(1+Assumptions!$H$184)^('Financing Template'!T$2-'Financing Template'!$G$2)</f>
        <v>0</v>
      </c>
      <c r="U8" s="304">
        <f>SUMIF('Capex Data'!$F$11:$F$33,'Financing Template'!$C8,'Capex Data'!$K$11:$K$33)*Assumptions!V$17*(1+Assumptions!$H$184)^('Financing Template'!U$2-'Financing Template'!$G$2)+SUMIF('Capex Data'!$F$38:$F$73,'Financing Template'!$C8,'Capex Data'!$K$38:$K$73)*Assumptions!V$18*(1+Assumptions!$H$184)^('Financing Template'!U$2-'Financing Template'!$G$2)</f>
        <v>0</v>
      </c>
      <c r="V8" s="304">
        <f>SUMIF('Capex Data'!$F$11:$F$33,'Financing Template'!$C8,'Capex Data'!$K$11:$K$33)*Assumptions!W$17*(1+Assumptions!$H$184)^('Financing Template'!V$2-'Financing Template'!$G$2)+SUMIF('Capex Data'!$F$38:$F$73,'Financing Template'!$C8,'Capex Data'!$K$38:$K$73)*Assumptions!W$18*(1+Assumptions!$H$184)^('Financing Template'!V$2-'Financing Template'!$G$2)</f>
        <v>0</v>
      </c>
      <c r="W8" s="304">
        <f>SUMIF('Capex Data'!$F$11:$F$33,'Financing Template'!$C8,'Capex Data'!$K$11:$K$33)*Assumptions!X$17*(1+Assumptions!$H$184)^('Financing Template'!W$2-'Financing Template'!$G$2)+SUMIF('Capex Data'!$F$38:$F$73,'Financing Template'!$C8,'Capex Data'!$K$38:$K$73)*Assumptions!X$18*(1+Assumptions!$H$184)^('Financing Template'!W$2-'Financing Template'!$G$2)</f>
        <v>0</v>
      </c>
      <c r="X8" s="304">
        <f>SUMIF('Capex Data'!$F$11:$F$33,'Financing Template'!$C8,'Capex Data'!$K$11:$K$33)*Assumptions!Y$17*(1+Assumptions!$H$184)^('Financing Template'!X$2-'Financing Template'!$G$2)+SUMIF('Capex Data'!$F$38:$F$73,'Financing Template'!$C8,'Capex Data'!$K$38:$K$73)*Assumptions!Y$18*(1+Assumptions!$H$184)^('Financing Template'!X$2-'Financing Template'!$G$2)</f>
        <v>0</v>
      </c>
      <c r="Y8" s="304">
        <f>SUMIF('Capex Data'!$F$11:$F$33,'Financing Template'!$C8,'Capex Data'!$K$11:$K$33)*Assumptions!Z$17*(1+Assumptions!$H$184)^('Financing Template'!Y$2-'Financing Template'!$G$2)+SUMIF('Capex Data'!$F$38:$F$73,'Financing Template'!$C8,'Capex Data'!$K$38:$K$73)*Assumptions!Z$18*(1+Assumptions!$H$184)^('Financing Template'!Y$2-'Financing Template'!$G$2)</f>
        <v>0</v>
      </c>
      <c r="Z8" s="304">
        <f>SUMIF('Capex Data'!$F$11:$F$33,'Financing Template'!$C8,'Capex Data'!$K$11:$K$33)*Assumptions!AA$17*(1+Assumptions!$H$184)^('Financing Template'!Z$2-'Financing Template'!$G$2)+SUMIF('Capex Data'!$F$38:$F$73,'Financing Template'!$C8,'Capex Data'!$K$38:$K$73)*Assumptions!AA$18*(1+Assumptions!$H$184)^('Financing Template'!Z$2-'Financing Template'!$G$2)</f>
        <v>0</v>
      </c>
      <c r="AA8" s="304">
        <f>SUMIF('Capex Data'!$F$11:$F$33,'Financing Template'!$C8,'Capex Data'!$K$11:$K$33)*Assumptions!AB$17*(1+Assumptions!$H$184)^('Financing Template'!AA$2-'Financing Template'!$G$2)+SUMIF('Capex Data'!$F$38:$F$73,'Financing Template'!$C8,'Capex Data'!$K$38:$K$73)*Assumptions!AB$18*(1+Assumptions!$H$184)^('Financing Template'!AA$2-'Financing Template'!$G$2)</f>
        <v>0</v>
      </c>
      <c r="AB8" s="284"/>
      <c r="AC8" s="284"/>
      <c r="AD8" s="284"/>
      <c r="AE8" s="284"/>
      <c r="AF8" s="284"/>
      <c r="AG8" s="284"/>
      <c r="AH8" s="284"/>
      <c r="AI8" s="284"/>
      <c r="AJ8" s="284"/>
      <c r="AK8" s="284"/>
    </row>
    <row r="9" spans="1:37" ht="12.95" customHeight="1" x14ac:dyDescent="0.45">
      <c r="A9" s="293"/>
      <c r="B9" s="278"/>
      <c r="C9" s="339" t="s">
        <v>480</v>
      </c>
      <c r="D9" s="294"/>
      <c r="E9" s="302"/>
      <c r="F9" s="303"/>
      <c r="G9" s="304">
        <f>SUMIF('Capex Data'!$F$11:$F$33,'Financing Template'!$C9,'Capex Data'!$K$11:$K$33)*Assumptions!H$17*(1+Assumptions!$H$184)^('Financing Template'!G$2-'Financing Template'!$G$2)+SUMIF('Capex Data'!$F$38:$F$73,'Financing Template'!$C9,'Capex Data'!$K$38:$K$73)*Assumptions!H$18*(1+Assumptions!$H$184)^('Financing Template'!G$2-'Financing Template'!$G$2)</f>
        <v>0</v>
      </c>
      <c r="H9" s="304">
        <f>SUMIF('Capex Data'!$F$11:$F$33,'Financing Template'!$C9,'Capex Data'!$K$11:$K$33)*Assumptions!I$17*(1+Assumptions!$H$184)^('Financing Template'!H$2-'Financing Template'!$G$2)+SUMIF('Capex Data'!$F$38:$F$73,'Financing Template'!$C9,'Capex Data'!$K$38:$K$73)*Assumptions!I$18*(1+Assumptions!$H$184)^('Financing Template'!H$2-'Financing Template'!$G$2)</f>
        <v>0</v>
      </c>
      <c r="I9" s="304">
        <f>SUMIF('Capex Data'!$F$11:$F$33,'Financing Template'!$C9,'Capex Data'!$K$11:$K$33)*Assumptions!J$17*(1+Assumptions!$H$184)^('Financing Template'!I$2-'Financing Template'!$G$2)+SUMIF('Capex Data'!$F$38:$F$73,'Financing Template'!$C9,'Capex Data'!$K$38:$K$73)*Assumptions!J$18*(1+Assumptions!$H$184)^('Financing Template'!I$2-'Financing Template'!$G$2)</f>
        <v>0</v>
      </c>
      <c r="J9" s="304">
        <f>SUMIF('Capex Data'!$F$11:$F$33,'Financing Template'!$C9,'Capex Data'!$K$11:$K$33)*Assumptions!K$17*(1+Assumptions!$H$184)^('Financing Template'!J$2-'Financing Template'!$G$2)+SUMIF('Capex Data'!$F$38:$F$73,'Financing Template'!$C9,'Capex Data'!$K$38:$K$73)*Assumptions!K$18*(1+Assumptions!$H$184)^('Financing Template'!J$2-'Financing Template'!$G$2)</f>
        <v>0</v>
      </c>
      <c r="K9" s="304">
        <f>SUMIF('Capex Data'!$F$11:$F$33,'Financing Template'!$C9,'Capex Data'!$K$11:$K$33)*Assumptions!L$17*(1+Assumptions!$H$184)^('Financing Template'!K$2-'Financing Template'!$G$2)+SUMIF('Capex Data'!$F$38:$F$73,'Financing Template'!$C9,'Capex Data'!$K$38:$K$73)*Assumptions!L$18*(1+Assumptions!$H$184)^('Financing Template'!K$2-'Financing Template'!$G$2)</f>
        <v>0</v>
      </c>
      <c r="L9" s="304">
        <f>SUMIF('Capex Data'!$F$11:$F$33,'Financing Template'!$C9,'Capex Data'!$K$11:$K$33)*Assumptions!M$17*(1+Assumptions!$H$184)^('Financing Template'!L$2-'Financing Template'!$G$2)+SUMIF('Capex Data'!$F$38:$F$73,'Financing Template'!$C9,'Capex Data'!$K$38:$K$73)*Assumptions!M$18*(1+Assumptions!$H$184)^('Financing Template'!L$2-'Financing Template'!$G$2)</f>
        <v>0</v>
      </c>
      <c r="M9" s="304">
        <f>SUMIF('Capex Data'!$F$11:$F$33,'Financing Template'!$C9,'Capex Data'!$K$11:$K$33)*Assumptions!N$17*(1+Assumptions!$H$184)^('Financing Template'!M$2-'Financing Template'!$G$2)+SUMIF('Capex Data'!$F$38:$F$73,'Financing Template'!$C9,'Capex Data'!$K$38:$K$73)*Assumptions!N$18*(1+Assumptions!$H$184)^('Financing Template'!M$2-'Financing Template'!$G$2)</f>
        <v>0</v>
      </c>
      <c r="N9" s="304">
        <f>SUMIF('Capex Data'!$F$11:$F$33,'Financing Template'!$C9,'Capex Data'!$K$11:$K$33)*Assumptions!O$17*(1+Assumptions!$H$184)^('Financing Template'!N$2-'Financing Template'!$G$2)+SUMIF('Capex Data'!$F$38:$F$73,'Financing Template'!$C9,'Capex Data'!$K$38:$K$73)*Assumptions!O$18*(1+Assumptions!$H$184)^('Financing Template'!N$2-'Financing Template'!$G$2)</f>
        <v>0</v>
      </c>
      <c r="O9" s="304">
        <f>SUMIF('Capex Data'!$F$11:$F$33,'Financing Template'!$C9,'Capex Data'!$K$11:$K$33)*Assumptions!P$17*(1+Assumptions!$H$184)^('Financing Template'!O$2-'Financing Template'!$G$2)+SUMIF('Capex Data'!$F$38:$F$73,'Financing Template'!$C9,'Capex Data'!$K$38:$K$73)*Assumptions!P$18*(1+Assumptions!$H$184)^('Financing Template'!O$2-'Financing Template'!$G$2)</f>
        <v>0</v>
      </c>
      <c r="P9" s="304">
        <f>SUMIF('Capex Data'!$F$11:$F$33,'Financing Template'!$C9,'Capex Data'!$K$11:$K$33)*Assumptions!Q$17*(1+Assumptions!$H$184)^('Financing Template'!P$2-'Financing Template'!$G$2)+SUMIF('Capex Data'!$F$38:$F$73,'Financing Template'!$C9,'Capex Data'!$K$38:$K$73)*Assumptions!Q$18*(1+Assumptions!$H$184)^('Financing Template'!P$2-'Financing Template'!$G$2)</f>
        <v>0</v>
      </c>
      <c r="Q9" s="304">
        <f>SUMIF('Capex Data'!$F$11:$F$33,'Financing Template'!$C9,'Capex Data'!$K$11:$K$33)*Assumptions!R$17*(1+Assumptions!$H$184)^('Financing Template'!Q$2-'Financing Template'!$G$2)+SUMIF('Capex Data'!$F$38:$F$73,'Financing Template'!$C9,'Capex Data'!$K$38:$K$73)*Assumptions!R$18*(1+Assumptions!$H$184)^('Financing Template'!Q$2-'Financing Template'!$G$2)</f>
        <v>0</v>
      </c>
      <c r="R9" s="304">
        <f>SUMIF('Capex Data'!$F$11:$F$33,'Financing Template'!$C9,'Capex Data'!$K$11:$K$33)*Assumptions!S$17*(1+Assumptions!$H$184)^('Financing Template'!R$2-'Financing Template'!$G$2)+SUMIF('Capex Data'!$F$38:$F$73,'Financing Template'!$C9,'Capex Data'!$K$38:$K$73)*Assumptions!S$18*(1+Assumptions!$H$184)^('Financing Template'!R$2-'Financing Template'!$G$2)</f>
        <v>0</v>
      </c>
      <c r="S9" s="304">
        <f>SUMIF('Capex Data'!$F$11:$F$33,'Financing Template'!$C9,'Capex Data'!$K$11:$K$33)*Assumptions!T$17*(1+Assumptions!$H$184)^('Financing Template'!S$2-'Financing Template'!$G$2)+SUMIF('Capex Data'!$F$38:$F$73,'Financing Template'!$C9,'Capex Data'!$K$38:$K$73)*Assumptions!T$18*(1+Assumptions!$H$184)^('Financing Template'!S$2-'Financing Template'!$G$2)</f>
        <v>0</v>
      </c>
      <c r="T9" s="304">
        <f>SUMIF('Capex Data'!$F$11:$F$33,'Financing Template'!$C9,'Capex Data'!$K$11:$K$33)*Assumptions!U$17*(1+Assumptions!$H$184)^('Financing Template'!T$2-'Financing Template'!$G$2)+SUMIF('Capex Data'!$F$38:$F$73,'Financing Template'!$C9,'Capex Data'!$K$38:$K$73)*Assumptions!U$18*(1+Assumptions!$H$184)^('Financing Template'!T$2-'Financing Template'!$G$2)</f>
        <v>0</v>
      </c>
      <c r="U9" s="304">
        <f>SUMIF('Capex Data'!$F$11:$F$33,'Financing Template'!$C9,'Capex Data'!$K$11:$K$33)*Assumptions!V$17*(1+Assumptions!$H$184)^('Financing Template'!U$2-'Financing Template'!$G$2)+SUMIF('Capex Data'!$F$38:$F$73,'Financing Template'!$C9,'Capex Data'!$K$38:$K$73)*Assumptions!V$18*(1+Assumptions!$H$184)^('Financing Template'!U$2-'Financing Template'!$G$2)</f>
        <v>0</v>
      </c>
      <c r="V9" s="304">
        <f>SUMIF('Capex Data'!$F$11:$F$33,'Financing Template'!$C9,'Capex Data'!$K$11:$K$33)*Assumptions!W$17*(1+Assumptions!$H$184)^('Financing Template'!V$2-'Financing Template'!$G$2)+SUMIF('Capex Data'!$F$38:$F$73,'Financing Template'!$C9,'Capex Data'!$K$38:$K$73)*Assumptions!W$18*(1+Assumptions!$H$184)^('Financing Template'!V$2-'Financing Template'!$G$2)</f>
        <v>0</v>
      </c>
      <c r="W9" s="304">
        <f>SUMIF('Capex Data'!$F$11:$F$33,'Financing Template'!$C9,'Capex Data'!$K$11:$K$33)*Assumptions!X$17*(1+Assumptions!$H$184)^('Financing Template'!W$2-'Financing Template'!$G$2)+SUMIF('Capex Data'!$F$38:$F$73,'Financing Template'!$C9,'Capex Data'!$K$38:$K$73)*Assumptions!X$18*(1+Assumptions!$H$184)^('Financing Template'!W$2-'Financing Template'!$G$2)</f>
        <v>0</v>
      </c>
      <c r="X9" s="304">
        <f>SUMIF('Capex Data'!$F$11:$F$33,'Financing Template'!$C9,'Capex Data'!$K$11:$K$33)*Assumptions!Y$17*(1+Assumptions!$H$184)^('Financing Template'!X$2-'Financing Template'!$G$2)+SUMIF('Capex Data'!$F$38:$F$73,'Financing Template'!$C9,'Capex Data'!$K$38:$K$73)*Assumptions!Y$18*(1+Assumptions!$H$184)^('Financing Template'!X$2-'Financing Template'!$G$2)</f>
        <v>0</v>
      </c>
      <c r="Y9" s="304">
        <f>SUMIF('Capex Data'!$F$11:$F$33,'Financing Template'!$C9,'Capex Data'!$K$11:$K$33)*Assumptions!Z$17*(1+Assumptions!$H$184)^('Financing Template'!Y$2-'Financing Template'!$G$2)+SUMIF('Capex Data'!$F$38:$F$73,'Financing Template'!$C9,'Capex Data'!$K$38:$K$73)*Assumptions!Z$18*(1+Assumptions!$H$184)^('Financing Template'!Y$2-'Financing Template'!$G$2)</f>
        <v>0</v>
      </c>
      <c r="Z9" s="304">
        <f>SUMIF('Capex Data'!$F$11:$F$33,'Financing Template'!$C9,'Capex Data'!$K$11:$K$33)*Assumptions!AA$17*(1+Assumptions!$H$184)^('Financing Template'!Z$2-'Financing Template'!$G$2)+SUMIF('Capex Data'!$F$38:$F$73,'Financing Template'!$C9,'Capex Data'!$K$38:$K$73)*Assumptions!AA$18*(1+Assumptions!$H$184)^('Financing Template'!Z$2-'Financing Template'!$G$2)</f>
        <v>0</v>
      </c>
      <c r="AA9" s="304">
        <f>SUMIF('Capex Data'!$F$11:$F$33,'Financing Template'!$C9,'Capex Data'!$K$11:$K$33)*Assumptions!AB$17*(1+Assumptions!$H$184)^('Financing Template'!AA$2-'Financing Template'!$G$2)+SUMIF('Capex Data'!$F$38:$F$73,'Financing Template'!$C9,'Capex Data'!$K$38:$K$73)*Assumptions!AB$18*(1+Assumptions!$H$184)^('Financing Template'!AA$2-'Financing Template'!$G$2)</f>
        <v>0</v>
      </c>
      <c r="AB9" s="284"/>
      <c r="AC9" s="284"/>
      <c r="AD9" s="284"/>
      <c r="AE9" s="284"/>
      <c r="AF9" s="284"/>
      <c r="AG9" s="284"/>
      <c r="AH9" s="284"/>
      <c r="AI9" s="284"/>
      <c r="AJ9" s="284"/>
      <c r="AK9" s="284"/>
    </row>
    <row r="10" spans="1:37" ht="12.95" customHeight="1" x14ac:dyDescent="0.45">
      <c r="A10" s="293"/>
      <c r="B10" s="278"/>
      <c r="C10" s="339" t="s">
        <v>387</v>
      </c>
      <c r="D10" s="294"/>
      <c r="E10" s="302"/>
      <c r="F10" s="303"/>
      <c r="G10" s="304">
        <f>SUMIF('Capex Data'!$F$11:$F$33,'Financing Template'!$C10,'Capex Data'!$K$11:$K$33)*Assumptions!H$17*(1+Assumptions!$H$184)^('Financing Template'!G$2-'Financing Template'!$G$2)+SUMIF('Capex Data'!$F$38:$F$73,'Financing Template'!$C10,'Capex Data'!$K$38:$K$73)*Assumptions!H$18*(1+Assumptions!$H$184)^('Financing Template'!G$2-'Financing Template'!$G$2)</f>
        <v>3321485.7095158603</v>
      </c>
      <c r="H10" s="304">
        <f>SUMIF('Capex Data'!$F$11:$F$33,'Financing Template'!$C10,'Capex Data'!$K$11:$K$33)*Assumptions!I$17*(1+Assumptions!$H$184)^('Financing Template'!H$2-'Financing Template'!$G$2)+SUMIF('Capex Data'!$F$38:$F$73,'Financing Template'!$C10,'Capex Data'!$K$38:$K$73)*Assumptions!I$18*(1+Assumptions!$H$184)^('Financing Template'!H$2-'Financing Template'!$G$2)</f>
        <v>0</v>
      </c>
      <c r="I10" s="304">
        <f>SUMIF('Capex Data'!$F$11:$F$33,'Financing Template'!$C10,'Capex Data'!$K$11:$K$33)*Assumptions!J$17*(1+Assumptions!$H$184)^('Financing Template'!I$2-'Financing Template'!$G$2)+SUMIF('Capex Data'!$F$38:$F$73,'Financing Template'!$C10,'Capex Data'!$K$38:$K$73)*Assumptions!J$18*(1+Assumptions!$H$184)^('Financing Template'!I$2-'Financing Template'!$G$2)</f>
        <v>0</v>
      </c>
      <c r="J10" s="304">
        <f>SUMIF('Capex Data'!$F$11:$F$33,'Financing Template'!$C10,'Capex Data'!$K$11:$K$33)*Assumptions!K$17*(1+Assumptions!$H$184)^('Financing Template'!J$2-'Financing Template'!$G$2)+SUMIF('Capex Data'!$F$38:$F$73,'Financing Template'!$C10,'Capex Data'!$K$38:$K$73)*Assumptions!K$18*(1+Assumptions!$H$184)^('Financing Template'!J$2-'Financing Template'!$G$2)</f>
        <v>0</v>
      </c>
      <c r="K10" s="304">
        <f>SUMIF('Capex Data'!$F$11:$F$33,'Financing Template'!$C10,'Capex Data'!$K$11:$K$33)*Assumptions!L$17*(1+Assumptions!$H$184)^('Financing Template'!K$2-'Financing Template'!$G$2)+SUMIF('Capex Data'!$F$38:$F$73,'Financing Template'!$C10,'Capex Data'!$K$38:$K$73)*Assumptions!L$18*(1+Assumptions!$H$184)^('Financing Template'!K$2-'Financing Template'!$G$2)</f>
        <v>0</v>
      </c>
      <c r="L10" s="304">
        <f>SUMIF('Capex Data'!$F$11:$F$33,'Financing Template'!$C10,'Capex Data'!$K$11:$K$33)*Assumptions!M$17*(1+Assumptions!$H$184)^('Financing Template'!L$2-'Financing Template'!$G$2)+SUMIF('Capex Data'!$F$38:$F$73,'Financing Template'!$C10,'Capex Data'!$K$38:$K$73)*Assumptions!M$18*(1+Assumptions!$H$184)^('Financing Template'!L$2-'Financing Template'!$G$2)</f>
        <v>0</v>
      </c>
      <c r="M10" s="304">
        <f>SUMIF('Capex Data'!$F$11:$F$33,'Financing Template'!$C10,'Capex Data'!$K$11:$K$33)*Assumptions!N$17*(1+Assumptions!$H$184)^('Financing Template'!M$2-'Financing Template'!$G$2)+SUMIF('Capex Data'!$F$38:$F$73,'Financing Template'!$C10,'Capex Data'!$K$38:$K$73)*Assumptions!N$18*(1+Assumptions!$H$184)^('Financing Template'!M$2-'Financing Template'!$G$2)</f>
        <v>0</v>
      </c>
      <c r="N10" s="304">
        <f>SUMIF('Capex Data'!$F$11:$F$33,'Financing Template'!$C10,'Capex Data'!$K$11:$K$33)*Assumptions!O$17*(1+Assumptions!$H$184)^('Financing Template'!N$2-'Financing Template'!$G$2)+SUMIF('Capex Data'!$F$38:$F$73,'Financing Template'!$C10,'Capex Data'!$K$38:$K$73)*Assumptions!O$18*(1+Assumptions!$H$184)^('Financing Template'!N$2-'Financing Template'!$G$2)</f>
        <v>0</v>
      </c>
      <c r="O10" s="304">
        <f>SUMIF('Capex Data'!$F$11:$F$33,'Financing Template'!$C10,'Capex Data'!$K$11:$K$33)*Assumptions!P$17*(1+Assumptions!$H$184)^('Financing Template'!O$2-'Financing Template'!$G$2)+SUMIF('Capex Data'!$F$38:$F$73,'Financing Template'!$C10,'Capex Data'!$K$38:$K$73)*Assumptions!P$18*(1+Assumptions!$H$184)^('Financing Template'!O$2-'Financing Template'!$G$2)</f>
        <v>0</v>
      </c>
      <c r="P10" s="304">
        <f>SUMIF('Capex Data'!$F$11:$F$33,'Financing Template'!$C10,'Capex Data'!$K$11:$K$33)*Assumptions!Q$17*(1+Assumptions!$H$184)^('Financing Template'!P$2-'Financing Template'!$G$2)+SUMIF('Capex Data'!$F$38:$F$73,'Financing Template'!$C10,'Capex Data'!$K$38:$K$73)*Assumptions!Q$18*(1+Assumptions!$H$184)^('Financing Template'!P$2-'Financing Template'!$G$2)</f>
        <v>0</v>
      </c>
      <c r="Q10" s="304">
        <f>SUMIF('Capex Data'!$F$11:$F$33,'Financing Template'!$C10,'Capex Data'!$K$11:$K$33)*Assumptions!R$17*(1+Assumptions!$H$184)^('Financing Template'!Q$2-'Financing Template'!$G$2)+SUMIF('Capex Data'!$F$38:$F$73,'Financing Template'!$C10,'Capex Data'!$K$38:$K$73)*Assumptions!R$18*(1+Assumptions!$H$184)^('Financing Template'!Q$2-'Financing Template'!$G$2)</f>
        <v>0</v>
      </c>
      <c r="R10" s="304">
        <f>SUMIF('Capex Data'!$F$11:$F$33,'Financing Template'!$C10,'Capex Data'!$K$11:$K$33)*Assumptions!S$17*(1+Assumptions!$H$184)^('Financing Template'!R$2-'Financing Template'!$G$2)+SUMIF('Capex Data'!$F$38:$F$73,'Financing Template'!$C10,'Capex Data'!$K$38:$K$73)*Assumptions!S$18*(1+Assumptions!$H$184)^('Financing Template'!R$2-'Financing Template'!$G$2)</f>
        <v>0</v>
      </c>
      <c r="S10" s="304">
        <f>SUMIF('Capex Data'!$F$11:$F$33,'Financing Template'!$C10,'Capex Data'!$K$11:$K$33)*Assumptions!T$17*(1+Assumptions!$H$184)^('Financing Template'!S$2-'Financing Template'!$G$2)+SUMIF('Capex Data'!$F$38:$F$73,'Financing Template'!$C10,'Capex Data'!$K$38:$K$73)*Assumptions!T$18*(1+Assumptions!$H$184)^('Financing Template'!S$2-'Financing Template'!$G$2)</f>
        <v>0</v>
      </c>
      <c r="T10" s="304">
        <f>SUMIF('Capex Data'!$F$11:$F$33,'Financing Template'!$C10,'Capex Data'!$K$11:$K$33)*Assumptions!U$17*(1+Assumptions!$H$184)^('Financing Template'!T$2-'Financing Template'!$G$2)+SUMIF('Capex Data'!$F$38:$F$73,'Financing Template'!$C10,'Capex Data'!$K$38:$K$73)*Assumptions!U$18*(1+Assumptions!$H$184)^('Financing Template'!T$2-'Financing Template'!$G$2)</f>
        <v>0</v>
      </c>
      <c r="U10" s="304">
        <f>SUMIF('Capex Data'!$F$11:$F$33,'Financing Template'!$C10,'Capex Data'!$K$11:$K$33)*Assumptions!V$17*(1+Assumptions!$H$184)^('Financing Template'!U$2-'Financing Template'!$G$2)+SUMIF('Capex Data'!$F$38:$F$73,'Financing Template'!$C10,'Capex Data'!$K$38:$K$73)*Assumptions!V$18*(1+Assumptions!$H$184)^('Financing Template'!U$2-'Financing Template'!$G$2)</f>
        <v>0</v>
      </c>
      <c r="V10" s="304">
        <f>SUMIF('Capex Data'!$F$11:$F$33,'Financing Template'!$C10,'Capex Data'!$K$11:$K$33)*Assumptions!W$17*(1+Assumptions!$H$184)^('Financing Template'!V$2-'Financing Template'!$G$2)+SUMIF('Capex Data'!$F$38:$F$73,'Financing Template'!$C10,'Capex Data'!$K$38:$K$73)*Assumptions!W$18*(1+Assumptions!$H$184)^('Financing Template'!V$2-'Financing Template'!$G$2)</f>
        <v>0</v>
      </c>
      <c r="W10" s="304">
        <f>SUMIF('Capex Data'!$F$11:$F$33,'Financing Template'!$C10,'Capex Data'!$K$11:$K$33)*Assumptions!X$17*(1+Assumptions!$H$184)^('Financing Template'!W$2-'Financing Template'!$G$2)+SUMIF('Capex Data'!$F$38:$F$73,'Financing Template'!$C10,'Capex Data'!$K$38:$K$73)*Assumptions!X$18*(1+Assumptions!$H$184)^('Financing Template'!W$2-'Financing Template'!$G$2)</f>
        <v>0</v>
      </c>
      <c r="X10" s="304">
        <f>SUMIF('Capex Data'!$F$11:$F$33,'Financing Template'!$C10,'Capex Data'!$K$11:$K$33)*Assumptions!Y$17*(1+Assumptions!$H$184)^('Financing Template'!X$2-'Financing Template'!$G$2)+SUMIF('Capex Data'!$F$38:$F$73,'Financing Template'!$C10,'Capex Data'!$K$38:$K$73)*Assumptions!Y$18*(1+Assumptions!$H$184)^('Financing Template'!X$2-'Financing Template'!$G$2)</f>
        <v>0</v>
      </c>
      <c r="Y10" s="304">
        <f>SUMIF('Capex Data'!$F$11:$F$33,'Financing Template'!$C10,'Capex Data'!$K$11:$K$33)*Assumptions!Z$17*(1+Assumptions!$H$184)^('Financing Template'!Y$2-'Financing Template'!$G$2)+SUMIF('Capex Data'!$F$38:$F$73,'Financing Template'!$C10,'Capex Data'!$K$38:$K$73)*Assumptions!Z$18*(1+Assumptions!$H$184)^('Financing Template'!Y$2-'Financing Template'!$G$2)</f>
        <v>0</v>
      </c>
      <c r="Z10" s="304">
        <f>SUMIF('Capex Data'!$F$11:$F$33,'Financing Template'!$C10,'Capex Data'!$K$11:$K$33)*Assumptions!AA$17*(1+Assumptions!$H$184)^('Financing Template'!Z$2-'Financing Template'!$G$2)+SUMIF('Capex Data'!$F$38:$F$73,'Financing Template'!$C10,'Capex Data'!$K$38:$K$73)*Assumptions!AA$18*(1+Assumptions!$H$184)^('Financing Template'!Z$2-'Financing Template'!$G$2)</f>
        <v>0</v>
      </c>
      <c r="AA10" s="304">
        <f>SUMIF('Capex Data'!$F$11:$F$33,'Financing Template'!$C10,'Capex Data'!$K$11:$K$33)*Assumptions!AB$17*(1+Assumptions!$H$184)^('Financing Template'!AA$2-'Financing Template'!$G$2)+SUMIF('Capex Data'!$F$38:$F$73,'Financing Template'!$C10,'Capex Data'!$K$38:$K$73)*Assumptions!AB$18*(1+Assumptions!$H$184)^('Financing Template'!AA$2-'Financing Template'!$G$2)</f>
        <v>0</v>
      </c>
      <c r="AB10" s="284"/>
      <c r="AC10" s="284"/>
      <c r="AD10" s="284"/>
      <c r="AE10" s="284"/>
      <c r="AF10" s="284"/>
      <c r="AG10" s="284"/>
      <c r="AH10" s="284"/>
      <c r="AI10" s="284"/>
      <c r="AJ10" s="284"/>
      <c r="AK10" s="284"/>
    </row>
    <row r="11" spans="1:37" ht="12.95" customHeight="1" x14ac:dyDescent="0.45">
      <c r="A11" s="293"/>
      <c r="B11" s="278"/>
      <c r="C11" s="339" t="s">
        <v>486</v>
      </c>
      <c r="D11" s="294"/>
      <c r="E11" s="302"/>
      <c r="F11" s="303"/>
      <c r="G11" s="304">
        <f>SUMIF('Capex Data'!$F$11:$F$33,'Financing Template'!$C11,'Capex Data'!$K$11:$K$33)*Assumptions!H$17*(1+Assumptions!$H$184)^('Financing Template'!G$2-'Financing Template'!$G$2)+SUMIF('Capex Data'!$F$38:$F$73,'Financing Template'!$C11,'Capex Data'!$K$38:$K$73)*Assumptions!H$18*(1+Assumptions!$H$184)^('Financing Template'!G$2-'Financing Template'!$G$2)</f>
        <v>0</v>
      </c>
      <c r="H11" s="304">
        <f>SUMIF('Capex Data'!$F$11:$F$33,'Financing Template'!$C11,'Capex Data'!$K$11:$K$33)*Assumptions!I$17*(1+Assumptions!$H$184)^('Financing Template'!H$2-'Financing Template'!$G$2)+SUMIF('Capex Data'!$F$38:$F$73,'Financing Template'!$C11,'Capex Data'!$K$38:$K$73)*Assumptions!I$18*(1+Assumptions!$H$184)^('Financing Template'!H$2-'Financing Template'!$G$2)</f>
        <v>0</v>
      </c>
      <c r="I11" s="304">
        <f>SUMIF('Capex Data'!$F$11:$F$33,'Financing Template'!$C11,'Capex Data'!$K$11:$K$33)*Assumptions!J$17*(1+Assumptions!$H$184)^('Financing Template'!I$2-'Financing Template'!$G$2)+SUMIF('Capex Data'!$F$38:$F$73,'Financing Template'!$C11,'Capex Data'!$K$38:$K$73)*Assumptions!J$18*(1+Assumptions!$H$184)^('Financing Template'!I$2-'Financing Template'!$G$2)</f>
        <v>0</v>
      </c>
      <c r="J11" s="304">
        <f>SUMIF('Capex Data'!$F$11:$F$33,'Financing Template'!$C11,'Capex Data'!$K$11:$K$33)*Assumptions!K$17*(1+Assumptions!$H$184)^('Financing Template'!J$2-'Financing Template'!$G$2)+SUMIF('Capex Data'!$F$38:$F$73,'Financing Template'!$C11,'Capex Data'!$K$38:$K$73)*Assumptions!K$18*(1+Assumptions!$H$184)^('Financing Template'!J$2-'Financing Template'!$G$2)</f>
        <v>0</v>
      </c>
      <c r="K11" s="304">
        <f>SUMIF('Capex Data'!$F$11:$F$33,'Financing Template'!$C11,'Capex Data'!$K$11:$K$33)*Assumptions!L$17*(1+Assumptions!$H$184)^('Financing Template'!K$2-'Financing Template'!$G$2)+SUMIF('Capex Data'!$F$38:$F$73,'Financing Template'!$C11,'Capex Data'!$K$38:$K$73)*Assumptions!L$18*(1+Assumptions!$H$184)^('Financing Template'!K$2-'Financing Template'!$G$2)</f>
        <v>0</v>
      </c>
      <c r="L11" s="304">
        <f>SUMIF('Capex Data'!$F$11:$F$33,'Financing Template'!$C11,'Capex Data'!$K$11:$K$33)*Assumptions!M$17*(1+Assumptions!$H$184)^('Financing Template'!L$2-'Financing Template'!$G$2)+SUMIF('Capex Data'!$F$38:$F$73,'Financing Template'!$C11,'Capex Data'!$K$38:$K$73)*Assumptions!M$18*(1+Assumptions!$H$184)^('Financing Template'!L$2-'Financing Template'!$G$2)</f>
        <v>0</v>
      </c>
      <c r="M11" s="304">
        <f>SUMIF('Capex Data'!$F$11:$F$33,'Financing Template'!$C11,'Capex Data'!$K$11:$K$33)*Assumptions!N$17*(1+Assumptions!$H$184)^('Financing Template'!M$2-'Financing Template'!$G$2)+SUMIF('Capex Data'!$F$38:$F$73,'Financing Template'!$C11,'Capex Data'!$K$38:$K$73)*Assumptions!N$18*(1+Assumptions!$H$184)^('Financing Template'!M$2-'Financing Template'!$G$2)</f>
        <v>0</v>
      </c>
      <c r="N11" s="304">
        <f>SUMIF('Capex Data'!$F$11:$F$33,'Financing Template'!$C11,'Capex Data'!$K$11:$K$33)*Assumptions!O$17*(1+Assumptions!$H$184)^('Financing Template'!N$2-'Financing Template'!$G$2)+SUMIF('Capex Data'!$F$38:$F$73,'Financing Template'!$C11,'Capex Data'!$K$38:$K$73)*Assumptions!O$18*(1+Assumptions!$H$184)^('Financing Template'!N$2-'Financing Template'!$G$2)</f>
        <v>0</v>
      </c>
      <c r="O11" s="304">
        <f>SUMIF('Capex Data'!$F$11:$F$33,'Financing Template'!$C11,'Capex Data'!$K$11:$K$33)*Assumptions!P$17*(1+Assumptions!$H$184)^('Financing Template'!O$2-'Financing Template'!$G$2)+SUMIF('Capex Data'!$F$38:$F$73,'Financing Template'!$C11,'Capex Data'!$K$38:$K$73)*Assumptions!P$18*(1+Assumptions!$H$184)^('Financing Template'!O$2-'Financing Template'!$G$2)</f>
        <v>0</v>
      </c>
      <c r="P11" s="304">
        <f>SUMIF('Capex Data'!$F$11:$F$33,'Financing Template'!$C11,'Capex Data'!$K$11:$K$33)*Assumptions!Q$17*(1+Assumptions!$H$184)^('Financing Template'!P$2-'Financing Template'!$G$2)+SUMIF('Capex Data'!$F$38:$F$73,'Financing Template'!$C11,'Capex Data'!$K$38:$K$73)*Assumptions!Q$18*(1+Assumptions!$H$184)^('Financing Template'!P$2-'Financing Template'!$G$2)</f>
        <v>0</v>
      </c>
      <c r="Q11" s="304">
        <f>SUMIF('Capex Data'!$F$11:$F$33,'Financing Template'!$C11,'Capex Data'!$K$11:$K$33)*Assumptions!R$17*(1+Assumptions!$H$184)^('Financing Template'!Q$2-'Financing Template'!$G$2)+SUMIF('Capex Data'!$F$38:$F$73,'Financing Template'!$C11,'Capex Data'!$K$38:$K$73)*Assumptions!R$18*(1+Assumptions!$H$184)^('Financing Template'!Q$2-'Financing Template'!$G$2)</f>
        <v>0</v>
      </c>
      <c r="R11" s="304">
        <f>SUMIF('Capex Data'!$F$11:$F$33,'Financing Template'!$C11,'Capex Data'!$K$11:$K$33)*Assumptions!S$17*(1+Assumptions!$H$184)^('Financing Template'!R$2-'Financing Template'!$G$2)+SUMIF('Capex Data'!$F$38:$F$73,'Financing Template'!$C11,'Capex Data'!$K$38:$K$73)*Assumptions!S$18*(1+Assumptions!$H$184)^('Financing Template'!R$2-'Financing Template'!$G$2)</f>
        <v>0</v>
      </c>
      <c r="S11" s="304">
        <f>SUMIF('Capex Data'!$F$11:$F$33,'Financing Template'!$C11,'Capex Data'!$K$11:$K$33)*Assumptions!T$17*(1+Assumptions!$H$184)^('Financing Template'!S$2-'Financing Template'!$G$2)+SUMIF('Capex Data'!$F$38:$F$73,'Financing Template'!$C11,'Capex Data'!$K$38:$K$73)*Assumptions!T$18*(1+Assumptions!$H$184)^('Financing Template'!S$2-'Financing Template'!$G$2)</f>
        <v>0</v>
      </c>
      <c r="T11" s="304">
        <f>SUMIF('Capex Data'!$F$11:$F$33,'Financing Template'!$C11,'Capex Data'!$K$11:$K$33)*Assumptions!U$17*(1+Assumptions!$H$184)^('Financing Template'!T$2-'Financing Template'!$G$2)+SUMIF('Capex Data'!$F$38:$F$73,'Financing Template'!$C11,'Capex Data'!$K$38:$K$73)*Assumptions!U$18*(1+Assumptions!$H$184)^('Financing Template'!T$2-'Financing Template'!$G$2)</f>
        <v>0</v>
      </c>
      <c r="U11" s="304">
        <f>SUMIF('Capex Data'!$F$11:$F$33,'Financing Template'!$C11,'Capex Data'!$K$11:$K$33)*Assumptions!V$17*(1+Assumptions!$H$184)^('Financing Template'!U$2-'Financing Template'!$G$2)+SUMIF('Capex Data'!$F$38:$F$73,'Financing Template'!$C11,'Capex Data'!$K$38:$K$73)*Assumptions!V$18*(1+Assumptions!$H$184)^('Financing Template'!U$2-'Financing Template'!$G$2)</f>
        <v>0</v>
      </c>
      <c r="V11" s="304">
        <f>SUMIF('Capex Data'!$F$11:$F$33,'Financing Template'!$C11,'Capex Data'!$K$11:$K$33)*Assumptions!W$17*(1+Assumptions!$H$184)^('Financing Template'!V$2-'Financing Template'!$G$2)+SUMIF('Capex Data'!$F$38:$F$73,'Financing Template'!$C11,'Capex Data'!$K$38:$K$73)*Assumptions!W$18*(1+Assumptions!$H$184)^('Financing Template'!V$2-'Financing Template'!$G$2)</f>
        <v>0</v>
      </c>
      <c r="W11" s="304">
        <f>SUMIF('Capex Data'!$F$11:$F$33,'Financing Template'!$C11,'Capex Data'!$K$11:$K$33)*Assumptions!X$17*(1+Assumptions!$H$184)^('Financing Template'!W$2-'Financing Template'!$G$2)+SUMIF('Capex Data'!$F$38:$F$73,'Financing Template'!$C11,'Capex Data'!$K$38:$K$73)*Assumptions!X$18*(1+Assumptions!$H$184)^('Financing Template'!W$2-'Financing Template'!$G$2)</f>
        <v>0</v>
      </c>
      <c r="X11" s="304">
        <f>SUMIF('Capex Data'!$F$11:$F$33,'Financing Template'!$C11,'Capex Data'!$K$11:$K$33)*Assumptions!Y$17*(1+Assumptions!$H$184)^('Financing Template'!X$2-'Financing Template'!$G$2)+SUMIF('Capex Data'!$F$38:$F$73,'Financing Template'!$C11,'Capex Data'!$K$38:$K$73)*Assumptions!Y$18*(1+Assumptions!$H$184)^('Financing Template'!X$2-'Financing Template'!$G$2)</f>
        <v>0</v>
      </c>
      <c r="Y11" s="304">
        <f>SUMIF('Capex Data'!$F$11:$F$33,'Financing Template'!$C11,'Capex Data'!$K$11:$K$33)*Assumptions!Z$17*(1+Assumptions!$H$184)^('Financing Template'!Y$2-'Financing Template'!$G$2)+SUMIF('Capex Data'!$F$38:$F$73,'Financing Template'!$C11,'Capex Data'!$K$38:$K$73)*Assumptions!Z$18*(1+Assumptions!$H$184)^('Financing Template'!Y$2-'Financing Template'!$G$2)</f>
        <v>0</v>
      </c>
      <c r="Z11" s="304">
        <f>SUMIF('Capex Data'!$F$11:$F$33,'Financing Template'!$C11,'Capex Data'!$K$11:$K$33)*Assumptions!AA$17*(1+Assumptions!$H$184)^('Financing Template'!Z$2-'Financing Template'!$G$2)+SUMIF('Capex Data'!$F$38:$F$73,'Financing Template'!$C11,'Capex Data'!$K$38:$K$73)*Assumptions!AA$18*(1+Assumptions!$H$184)^('Financing Template'!Z$2-'Financing Template'!$G$2)</f>
        <v>0</v>
      </c>
      <c r="AA11" s="304">
        <f>SUMIF('Capex Data'!$F$11:$F$33,'Financing Template'!$C11,'Capex Data'!$K$11:$K$33)*Assumptions!AB$17*(1+Assumptions!$H$184)^('Financing Template'!AA$2-'Financing Template'!$G$2)+SUMIF('Capex Data'!$F$38:$F$73,'Financing Template'!$C11,'Capex Data'!$K$38:$K$73)*Assumptions!AB$18*(1+Assumptions!$H$184)^('Financing Template'!AA$2-'Financing Template'!$G$2)</f>
        <v>0</v>
      </c>
      <c r="AB11" s="284"/>
      <c r="AC11" s="284"/>
      <c r="AD11" s="284"/>
      <c r="AE11" s="284"/>
      <c r="AF11" s="284"/>
      <c r="AG11" s="284"/>
      <c r="AH11" s="284"/>
      <c r="AI11" s="284"/>
      <c r="AJ11" s="284"/>
      <c r="AK11" s="284"/>
    </row>
    <row r="12" spans="1:37" ht="12.95" customHeight="1" x14ac:dyDescent="0.45">
      <c r="A12" s="293"/>
      <c r="B12" s="278"/>
      <c r="C12" s="339" t="s">
        <v>479</v>
      </c>
      <c r="D12" s="294"/>
      <c r="E12" s="302"/>
      <c r="F12" s="303"/>
      <c r="G12" s="304">
        <f>SUMIF('Capex Data'!$F$11:$F$33,'Financing Template'!$C12,'Capex Data'!$K$11:$K$33)*Assumptions!H$17*(1+Assumptions!$H$184)^('Financing Template'!G$2-'Financing Template'!$G$2)+SUMIF('Capex Data'!$F$38:$F$73,'Financing Template'!$C12,'Capex Data'!$K$38:$K$73)*Assumptions!H$18*(1+Assumptions!$H$184)^('Financing Template'!G$2-'Financing Template'!$G$2)</f>
        <v>0</v>
      </c>
      <c r="H12" s="304">
        <f>SUMIF('Capex Data'!$F$11:$F$33,'Financing Template'!$C12,'Capex Data'!$K$11:$K$33)*Assumptions!I$17*(1+Assumptions!$H$184)^('Financing Template'!H$2-'Financing Template'!$G$2)+SUMIF('Capex Data'!$F$38:$F$73,'Financing Template'!$C12,'Capex Data'!$K$38:$K$73)*Assumptions!I$18*(1+Assumptions!$H$184)^('Financing Template'!H$2-'Financing Template'!$G$2)</f>
        <v>0</v>
      </c>
      <c r="I12" s="304">
        <f>SUMIF('Capex Data'!$F$11:$F$33,'Financing Template'!$C12,'Capex Data'!$K$11:$K$33)*Assumptions!J$17*(1+Assumptions!$H$184)^('Financing Template'!I$2-'Financing Template'!$G$2)+SUMIF('Capex Data'!$F$38:$F$73,'Financing Template'!$C12,'Capex Data'!$K$38:$K$73)*Assumptions!J$18*(1+Assumptions!$H$184)^('Financing Template'!I$2-'Financing Template'!$G$2)</f>
        <v>0</v>
      </c>
      <c r="J12" s="304">
        <f>SUMIF('Capex Data'!$F$11:$F$33,'Financing Template'!$C12,'Capex Data'!$K$11:$K$33)*Assumptions!K$17*(1+Assumptions!$H$184)^('Financing Template'!J$2-'Financing Template'!$G$2)+SUMIF('Capex Data'!$F$38:$F$73,'Financing Template'!$C12,'Capex Data'!$K$38:$K$73)*Assumptions!K$18*(1+Assumptions!$H$184)^('Financing Template'!J$2-'Financing Template'!$G$2)</f>
        <v>0</v>
      </c>
      <c r="K12" s="304">
        <f>SUMIF('Capex Data'!$F$11:$F$33,'Financing Template'!$C12,'Capex Data'!$K$11:$K$33)*Assumptions!L$17*(1+Assumptions!$H$184)^('Financing Template'!K$2-'Financing Template'!$G$2)+SUMIF('Capex Data'!$F$38:$F$73,'Financing Template'!$C12,'Capex Data'!$K$38:$K$73)*Assumptions!L$18*(1+Assumptions!$H$184)^('Financing Template'!K$2-'Financing Template'!$G$2)</f>
        <v>0</v>
      </c>
      <c r="L12" s="304">
        <f>SUMIF('Capex Data'!$F$11:$F$33,'Financing Template'!$C12,'Capex Data'!$K$11:$K$33)*Assumptions!M$17*(1+Assumptions!$H$184)^('Financing Template'!L$2-'Financing Template'!$G$2)+SUMIF('Capex Data'!$F$38:$F$73,'Financing Template'!$C12,'Capex Data'!$K$38:$K$73)*Assumptions!M$18*(1+Assumptions!$H$184)^('Financing Template'!L$2-'Financing Template'!$G$2)</f>
        <v>0</v>
      </c>
      <c r="M12" s="304">
        <f>SUMIF('Capex Data'!$F$11:$F$33,'Financing Template'!$C12,'Capex Data'!$K$11:$K$33)*Assumptions!N$17*(1+Assumptions!$H$184)^('Financing Template'!M$2-'Financing Template'!$G$2)+SUMIF('Capex Data'!$F$38:$F$73,'Financing Template'!$C12,'Capex Data'!$K$38:$K$73)*Assumptions!N$18*(1+Assumptions!$H$184)^('Financing Template'!M$2-'Financing Template'!$G$2)</f>
        <v>0</v>
      </c>
      <c r="N12" s="304">
        <f>SUMIF('Capex Data'!$F$11:$F$33,'Financing Template'!$C12,'Capex Data'!$K$11:$K$33)*Assumptions!O$17*(1+Assumptions!$H$184)^('Financing Template'!N$2-'Financing Template'!$G$2)+SUMIF('Capex Data'!$F$38:$F$73,'Financing Template'!$C12,'Capex Data'!$K$38:$K$73)*Assumptions!O$18*(1+Assumptions!$H$184)^('Financing Template'!N$2-'Financing Template'!$G$2)</f>
        <v>0</v>
      </c>
      <c r="O12" s="304">
        <f>SUMIF('Capex Data'!$F$11:$F$33,'Financing Template'!$C12,'Capex Data'!$K$11:$K$33)*Assumptions!P$17*(1+Assumptions!$H$184)^('Financing Template'!O$2-'Financing Template'!$G$2)+SUMIF('Capex Data'!$F$38:$F$73,'Financing Template'!$C12,'Capex Data'!$K$38:$K$73)*Assumptions!P$18*(1+Assumptions!$H$184)^('Financing Template'!O$2-'Financing Template'!$G$2)</f>
        <v>0</v>
      </c>
      <c r="P12" s="304">
        <f>SUMIF('Capex Data'!$F$11:$F$33,'Financing Template'!$C12,'Capex Data'!$K$11:$K$33)*Assumptions!Q$17*(1+Assumptions!$H$184)^('Financing Template'!P$2-'Financing Template'!$G$2)+SUMIF('Capex Data'!$F$38:$F$73,'Financing Template'!$C12,'Capex Data'!$K$38:$K$73)*Assumptions!Q$18*(1+Assumptions!$H$184)^('Financing Template'!P$2-'Financing Template'!$G$2)</f>
        <v>0</v>
      </c>
      <c r="Q12" s="304">
        <f>SUMIF('Capex Data'!$F$11:$F$33,'Financing Template'!$C12,'Capex Data'!$K$11:$K$33)*Assumptions!R$17*(1+Assumptions!$H$184)^('Financing Template'!Q$2-'Financing Template'!$G$2)+SUMIF('Capex Data'!$F$38:$F$73,'Financing Template'!$C12,'Capex Data'!$K$38:$K$73)*Assumptions!R$18*(1+Assumptions!$H$184)^('Financing Template'!Q$2-'Financing Template'!$G$2)</f>
        <v>0</v>
      </c>
      <c r="R12" s="304">
        <f>SUMIF('Capex Data'!$F$11:$F$33,'Financing Template'!$C12,'Capex Data'!$K$11:$K$33)*Assumptions!S$17*(1+Assumptions!$H$184)^('Financing Template'!R$2-'Financing Template'!$G$2)+SUMIF('Capex Data'!$F$38:$F$73,'Financing Template'!$C12,'Capex Data'!$K$38:$K$73)*Assumptions!S$18*(1+Assumptions!$H$184)^('Financing Template'!R$2-'Financing Template'!$G$2)</f>
        <v>0</v>
      </c>
      <c r="S12" s="304">
        <f>SUMIF('Capex Data'!$F$11:$F$33,'Financing Template'!$C12,'Capex Data'!$K$11:$K$33)*Assumptions!T$17*(1+Assumptions!$H$184)^('Financing Template'!S$2-'Financing Template'!$G$2)+SUMIF('Capex Data'!$F$38:$F$73,'Financing Template'!$C12,'Capex Data'!$K$38:$K$73)*Assumptions!T$18*(1+Assumptions!$H$184)^('Financing Template'!S$2-'Financing Template'!$G$2)</f>
        <v>0</v>
      </c>
      <c r="T12" s="304">
        <f>SUMIF('Capex Data'!$F$11:$F$33,'Financing Template'!$C12,'Capex Data'!$K$11:$K$33)*Assumptions!U$17*(1+Assumptions!$H$184)^('Financing Template'!T$2-'Financing Template'!$G$2)+SUMIF('Capex Data'!$F$38:$F$73,'Financing Template'!$C12,'Capex Data'!$K$38:$K$73)*Assumptions!U$18*(1+Assumptions!$H$184)^('Financing Template'!T$2-'Financing Template'!$G$2)</f>
        <v>0</v>
      </c>
      <c r="U12" s="304">
        <f>SUMIF('Capex Data'!$F$11:$F$33,'Financing Template'!$C12,'Capex Data'!$K$11:$K$33)*Assumptions!V$17*(1+Assumptions!$H$184)^('Financing Template'!U$2-'Financing Template'!$G$2)+SUMIF('Capex Data'!$F$38:$F$73,'Financing Template'!$C12,'Capex Data'!$K$38:$K$73)*Assumptions!V$18*(1+Assumptions!$H$184)^('Financing Template'!U$2-'Financing Template'!$G$2)</f>
        <v>0</v>
      </c>
      <c r="V12" s="304">
        <f>SUMIF('Capex Data'!$F$11:$F$33,'Financing Template'!$C12,'Capex Data'!$K$11:$K$33)*Assumptions!W$17*(1+Assumptions!$H$184)^('Financing Template'!V$2-'Financing Template'!$G$2)+SUMIF('Capex Data'!$F$38:$F$73,'Financing Template'!$C12,'Capex Data'!$K$38:$K$73)*Assumptions!W$18*(1+Assumptions!$H$184)^('Financing Template'!V$2-'Financing Template'!$G$2)</f>
        <v>0</v>
      </c>
      <c r="W12" s="304">
        <f>SUMIF('Capex Data'!$F$11:$F$33,'Financing Template'!$C12,'Capex Data'!$K$11:$K$33)*Assumptions!X$17*(1+Assumptions!$H$184)^('Financing Template'!W$2-'Financing Template'!$G$2)+SUMIF('Capex Data'!$F$38:$F$73,'Financing Template'!$C12,'Capex Data'!$K$38:$K$73)*Assumptions!X$18*(1+Assumptions!$H$184)^('Financing Template'!W$2-'Financing Template'!$G$2)</f>
        <v>0</v>
      </c>
      <c r="X12" s="304">
        <f>SUMIF('Capex Data'!$F$11:$F$33,'Financing Template'!$C12,'Capex Data'!$K$11:$K$33)*Assumptions!Y$17*(1+Assumptions!$H$184)^('Financing Template'!X$2-'Financing Template'!$G$2)+SUMIF('Capex Data'!$F$38:$F$73,'Financing Template'!$C12,'Capex Data'!$K$38:$K$73)*Assumptions!Y$18*(1+Assumptions!$H$184)^('Financing Template'!X$2-'Financing Template'!$G$2)</f>
        <v>0</v>
      </c>
      <c r="Y12" s="304">
        <f>SUMIF('Capex Data'!$F$11:$F$33,'Financing Template'!$C12,'Capex Data'!$K$11:$K$33)*Assumptions!Z$17*(1+Assumptions!$H$184)^('Financing Template'!Y$2-'Financing Template'!$G$2)+SUMIF('Capex Data'!$F$38:$F$73,'Financing Template'!$C12,'Capex Data'!$K$38:$K$73)*Assumptions!Z$18*(1+Assumptions!$H$184)^('Financing Template'!Y$2-'Financing Template'!$G$2)</f>
        <v>0</v>
      </c>
      <c r="Z12" s="304">
        <f>SUMIF('Capex Data'!$F$11:$F$33,'Financing Template'!$C12,'Capex Data'!$K$11:$K$33)*Assumptions!AA$17*(1+Assumptions!$H$184)^('Financing Template'!Z$2-'Financing Template'!$G$2)+SUMIF('Capex Data'!$F$38:$F$73,'Financing Template'!$C12,'Capex Data'!$K$38:$K$73)*Assumptions!AA$18*(1+Assumptions!$H$184)^('Financing Template'!Z$2-'Financing Template'!$G$2)</f>
        <v>0</v>
      </c>
      <c r="AA12" s="304">
        <f>SUMIF('Capex Data'!$F$11:$F$33,'Financing Template'!$C12,'Capex Data'!$K$11:$K$33)*Assumptions!AB$17*(1+Assumptions!$H$184)^('Financing Template'!AA$2-'Financing Template'!$G$2)+SUMIF('Capex Data'!$F$38:$F$73,'Financing Template'!$C12,'Capex Data'!$K$38:$K$73)*Assumptions!AB$18*(1+Assumptions!$H$184)^('Financing Template'!AA$2-'Financing Template'!$G$2)</f>
        <v>0</v>
      </c>
      <c r="AB12" s="284"/>
      <c r="AC12" s="284"/>
      <c r="AD12" s="284"/>
      <c r="AE12" s="284"/>
      <c r="AF12" s="284"/>
      <c r="AG12" s="284"/>
      <c r="AH12" s="284"/>
      <c r="AI12" s="284"/>
      <c r="AJ12" s="284"/>
      <c r="AK12" s="284"/>
    </row>
    <row r="13" spans="1:37" ht="12.95" customHeight="1" x14ac:dyDescent="0.45">
      <c r="A13" s="293"/>
      <c r="B13" s="278"/>
      <c r="C13" s="339" t="s">
        <v>485</v>
      </c>
      <c r="D13" s="294"/>
      <c r="E13" s="302"/>
      <c r="F13" s="303"/>
      <c r="G13" s="304">
        <f>SUMIF('Capex Data'!$F$11:$F$33,'Financing Template'!$C13,'Capex Data'!$K$11:$K$33)*Assumptions!H$17*(1+Assumptions!$H$184)^('Financing Template'!G$2-'Financing Template'!$G$2)+SUMIF('Capex Data'!$F$38:$F$73,'Financing Template'!$C13,'Capex Data'!$K$38:$K$73)*Assumptions!H$18*(1+Assumptions!$H$184)^('Financing Template'!G$2-'Financing Template'!$G$2)</f>
        <v>0</v>
      </c>
      <c r="H13" s="304">
        <f>SUMIF('Capex Data'!$F$11:$F$33,'Financing Template'!$C13,'Capex Data'!$K$11:$K$33)*Assumptions!I$17*(1+Assumptions!$H$184)^('Financing Template'!H$2-'Financing Template'!$G$2)+SUMIF('Capex Data'!$F$38:$F$73,'Financing Template'!$C13,'Capex Data'!$K$38:$K$73)*Assumptions!I$18*(1+Assumptions!$H$184)^('Financing Template'!H$2-'Financing Template'!$G$2)</f>
        <v>0</v>
      </c>
      <c r="I13" s="304">
        <f>SUMIF('Capex Data'!$F$11:$F$33,'Financing Template'!$C13,'Capex Data'!$K$11:$K$33)*Assumptions!J$17*(1+Assumptions!$H$184)^('Financing Template'!I$2-'Financing Template'!$G$2)+SUMIF('Capex Data'!$F$38:$F$73,'Financing Template'!$C13,'Capex Data'!$K$38:$K$73)*Assumptions!J$18*(1+Assumptions!$H$184)^('Financing Template'!I$2-'Financing Template'!$G$2)</f>
        <v>0</v>
      </c>
      <c r="J13" s="304">
        <f>SUMIF('Capex Data'!$F$11:$F$33,'Financing Template'!$C13,'Capex Data'!$K$11:$K$33)*Assumptions!K$17*(1+Assumptions!$H$184)^('Financing Template'!J$2-'Financing Template'!$G$2)+SUMIF('Capex Data'!$F$38:$F$73,'Financing Template'!$C13,'Capex Data'!$K$38:$K$73)*Assumptions!K$18*(1+Assumptions!$H$184)^('Financing Template'!J$2-'Financing Template'!$G$2)</f>
        <v>0</v>
      </c>
      <c r="K13" s="304">
        <f>SUMIF('Capex Data'!$F$11:$F$33,'Financing Template'!$C13,'Capex Data'!$K$11:$K$33)*Assumptions!L$17*(1+Assumptions!$H$184)^('Financing Template'!K$2-'Financing Template'!$G$2)+SUMIF('Capex Data'!$F$38:$F$73,'Financing Template'!$C13,'Capex Data'!$K$38:$K$73)*Assumptions!L$18*(1+Assumptions!$H$184)^('Financing Template'!K$2-'Financing Template'!$G$2)</f>
        <v>0</v>
      </c>
      <c r="L13" s="304">
        <f>SUMIF('Capex Data'!$F$11:$F$33,'Financing Template'!$C13,'Capex Data'!$K$11:$K$33)*Assumptions!M$17*(1+Assumptions!$H$184)^('Financing Template'!L$2-'Financing Template'!$G$2)+SUMIF('Capex Data'!$F$38:$F$73,'Financing Template'!$C13,'Capex Data'!$K$38:$K$73)*Assumptions!M$18*(1+Assumptions!$H$184)^('Financing Template'!L$2-'Financing Template'!$G$2)</f>
        <v>0</v>
      </c>
      <c r="M13" s="304">
        <f>SUMIF('Capex Data'!$F$11:$F$33,'Financing Template'!$C13,'Capex Data'!$K$11:$K$33)*Assumptions!N$17*(1+Assumptions!$H$184)^('Financing Template'!M$2-'Financing Template'!$G$2)+SUMIF('Capex Data'!$F$38:$F$73,'Financing Template'!$C13,'Capex Data'!$K$38:$K$73)*Assumptions!N$18*(1+Assumptions!$H$184)^('Financing Template'!M$2-'Financing Template'!$G$2)</f>
        <v>0</v>
      </c>
      <c r="N13" s="304">
        <f>SUMIF('Capex Data'!$F$11:$F$33,'Financing Template'!$C13,'Capex Data'!$K$11:$K$33)*Assumptions!O$17*(1+Assumptions!$H$184)^('Financing Template'!N$2-'Financing Template'!$G$2)+SUMIF('Capex Data'!$F$38:$F$73,'Financing Template'!$C13,'Capex Data'!$K$38:$K$73)*Assumptions!O$18*(1+Assumptions!$H$184)^('Financing Template'!N$2-'Financing Template'!$G$2)</f>
        <v>0</v>
      </c>
      <c r="O13" s="304">
        <f>SUMIF('Capex Data'!$F$11:$F$33,'Financing Template'!$C13,'Capex Data'!$K$11:$K$33)*Assumptions!P$17*(1+Assumptions!$H$184)^('Financing Template'!O$2-'Financing Template'!$G$2)+SUMIF('Capex Data'!$F$38:$F$73,'Financing Template'!$C13,'Capex Data'!$K$38:$K$73)*Assumptions!P$18*(1+Assumptions!$H$184)^('Financing Template'!O$2-'Financing Template'!$G$2)</f>
        <v>0</v>
      </c>
      <c r="P13" s="304">
        <f>SUMIF('Capex Data'!$F$11:$F$33,'Financing Template'!$C13,'Capex Data'!$K$11:$K$33)*Assumptions!Q$17*(1+Assumptions!$H$184)^('Financing Template'!P$2-'Financing Template'!$G$2)+SUMIF('Capex Data'!$F$38:$F$73,'Financing Template'!$C13,'Capex Data'!$K$38:$K$73)*Assumptions!Q$18*(1+Assumptions!$H$184)^('Financing Template'!P$2-'Financing Template'!$G$2)</f>
        <v>0</v>
      </c>
      <c r="Q13" s="304">
        <f>SUMIF('Capex Data'!$F$11:$F$33,'Financing Template'!$C13,'Capex Data'!$K$11:$K$33)*Assumptions!R$17*(1+Assumptions!$H$184)^('Financing Template'!Q$2-'Financing Template'!$G$2)+SUMIF('Capex Data'!$F$38:$F$73,'Financing Template'!$C13,'Capex Data'!$K$38:$K$73)*Assumptions!R$18*(1+Assumptions!$H$184)^('Financing Template'!Q$2-'Financing Template'!$G$2)</f>
        <v>0</v>
      </c>
      <c r="R13" s="304">
        <f>SUMIF('Capex Data'!$F$11:$F$33,'Financing Template'!$C13,'Capex Data'!$K$11:$K$33)*Assumptions!S$17*(1+Assumptions!$H$184)^('Financing Template'!R$2-'Financing Template'!$G$2)+SUMIF('Capex Data'!$F$38:$F$73,'Financing Template'!$C13,'Capex Data'!$K$38:$K$73)*Assumptions!S$18*(1+Assumptions!$H$184)^('Financing Template'!R$2-'Financing Template'!$G$2)</f>
        <v>0</v>
      </c>
      <c r="S13" s="304">
        <f>SUMIF('Capex Data'!$F$11:$F$33,'Financing Template'!$C13,'Capex Data'!$K$11:$K$33)*Assumptions!T$17*(1+Assumptions!$H$184)^('Financing Template'!S$2-'Financing Template'!$G$2)+SUMIF('Capex Data'!$F$38:$F$73,'Financing Template'!$C13,'Capex Data'!$K$38:$K$73)*Assumptions!T$18*(1+Assumptions!$H$184)^('Financing Template'!S$2-'Financing Template'!$G$2)</f>
        <v>0</v>
      </c>
      <c r="T13" s="304">
        <f>SUMIF('Capex Data'!$F$11:$F$33,'Financing Template'!$C13,'Capex Data'!$K$11:$K$33)*Assumptions!U$17*(1+Assumptions!$H$184)^('Financing Template'!T$2-'Financing Template'!$G$2)+SUMIF('Capex Data'!$F$38:$F$73,'Financing Template'!$C13,'Capex Data'!$K$38:$K$73)*Assumptions!U$18*(1+Assumptions!$H$184)^('Financing Template'!T$2-'Financing Template'!$G$2)</f>
        <v>0</v>
      </c>
      <c r="U13" s="304">
        <f>SUMIF('Capex Data'!$F$11:$F$33,'Financing Template'!$C13,'Capex Data'!$K$11:$K$33)*Assumptions!V$17*(1+Assumptions!$H$184)^('Financing Template'!U$2-'Financing Template'!$G$2)+SUMIF('Capex Data'!$F$38:$F$73,'Financing Template'!$C13,'Capex Data'!$K$38:$K$73)*Assumptions!V$18*(1+Assumptions!$H$184)^('Financing Template'!U$2-'Financing Template'!$G$2)</f>
        <v>0</v>
      </c>
      <c r="V13" s="304">
        <f>SUMIF('Capex Data'!$F$11:$F$33,'Financing Template'!$C13,'Capex Data'!$K$11:$K$33)*Assumptions!W$17*(1+Assumptions!$H$184)^('Financing Template'!V$2-'Financing Template'!$G$2)+SUMIF('Capex Data'!$F$38:$F$73,'Financing Template'!$C13,'Capex Data'!$K$38:$K$73)*Assumptions!W$18*(1+Assumptions!$H$184)^('Financing Template'!V$2-'Financing Template'!$G$2)</f>
        <v>0</v>
      </c>
      <c r="W13" s="304">
        <f>SUMIF('Capex Data'!$F$11:$F$33,'Financing Template'!$C13,'Capex Data'!$K$11:$K$33)*Assumptions!X$17*(1+Assumptions!$H$184)^('Financing Template'!W$2-'Financing Template'!$G$2)+SUMIF('Capex Data'!$F$38:$F$73,'Financing Template'!$C13,'Capex Data'!$K$38:$K$73)*Assumptions!X$18*(1+Assumptions!$H$184)^('Financing Template'!W$2-'Financing Template'!$G$2)</f>
        <v>0</v>
      </c>
      <c r="X13" s="304">
        <f>SUMIF('Capex Data'!$F$11:$F$33,'Financing Template'!$C13,'Capex Data'!$K$11:$K$33)*Assumptions!Y$17*(1+Assumptions!$H$184)^('Financing Template'!X$2-'Financing Template'!$G$2)+SUMIF('Capex Data'!$F$38:$F$73,'Financing Template'!$C13,'Capex Data'!$K$38:$K$73)*Assumptions!Y$18*(1+Assumptions!$H$184)^('Financing Template'!X$2-'Financing Template'!$G$2)</f>
        <v>0</v>
      </c>
      <c r="Y13" s="304">
        <f>SUMIF('Capex Data'!$F$11:$F$33,'Financing Template'!$C13,'Capex Data'!$K$11:$K$33)*Assumptions!Z$17*(1+Assumptions!$H$184)^('Financing Template'!Y$2-'Financing Template'!$G$2)+SUMIF('Capex Data'!$F$38:$F$73,'Financing Template'!$C13,'Capex Data'!$K$38:$K$73)*Assumptions!Z$18*(1+Assumptions!$H$184)^('Financing Template'!Y$2-'Financing Template'!$G$2)</f>
        <v>0</v>
      </c>
      <c r="Z13" s="304">
        <f>SUMIF('Capex Data'!$F$11:$F$33,'Financing Template'!$C13,'Capex Data'!$K$11:$K$33)*Assumptions!AA$17*(1+Assumptions!$H$184)^('Financing Template'!Z$2-'Financing Template'!$G$2)+SUMIF('Capex Data'!$F$38:$F$73,'Financing Template'!$C13,'Capex Data'!$K$38:$K$73)*Assumptions!AA$18*(1+Assumptions!$H$184)^('Financing Template'!Z$2-'Financing Template'!$G$2)</f>
        <v>0</v>
      </c>
      <c r="AA13" s="304">
        <f>SUMIF('Capex Data'!$F$11:$F$33,'Financing Template'!$C13,'Capex Data'!$K$11:$K$33)*Assumptions!AB$17*(1+Assumptions!$H$184)^('Financing Template'!AA$2-'Financing Template'!$G$2)+SUMIF('Capex Data'!$F$38:$F$73,'Financing Template'!$C13,'Capex Data'!$K$38:$K$73)*Assumptions!AB$18*(1+Assumptions!$H$184)^('Financing Template'!AA$2-'Financing Template'!$G$2)</f>
        <v>0</v>
      </c>
      <c r="AB13" s="284"/>
      <c r="AC13" s="284"/>
      <c r="AD13" s="284"/>
      <c r="AE13" s="284"/>
      <c r="AF13" s="284"/>
      <c r="AG13" s="284"/>
      <c r="AH13" s="284"/>
      <c r="AI13" s="284"/>
      <c r="AJ13" s="284"/>
      <c r="AK13" s="284"/>
    </row>
    <row r="14" spans="1:37" ht="12.95" customHeight="1" x14ac:dyDescent="0.45">
      <c r="A14" s="293"/>
      <c r="B14" s="278"/>
      <c r="C14" s="339"/>
      <c r="D14" s="294"/>
      <c r="E14" s="296"/>
      <c r="F14" s="297"/>
      <c r="G14" s="305" t="s">
        <v>390</v>
      </c>
      <c r="H14" s="305" t="s">
        <v>390</v>
      </c>
      <c r="I14" s="305" t="s">
        <v>390</v>
      </c>
      <c r="J14" s="305" t="s">
        <v>390</v>
      </c>
      <c r="K14" s="305" t="s">
        <v>390</v>
      </c>
      <c r="L14" s="305" t="s">
        <v>390</v>
      </c>
      <c r="M14" s="305" t="s">
        <v>390</v>
      </c>
      <c r="N14" s="305" t="s">
        <v>390</v>
      </c>
      <c r="O14" s="305" t="s">
        <v>390</v>
      </c>
      <c r="P14" s="305" t="s">
        <v>390</v>
      </c>
      <c r="Q14" s="305" t="s">
        <v>390</v>
      </c>
      <c r="R14" s="305" t="s">
        <v>390</v>
      </c>
      <c r="S14" s="305" t="s">
        <v>390</v>
      </c>
      <c r="T14" s="305" t="s">
        <v>390</v>
      </c>
      <c r="U14" s="305" t="s">
        <v>390</v>
      </c>
      <c r="V14" s="305" t="s">
        <v>390</v>
      </c>
      <c r="W14" s="305" t="s">
        <v>390</v>
      </c>
      <c r="X14" s="305" t="s">
        <v>390</v>
      </c>
      <c r="Y14" s="305" t="s">
        <v>390</v>
      </c>
      <c r="Z14" s="305" t="s">
        <v>390</v>
      </c>
      <c r="AA14" s="305" t="s">
        <v>390</v>
      </c>
      <c r="AB14" s="284"/>
      <c r="AC14" s="284"/>
      <c r="AD14" s="284"/>
      <c r="AE14" s="284"/>
      <c r="AF14" s="284"/>
      <c r="AG14" s="284"/>
      <c r="AH14" s="284"/>
      <c r="AI14" s="284"/>
      <c r="AJ14" s="284"/>
      <c r="AK14" s="284"/>
    </row>
    <row r="15" spans="1:37" ht="12.95" customHeight="1" x14ac:dyDescent="0.45">
      <c r="A15" s="293"/>
      <c r="B15" s="278"/>
      <c r="C15" s="339" t="s">
        <v>23</v>
      </c>
      <c r="D15" s="294"/>
      <c r="E15" s="296"/>
      <c r="F15" s="297"/>
      <c r="G15" s="304">
        <f>SUM(G5:G14)</f>
        <v>5717078.3639399</v>
      </c>
      <c r="H15" s="304">
        <f t="shared" ref="H15:AA15" si="1">SUM(H5:H14)</f>
        <v>0</v>
      </c>
      <c r="I15" s="304">
        <f t="shared" si="1"/>
        <v>0</v>
      </c>
      <c r="J15" s="304">
        <f t="shared" si="1"/>
        <v>0</v>
      </c>
      <c r="K15" s="304">
        <f t="shared" si="1"/>
        <v>0</v>
      </c>
      <c r="L15" s="304">
        <f t="shared" si="1"/>
        <v>0</v>
      </c>
      <c r="M15" s="304">
        <f t="shared" si="1"/>
        <v>0</v>
      </c>
      <c r="N15" s="304">
        <f t="shared" si="1"/>
        <v>0</v>
      </c>
      <c r="O15" s="304">
        <f t="shared" si="1"/>
        <v>0</v>
      </c>
      <c r="P15" s="304">
        <f t="shared" si="1"/>
        <v>0</v>
      </c>
      <c r="Q15" s="304">
        <f t="shared" si="1"/>
        <v>0</v>
      </c>
      <c r="R15" s="304">
        <f t="shared" si="1"/>
        <v>0</v>
      </c>
      <c r="S15" s="304">
        <f t="shared" si="1"/>
        <v>0</v>
      </c>
      <c r="T15" s="304">
        <f t="shared" si="1"/>
        <v>0</v>
      </c>
      <c r="U15" s="304">
        <f t="shared" si="1"/>
        <v>0</v>
      </c>
      <c r="V15" s="304">
        <f t="shared" si="1"/>
        <v>0</v>
      </c>
      <c r="W15" s="304">
        <f t="shared" si="1"/>
        <v>0</v>
      </c>
      <c r="X15" s="304">
        <f t="shared" si="1"/>
        <v>0</v>
      </c>
      <c r="Y15" s="304">
        <f t="shared" si="1"/>
        <v>0</v>
      </c>
      <c r="Z15" s="304">
        <f t="shared" si="1"/>
        <v>0</v>
      </c>
      <c r="AA15" s="304">
        <f t="shared" si="1"/>
        <v>0</v>
      </c>
      <c r="AB15" s="284"/>
      <c r="AC15" s="284"/>
      <c r="AD15" s="284"/>
      <c r="AE15" s="284"/>
      <c r="AF15" s="284"/>
      <c r="AG15" s="284"/>
      <c r="AH15" s="284"/>
      <c r="AI15" s="284"/>
      <c r="AJ15" s="284"/>
      <c r="AK15" s="284"/>
    </row>
    <row r="16" spans="1:37" s="313" customFormat="1" ht="15.75" customHeight="1" x14ac:dyDescent="0.45">
      <c r="A16" s="306"/>
      <c r="B16" s="307"/>
      <c r="C16" s="312" t="s">
        <v>487</v>
      </c>
      <c r="D16" s="308"/>
      <c r="E16" s="309"/>
      <c r="F16" s="310"/>
      <c r="G16" s="311">
        <f ca="1">(-'Financial Overview'!G339+'Financial Overview'!G342+'Financial Overview'!G343+'Financial Overview'!G350+'Financial Overview'!G351)</f>
        <v>3686146.9810551833</v>
      </c>
      <c r="H16" s="311">
        <f ca="1">(-'Financial Overview'!H339+'Financial Overview'!H342+'Financial Overview'!H343+'Financial Overview'!H350+'Financial Overview'!H351)</f>
        <v>-32356.847277730238</v>
      </c>
      <c r="I16" s="311">
        <f ca="1">(-'Financial Overview'!I339+'Financial Overview'!I342+'Financial Overview'!I343+'Financial Overview'!I350+'Financial Overview'!I351)</f>
        <v>-2840029.3350102077</v>
      </c>
      <c r="J16" s="311">
        <f ca="1">(-'Financial Overview'!J339+'Financial Overview'!J342+'Financial Overview'!J343+'Financial Overview'!J350+'Financial Overview'!J351)</f>
        <v>-2288580.4194556493</v>
      </c>
      <c r="K16" s="311">
        <f ca="1">(-'Financial Overview'!K339+'Financial Overview'!K342+'Financial Overview'!K343+'Financial Overview'!K350+'Financial Overview'!K351)</f>
        <v>-2417200.3090643678</v>
      </c>
      <c r="L16" s="311">
        <f ca="1">(-'Financial Overview'!L339+'Financial Overview'!L342+'Financial Overview'!L343+'Financial Overview'!L350+'Financial Overview'!L351)</f>
        <v>-2558092.1043277499</v>
      </c>
      <c r="M16" s="311">
        <f ca="1">(-'Financial Overview'!M339+'Financial Overview'!M342+'Financial Overview'!M343+'Financial Overview'!M350+'Financial Overview'!M351)</f>
        <v>-2705776.0382086178</v>
      </c>
      <c r="N16" s="311">
        <f ca="1">(-'Financial Overview'!N339+'Financial Overview'!N342+'Financial Overview'!N343+'Financial Overview'!N350+'Financial Overview'!N351)</f>
        <v>-2860503.3473468702</v>
      </c>
      <c r="O16" s="311">
        <f ca="1">(-'Financial Overview'!O339+'Financial Overview'!O342+'Financial Overview'!O343+'Financial Overview'!O350+'Financial Overview'!O351)</f>
        <v>-3022587.705048813</v>
      </c>
      <c r="P16" s="311">
        <f ca="1">(-'Financial Overview'!P339+'Financial Overview'!P342+'Financial Overview'!P343+'Financial Overview'!P350+'Financial Overview'!P351)</f>
        <v>-3192356.8326379401</v>
      </c>
      <c r="Q16" s="311">
        <f ca="1">(-'Financial Overview'!Q339+'Financial Overview'!Q342+'Financial Overview'!Q343+'Financial Overview'!Q350+'Financial Overview'!Q351)</f>
        <v>-3370152.6602099477</v>
      </c>
      <c r="R16" s="311">
        <f ca="1">(-'Financial Overview'!R339+'Financial Overview'!R342+'Financial Overview'!R343+'Financial Overview'!R350+'Financial Overview'!R351)</f>
        <v>-3556331.9312088825</v>
      </c>
      <c r="S16" s="311">
        <f ca="1">(-'Financial Overview'!S339+'Financial Overview'!S342+'Financial Overview'!S343+'Financial Overview'!S350+'Financial Overview'!S351)</f>
        <v>-3751266.8365170565</v>
      </c>
      <c r="T16" s="311">
        <f ca="1">(-'Financial Overview'!T339+'Financial Overview'!T342+'Financial Overview'!T343+'Financial Overview'!T350+'Financial Overview'!T351)</f>
        <v>-3955345.6755721215</v>
      </c>
      <c r="U16" s="311">
        <f ca="1">(-'Financial Overview'!U339+'Financial Overview'!U342+'Financial Overview'!U343+'Financial Overview'!U350+'Financial Overview'!U351)</f>
        <v>-4168973.5456266948</v>
      </c>
      <c r="V16" s="311">
        <f ca="1">(-'Financial Overview'!V339+'Financial Overview'!V342+'Financial Overview'!V343+'Financial Overview'!V350+'Financial Overview'!V351)</f>
        <v>-4392573.0603451366</v>
      </c>
      <c r="W16" s="311">
        <f ca="1">(-'Financial Overview'!W339+'Financial Overview'!W342+'Financial Overview'!W343+'Financial Overview'!W350+'Financial Overview'!W351)</f>
        <v>-4626585.0989831602</v>
      </c>
      <c r="X16" s="311">
        <f ca="1">(-'Financial Overview'!X339+'Financial Overview'!X342+'Financial Overview'!X343+'Financial Overview'!X350+'Financial Overview'!X351)</f>
        <v>-4871469.587448678</v>
      </c>
      <c r="Y16" s="311">
        <f ca="1">(-'Financial Overview'!Y339+'Financial Overview'!Y342+'Financial Overview'!Y343+'Financial Overview'!Y350+'Financial Overview'!Y351)</f>
        <v>-5127706.3125974117</v>
      </c>
      <c r="Z16" s="311">
        <f ca="1">(-'Financial Overview'!Z339+'Financial Overview'!Z342+'Financial Overview'!Z343+'Financial Overview'!Z350+'Financial Overview'!Z351)</f>
        <v>-5395795.7711741226</v>
      </c>
      <c r="AA16" s="311">
        <f ca="1">(-'Financial Overview'!AA339+'Financial Overview'!AA342+'Financial Overview'!AA343+'Financial Overview'!AA350+'Financial Overview'!AA351)</f>
        <v>-5676260.0548703438</v>
      </c>
      <c r="AB16" s="312"/>
      <c r="AC16" s="312"/>
      <c r="AD16" s="312"/>
      <c r="AE16" s="312"/>
      <c r="AF16" s="312"/>
      <c r="AG16" s="312"/>
      <c r="AH16" s="312"/>
      <c r="AI16" s="312"/>
      <c r="AJ16" s="312"/>
      <c r="AK16" s="312"/>
    </row>
    <row r="17" spans="1:37" s="313" customFormat="1" ht="12.95" customHeight="1" x14ac:dyDescent="0.45">
      <c r="A17" s="306"/>
      <c r="B17" s="307"/>
      <c r="C17" s="312"/>
      <c r="D17" s="308"/>
      <c r="E17" s="309"/>
      <c r="F17" s="310"/>
      <c r="G17" s="314" t="s">
        <v>390</v>
      </c>
      <c r="H17" s="314" t="s">
        <v>390</v>
      </c>
      <c r="I17" s="314" t="s">
        <v>390</v>
      </c>
      <c r="J17" s="314" t="s">
        <v>390</v>
      </c>
      <c r="K17" s="314" t="s">
        <v>390</v>
      </c>
      <c r="L17" s="314" t="s">
        <v>390</v>
      </c>
      <c r="M17" s="314" t="s">
        <v>390</v>
      </c>
      <c r="N17" s="314" t="s">
        <v>390</v>
      </c>
      <c r="O17" s="314" t="s">
        <v>390</v>
      </c>
      <c r="P17" s="314" t="s">
        <v>390</v>
      </c>
      <c r="Q17" s="314" t="s">
        <v>390</v>
      </c>
      <c r="R17" s="314" t="s">
        <v>390</v>
      </c>
      <c r="S17" s="314" t="s">
        <v>390</v>
      </c>
      <c r="T17" s="314" t="s">
        <v>390</v>
      </c>
      <c r="U17" s="314" t="s">
        <v>390</v>
      </c>
      <c r="V17" s="314" t="s">
        <v>390</v>
      </c>
      <c r="W17" s="314" t="s">
        <v>390</v>
      </c>
      <c r="X17" s="314" t="s">
        <v>390</v>
      </c>
      <c r="Y17" s="314" t="s">
        <v>390</v>
      </c>
      <c r="Z17" s="314" t="s">
        <v>390</v>
      </c>
      <c r="AA17" s="314" t="s">
        <v>390</v>
      </c>
      <c r="AB17" s="312"/>
      <c r="AC17" s="312"/>
      <c r="AD17" s="312"/>
      <c r="AE17" s="312"/>
      <c r="AF17" s="312"/>
      <c r="AG17" s="312"/>
      <c r="AH17" s="312"/>
      <c r="AI17" s="312"/>
      <c r="AJ17" s="312"/>
      <c r="AK17" s="312"/>
    </row>
    <row r="18" spans="1:37" s="313" customFormat="1" ht="12.95" customHeight="1" x14ac:dyDescent="0.45">
      <c r="A18" s="306"/>
      <c r="B18" s="307"/>
      <c r="C18" s="312" t="s">
        <v>391</v>
      </c>
      <c r="D18" s="308"/>
      <c r="E18" s="309"/>
      <c r="F18" s="310"/>
      <c r="G18" s="311">
        <f t="shared" ref="G18:AA18" ca="1" si="2">G15+G16</f>
        <v>9403225.3449950833</v>
      </c>
      <c r="H18" s="311">
        <f t="shared" ca="1" si="2"/>
        <v>-32356.847277730238</v>
      </c>
      <c r="I18" s="311">
        <f t="shared" ca="1" si="2"/>
        <v>-2840029.3350102077</v>
      </c>
      <c r="J18" s="311">
        <f t="shared" ca="1" si="2"/>
        <v>-2288580.4194556493</v>
      </c>
      <c r="K18" s="311">
        <f t="shared" ca="1" si="2"/>
        <v>-2417200.3090643678</v>
      </c>
      <c r="L18" s="311">
        <f t="shared" ca="1" si="2"/>
        <v>-2558092.1043277499</v>
      </c>
      <c r="M18" s="311">
        <f t="shared" ca="1" si="2"/>
        <v>-2705776.0382086178</v>
      </c>
      <c r="N18" s="311">
        <f t="shared" ca="1" si="2"/>
        <v>-2860503.3473468702</v>
      </c>
      <c r="O18" s="311">
        <f t="shared" ca="1" si="2"/>
        <v>-3022587.705048813</v>
      </c>
      <c r="P18" s="311">
        <f t="shared" ca="1" si="2"/>
        <v>-3192356.8326379401</v>
      </c>
      <c r="Q18" s="311">
        <f t="shared" ca="1" si="2"/>
        <v>-3370152.6602099477</v>
      </c>
      <c r="R18" s="311">
        <f t="shared" ca="1" si="2"/>
        <v>-3556331.9312088825</v>
      </c>
      <c r="S18" s="311">
        <f t="shared" ca="1" si="2"/>
        <v>-3751266.8365170565</v>
      </c>
      <c r="T18" s="311">
        <f t="shared" ca="1" si="2"/>
        <v>-3955345.6755721215</v>
      </c>
      <c r="U18" s="311">
        <f t="shared" ca="1" si="2"/>
        <v>-4168973.5456266948</v>
      </c>
      <c r="V18" s="311">
        <f t="shared" ca="1" si="2"/>
        <v>-4392573.0603451366</v>
      </c>
      <c r="W18" s="311">
        <f t="shared" ca="1" si="2"/>
        <v>-4626585.0989831602</v>
      </c>
      <c r="X18" s="311">
        <f t="shared" ca="1" si="2"/>
        <v>-4871469.587448678</v>
      </c>
      <c r="Y18" s="311">
        <f t="shared" ca="1" si="2"/>
        <v>-5127706.3125974117</v>
      </c>
      <c r="Z18" s="311">
        <f t="shared" ca="1" si="2"/>
        <v>-5395795.7711741226</v>
      </c>
      <c r="AA18" s="311">
        <f t="shared" ca="1" si="2"/>
        <v>-5676260.0548703438</v>
      </c>
      <c r="AB18" s="312"/>
      <c r="AC18" s="312"/>
      <c r="AD18" s="312"/>
      <c r="AE18" s="312"/>
      <c r="AF18" s="312"/>
      <c r="AG18" s="312"/>
      <c r="AH18" s="312"/>
      <c r="AI18" s="312"/>
      <c r="AJ18" s="312"/>
      <c r="AK18" s="312"/>
    </row>
    <row r="19" spans="1:37" ht="12.95" customHeight="1" x14ac:dyDescent="0.45">
      <c r="A19" s="293"/>
      <c r="B19" s="278"/>
      <c r="C19" s="294"/>
      <c r="D19" s="295"/>
      <c r="E19" s="296"/>
      <c r="F19" s="315" t="s">
        <v>52</v>
      </c>
      <c r="G19" s="316">
        <f ca="1">G15-'Financial Overview'!G144</f>
        <v>0</v>
      </c>
      <c r="H19" s="316">
        <f ca="1">H15-'Financial Overview'!H144</f>
        <v>0</v>
      </c>
      <c r="I19" s="316">
        <f ca="1">I15-'Financial Overview'!I144</f>
        <v>0</v>
      </c>
      <c r="J19" s="316">
        <f ca="1">J15-'Financial Overview'!J144</f>
        <v>0</v>
      </c>
      <c r="K19" s="316">
        <f ca="1">K15-'Financial Overview'!K144</f>
        <v>0</v>
      </c>
      <c r="L19" s="316">
        <f ca="1">L15-'Financial Overview'!L144</f>
        <v>0</v>
      </c>
      <c r="M19" s="316">
        <f ca="1">M15-'Financial Overview'!M144</f>
        <v>0</v>
      </c>
      <c r="N19" s="316">
        <f ca="1">N15-'Financial Overview'!N144</f>
        <v>0</v>
      </c>
      <c r="O19" s="316">
        <f ca="1">O15-'Financial Overview'!O144</f>
        <v>0</v>
      </c>
      <c r="P19" s="316">
        <f ca="1">P15-'Financial Overview'!P144</f>
        <v>0</v>
      </c>
      <c r="Q19" s="316">
        <f ca="1">Q15-'Financial Overview'!Q144</f>
        <v>0</v>
      </c>
      <c r="R19" s="316">
        <f ca="1">R15-'Financial Overview'!R144</f>
        <v>0</v>
      </c>
      <c r="S19" s="316">
        <f ca="1">S15-'Financial Overview'!S144</f>
        <v>0</v>
      </c>
      <c r="T19" s="316">
        <f ca="1">T15-'Financial Overview'!T144</f>
        <v>0</v>
      </c>
      <c r="U19" s="316">
        <f ca="1">U15-'Financial Overview'!U144</f>
        <v>0</v>
      </c>
      <c r="V19" s="316">
        <f ca="1">V15-'Financial Overview'!V144</f>
        <v>0</v>
      </c>
      <c r="W19" s="316">
        <f ca="1">W15-'Financial Overview'!W144</f>
        <v>0</v>
      </c>
      <c r="X19" s="316">
        <f ca="1">X15-'Financial Overview'!X144</f>
        <v>0</v>
      </c>
      <c r="Y19" s="316">
        <f ca="1">Y15-'Financial Overview'!Y144</f>
        <v>0</v>
      </c>
      <c r="Z19" s="316">
        <f ca="1">Z15-'Financial Overview'!Z144</f>
        <v>0</v>
      </c>
      <c r="AA19" s="316">
        <f ca="1">AA15-'Financial Overview'!AA144</f>
        <v>0</v>
      </c>
      <c r="AB19" s="284"/>
      <c r="AC19" s="284"/>
      <c r="AD19" s="284"/>
      <c r="AE19" s="284"/>
      <c r="AF19" s="284"/>
      <c r="AG19" s="284"/>
      <c r="AH19" s="284"/>
      <c r="AI19" s="284"/>
      <c r="AJ19" s="284"/>
      <c r="AK19" s="284"/>
    </row>
    <row r="20" spans="1:37" ht="12.95" customHeight="1" x14ac:dyDescent="0.45">
      <c r="A20" s="293"/>
      <c r="B20" s="278"/>
      <c r="C20" s="294"/>
      <c r="D20" s="295"/>
      <c r="E20" s="296"/>
      <c r="F20" s="297"/>
      <c r="G20" s="304"/>
      <c r="H20" s="304"/>
      <c r="I20" s="304"/>
      <c r="J20" s="304"/>
      <c r="K20" s="304"/>
      <c r="L20" s="304"/>
      <c r="M20" s="304"/>
      <c r="N20" s="304"/>
      <c r="O20" s="304"/>
      <c r="P20" s="304"/>
      <c r="Q20" s="304"/>
      <c r="R20" s="304"/>
      <c r="S20" s="304"/>
      <c r="T20" s="304"/>
      <c r="U20" s="304"/>
      <c r="V20" s="304"/>
      <c r="W20" s="304"/>
      <c r="X20" s="304"/>
      <c r="Y20" s="304"/>
      <c r="Z20" s="304"/>
      <c r="AA20" s="304"/>
      <c r="AB20" s="284"/>
      <c r="AC20" s="284"/>
      <c r="AD20" s="284"/>
      <c r="AE20" s="284"/>
      <c r="AF20" s="284"/>
      <c r="AG20" s="284"/>
      <c r="AH20" s="284"/>
      <c r="AI20" s="284"/>
      <c r="AJ20" s="284"/>
      <c r="AK20" s="284"/>
    </row>
    <row r="21" spans="1:37" ht="12.95" customHeight="1" x14ac:dyDescent="0.45">
      <c r="A21" s="293" t="s">
        <v>392</v>
      </c>
      <c r="B21" s="278"/>
      <c r="C21" s="294"/>
      <c r="D21" s="295"/>
      <c r="E21" s="296"/>
      <c r="F21" s="297"/>
      <c r="G21" s="436"/>
      <c r="H21" s="436"/>
      <c r="I21" s="436"/>
      <c r="J21" s="436"/>
      <c r="K21" s="436"/>
      <c r="L21" s="436"/>
      <c r="M21" s="298"/>
      <c r="N21" s="298"/>
      <c r="O21" s="298"/>
      <c r="P21" s="298"/>
      <c r="Q21" s="298"/>
      <c r="R21" s="298"/>
      <c r="S21" s="298"/>
      <c r="T21" s="298"/>
      <c r="U21" s="298"/>
      <c r="V21" s="298"/>
      <c r="W21" s="298"/>
      <c r="X21" s="298"/>
      <c r="Y21" s="298"/>
      <c r="Z21" s="298"/>
      <c r="AA21" s="298"/>
      <c r="AB21" s="284"/>
      <c r="AC21" s="284"/>
      <c r="AD21" s="284"/>
      <c r="AE21" s="284"/>
      <c r="AF21" s="284"/>
      <c r="AG21" s="284"/>
      <c r="AH21" s="284"/>
      <c r="AI21" s="284"/>
      <c r="AJ21" s="284"/>
      <c r="AK21" s="284"/>
    </row>
    <row r="22" spans="1:37" ht="12.95" customHeight="1" x14ac:dyDescent="0.45">
      <c r="A22" s="293"/>
      <c r="B22" s="278" t="s">
        <v>379</v>
      </c>
      <c r="C22" s="294"/>
      <c r="D22" s="295"/>
      <c r="E22" s="296"/>
      <c r="F22" s="297"/>
      <c r="G22" s="298"/>
      <c r="H22" s="298"/>
      <c r="I22" s="298"/>
      <c r="J22" s="298"/>
      <c r="K22" s="298"/>
      <c r="L22" s="298"/>
      <c r="M22" s="298"/>
      <c r="N22" s="298"/>
      <c r="O22" s="298"/>
      <c r="P22" s="298"/>
      <c r="Q22" s="298"/>
      <c r="R22" s="298"/>
      <c r="S22" s="298"/>
      <c r="T22" s="298"/>
      <c r="U22" s="298"/>
      <c r="V22" s="298"/>
      <c r="W22" s="298"/>
      <c r="X22" s="298"/>
      <c r="Y22" s="298"/>
      <c r="Z22" s="298"/>
      <c r="AA22" s="298"/>
      <c r="AB22" s="284"/>
      <c r="AC22" s="284"/>
      <c r="AD22" s="284"/>
      <c r="AE22" s="284"/>
      <c r="AF22" s="284"/>
      <c r="AG22" s="284"/>
      <c r="AH22" s="284"/>
      <c r="AI22" s="284"/>
      <c r="AJ22" s="284"/>
      <c r="AK22" s="284"/>
    </row>
    <row r="23" spans="1:37" ht="12.95" customHeight="1" x14ac:dyDescent="0.45">
      <c r="A23" s="293"/>
      <c r="B23" s="278"/>
      <c r="C23" s="294" t="s">
        <v>393</v>
      </c>
      <c r="D23" s="295"/>
      <c r="E23" s="296"/>
      <c r="F23" s="297"/>
      <c r="G23" s="304">
        <f t="shared" ref="G23:W27" si="3">SUMIF($F$283:$F$292,$C23,G$283:G$292)</f>
        <v>0</v>
      </c>
      <c r="H23" s="304">
        <f t="shared" si="3"/>
        <v>0</v>
      </c>
      <c r="I23" s="304">
        <f t="shared" si="3"/>
        <v>0</v>
      </c>
      <c r="J23" s="304">
        <f t="shared" si="3"/>
        <v>0</v>
      </c>
      <c r="K23" s="304">
        <f t="shared" si="3"/>
        <v>0</v>
      </c>
      <c r="L23" s="304">
        <f t="shared" si="3"/>
        <v>0</v>
      </c>
      <c r="M23" s="304">
        <f t="shared" si="3"/>
        <v>0</v>
      </c>
      <c r="N23" s="304">
        <f t="shared" si="3"/>
        <v>0</v>
      </c>
      <c r="O23" s="304">
        <f t="shared" si="3"/>
        <v>0</v>
      </c>
      <c r="P23" s="304">
        <f t="shared" si="3"/>
        <v>0</v>
      </c>
      <c r="Q23" s="304">
        <f t="shared" si="3"/>
        <v>0</v>
      </c>
      <c r="R23" s="304">
        <f t="shared" si="3"/>
        <v>0</v>
      </c>
      <c r="S23" s="304">
        <f t="shared" si="3"/>
        <v>0</v>
      </c>
      <c r="T23" s="304">
        <f t="shared" si="3"/>
        <v>0</v>
      </c>
      <c r="U23" s="304">
        <f t="shared" si="3"/>
        <v>0</v>
      </c>
      <c r="V23" s="304">
        <f t="shared" si="3"/>
        <v>0</v>
      </c>
      <c r="W23" s="304">
        <f t="shared" si="3"/>
        <v>0</v>
      </c>
      <c r="X23" s="304">
        <f t="shared" ref="X23:AA27" si="4">SUMIF($F$283:$F$292,$C23,X$283:X$292)</f>
        <v>0</v>
      </c>
      <c r="Y23" s="304">
        <f t="shared" si="4"/>
        <v>0</v>
      </c>
      <c r="Z23" s="304">
        <f t="shared" si="4"/>
        <v>0</v>
      </c>
      <c r="AA23" s="304">
        <f t="shared" si="4"/>
        <v>0</v>
      </c>
      <c r="AB23" s="284"/>
      <c r="AC23" s="284"/>
      <c r="AD23" s="284"/>
      <c r="AE23" s="284"/>
      <c r="AF23" s="284"/>
      <c r="AG23" s="284"/>
      <c r="AH23" s="284"/>
      <c r="AI23" s="284"/>
      <c r="AJ23" s="284"/>
      <c r="AK23" s="284"/>
    </row>
    <row r="24" spans="1:37" ht="12.95" customHeight="1" x14ac:dyDescent="0.45">
      <c r="A24" s="293"/>
      <c r="B24" s="278"/>
      <c r="C24" s="294" t="s">
        <v>389</v>
      </c>
      <c r="D24" s="295"/>
      <c r="E24" s="296"/>
      <c r="F24" s="297"/>
      <c r="G24" s="304">
        <f>SUMIF($F$283:$F$292,$C24,G$283:G$292)</f>
        <v>0</v>
      </c>
      <c r="H24" s="304">
        <f t="shared" si="3"/>
        <v>0</v>
      </c>
      <c r="I24" s="304">
        <f t="shared" si="3"/>
        <v>0</v>
      </c>
      <c r="J24" s="304">
        <f t="shared" si="3"/>
        <v>0</v>
      </c>
      <c r="K24" s="304">
        <f t="shared" si="3"/>
        <v>0</v>
      </c>
      <c r="L24" s="304">
        <f t="shared" si="3"/>
        <v>0</v>
      </c>
      <c r="M24" s="304">
        <f t="shared" si="3"/>
        <v>0</v>
      </c>
      <c r="N24" s="304">
        <f t="shared" si="3"/>
        <v>0</v>
      </c>
      <c r="O24" s="304">
        <f t="shared" si="3"/>
        <v>0</v>
      </c>
      <c r="P24" s="304">
        <f t="shared" si="3"/>
        <v>0</v>
      </c>
      <c r="Q24" s="304">
        <f t="shared" si="3"/>
        <v>0</v>
      </c>
      <c r="R24" s="304">
        <f t="shared" si="3"/>
        <v>0</v>
      </c>
      <c r="S24" s="304">
        <f t="shared" si="3"/>
        <v>0</v>
      </c>
      <c r="T24" s="304">
        <f t="shared" si="3"/>
        <v>0</v>
      </c>
      <c r="U24" s="304">
        <f t="shared" si="3"/>
        <v>0</v>
      </c>
      <c r="V24" s="304">
        <f t="shared" si="3"/>
        <v>0</v>
      </c>
      <c r="W24" s="304">
        <f t="shared" si="3"/>
        <v>0</v>
      </c>
      <c r="X24" s="304">
        <f t="shared" si="4"/>
        <v>0</v>
      </c>
      <c r="Y24" s="304">
        <f t="shared" si="4"/>
        <v>0</v>
      </c>
      <c r="Z24" s="304">
        <f t="shared" si="4"/>
        <v>0</v>
      </c>
      <c r="AA24" s="304">
        <f t="shared" si="4"/>
        <v>0</v>
      </c>
      <c r="AB24" s="284"/>
      <c r="AC24" s="284"/>
      <c r="AD24" s="284"/>
      <c r="AE24" s="284"/>
      <c r="AF24" s="284"/>
      <c r="AG24" s="284"/>
      <c r="AH24" s="284"/>
      <c r="AI24" s="284"/>
      <c r="AJ24" s="284"/>
      <c r="AK24" s="284"/>
    </row>
    <row r="25" spans="1:37" ht="12.95" customHeight="1" x14ac:dyDescent="0.45">
      <c r="A25" s="293"/>
      <c r="B25" s="278"/>
      <c r="C25" s="294" t="s">
        <v>394</v>
      </c>
      <c r="D25" s="295"/>
      <c r="E25" s="296"/>
      <c r="F25" s="297"/>
      <c r="G25" s="304">
        <f>SUMIF($F$283:$F$292,$C25,G$283:G$292)</f>
        <v>0</v>
      </c>
      <c r="H25" s="304">
        <f t="shared" si="3"/>
        <v>0</v>
      </c>
      <c r="I25" s="304">
        <f t="shared" si="3"/>
        <v>0</v>
      </c>
      <c r="J25" s="304">
        <f t="shared" si="3"/>
        <v>0</v>
      </c>
      <c r="K25" s="304">
        <f t="shared" si="3"/>
        <v>0</v>
      </c>
      <c r="L25" s="304">
        <f t="shared" si="3"/>
        <v>0</v>
      </c>
      <c r="M25" s="304">
        <f t="shared" si="3"/>
        <v>0</v>
      </c>
      <c r="N25" s="304">
        <f t="shared" si="3"/>
        <v>0</v>
      </c>
      <c r="O25" s="304">
        <f t="shared" si="3"/>
        <v>0</v>
      </c>
      <c r="P25" s="304">
        <f t="shared" si="3"/>
        <v>0</v>
      </c>
      <c r="Q25" s="304">
        <f t="shared" si="3"/>
        <v>0</v>
      </c>
      <c r="R25" s="304">
        <f t="shared" si="3"/>
        <v>0</v>
      </c>
      <c r="S25" s="304">
        <f t="shared" si="3"/>
        <v>0</v>
      </c>
      <c r="T25" s="304">
        <f t="shared" si="3"/>
        <v>0</v>
      </c>
      <c r="U25" s="304">
        <f t="shared" si="3"/>
        <v>0</v>
      </c>
      <c r="V25" s="304">
        <f t="shared" si="3"/>
        <v>0</v>
      </c>
      <c r="W25" s="304">
        <f t="shared" si="3"/>
        <v>0</v>
      </c>
      <c r="X25" s="304">
        <f t="shared" si="4"/>
        <v>0</v>
      </c>
      <c r="Y25" s="304">
        <f t="shared" si="4"/>
        <v>0</v>
      </c>
      <c r="Z25" s="304">
        <f t="shared" si="4"/>
        <v>0</v>
      </c>
      <c r="AA25" s="304">
        <f t="shared" si="4"/>
        <v>0</v>
      </c>
      <c r="AB25" s="284"/>
      <c r="AC25" s="284"/>
      <c r="AD25" s="284"/>
      <c r="AE25" s="284"/>
      <c r="AF25" s="284"/>
      <c r="AG25" s="284"/>
      <c r="AH25" s="284"/>
      <c r="AI25" s="284"/>
      <c r="AJ25" s="284"/>
      <c r="AK25" s="284"/>
    </row>
    <row r="26" spans="1:37" ht="12.95" customHeight="1" x14ac:dyDescent="0.45">
      <c r="A26" s="293"/>
      <c r="B26" s="278"/>
      <c r="C26" s="294" t="s">
        <v>386</v>
      </c>
      <c r="D26" s="295"/>
      <c r="E26" s="296"/>
      <c r="F26" s="647"/>
      <c r="G26" s="304">
        <f>SUMIF($F$283:$F$292,$C26,G$283:G$292)</f>
        <v>0</v>
      </c>
      <c r="H26" s="304">
        <f t="shared" si="3"/>
        <v>0</v>
      </c>
      <c r="I26" s="304">
        <f t="shared" si="3"/>
        <v>0</v>
      </c>
      <c r="J26" s="304">
        <f t="shared" si="3"/>
        <v>0</v>
      </c>
      <c r="K26" s="304">
        <f t="shared" si="3"/>
        <v>0</v>
      </c>
      <c r="L26" s="304">
        <f t="shared" si="3"/>
        <v>0</v>
      </c>
      <c r="M26" s="304">
        <f t="shared" si="3"/>
        <v>0</v>
      </c>
      <c r="N26" s="304">
        <f t="shared" si="3"/>
        <v>0</v>
      </c>
      <c r="O26" s="304">
        <f t="shared" si="3"/>
        <v>0</v>
      </c>
      <c r="P26" s="304">
        <f t="shared" si="3"/>
        <v>0</v>
      </c>
      <c r="Q26" s="304">
        <f t="shared" si="3"/>
        <v>0</v>
      </c>
      <c r="R26" s="304">
        <f t="shared" si="3"/>
        <v>0</v>
      </c>
      <c r="S26" s="304">
        <f t="shared" si="3"/>
        <v>0</v>
      </c>
      <c r="T26" s="304">
        <f t="shared" si="3"/>
        <v>0</v>
      </c>
      <c r="U26" s="304">
        <f t="shared" si="3"/>
        <v>0</v>
      </c>
      <c r="V26" s="304">
        <f t="shared" si="3"/>
        <v>0</v>
      </c>
      <c r="W26" s="304">
        <f t="shared" si="3"/>
        <v>0</v>
      </c>
      <c r="X26" s="304">
        <f t="shared" si="4"/>
        <v>0</v>
      </c>
      <c r="Y26" s="304">
        <f t="shared" si="4"/>
        <v>0</v>
      </c>
      <c r="Z26" s="304">
        <f t="shared" si="4"/>
        <v>0</v>
      </c>
      <c r="AA26" s="304">
        <f t="shared" si="4"/>
        <v>0</v>
      </c>
      <c r="AB26" s="284"/>
      <c r="AC26" s="284"/>
      <c r="AD26" s="284"/>
      <c r="AE26" s="284"/>
      <c r="AF26" s="284"/>
      <c r="AG26" s="284"/>
      <c r="AH26" s="284"/>
      <c r="AI26" s="284"/>
      <c r="AJ26" s="284"/>
      <c r="AK26" s="284"/>
    </row>
    <row r="27" spans="1:37" ht="12.95" customHeight="1" x14ac:dyDescent="0.45">
      <c r="A27" s="293"/>
      <c r="B27" s="278"/>
      <c r="C27" s="294" t="s">
        <v>395</v>
      </c>
      <c r="D27" s="295"/>
      <c r="E27" s="296"/>
      <c r="F27" s="647"/>
      <c r="G27" s="304">
        <f>SUMIF($F$283:$F$292,$C27,G$283:G$292)</f>
        <v>0</v>
      </c>
      <c r="H27" s="304">
        <f t="shared" si="3"/>
        <v>0</v>
      </c>
      <c r="I27" s="304">
        <f t="shared" si="3"/>
        <v>0</v>
      </c>
      <c r="J27" s="304">
        <f t="shared" si="3"/>
        <v>0</v>
      </c>
      <c r="K27" s="304">
        <f t="shared" si="3"/>
        <v>0</v>
      </c>
      <c r="L27" s="304">
        <f t="shared" si="3"/>
        <v>0</v>
      </c>
      <c r="M27" s="304">
        <f t="shared" si="3"/>
        <v>0</v>
      </c>
      <c r="N27" s="304">
        <f t="shared" si="3"/>
        <v>0</v>
      </c>
      <c r="O27" s="304">
        <f t="shared" si="3"/>
        <v>0</v>
      </c>
      <c r="P27" s="304">
        <f t="shared" si="3"/>
        <v>0</v>
      </c>
      <c r="Q27" s="304">
        <f t="shared" si="3"/>
        <v>0</v>
      </c>
      <c r="R27" s="304">
        <f t="shared" si="3"/>
        <v>0</v>
      </c>
      <c r="S27" s="304">
        <f t="shared" si="3"/>
        <v>0</v>
      </c>
      <c r="T27" s="304">
        <f t="shared" si="3"/>
        <v>0</v>
      </c>
      <c r="U27" s="304">
        <f t="shared" si="3"/>
        <v>0</v>
      </c>
      <c r="V27" s="304">
        <f t="shared" si="3"/>
        <v>0</v>
      </c>
      <c r="W27" s="304">
        <f t="shared" si="3"/>
        <v>0</v>
      </c>
      <c r="X27" s="304">
        <f t="shared" si="4"/>
        <v>0</v>
      </c>
      <c r="Y27" s="304">
        <f t="shared" si="4"/>
        <v>0</v>
      </c>
      <c r="Z27" s="304">
        <f t="shared" si="4"/>
        <v>0</v>
      </c>
      <c r="AA27" s="304">
        <f t="shared" si="4"/>
        <v>0</v>
      </c>
      <c r="AB27" s="284"/>
      <c r="AC27" s="284"/>
      <c r="AD27" s="284"/>
      <c r="AE27" s="284"/>
      <c r="AF27" s="284"/>
      <c r="AG27" s="284"/>
      <c r="AH27" s="284"/>
      <c r="AI27" s="284"/>
      <c r="AJ27" s="284"/>
      <c r="AK27" s="284"/>
    </row>
    <row r="28" spans="1:37" ht="12.95" customHeight="1" x14ac:dyDescent="0.45">
      <c r="A28" s="293"/>
      <c r="B28" s="278"/>
      <c r="C28" s="294" t="s">
        <v>396</v>
      </c>
      <c r="D28" s="295"/>
      <c r="E28" s="296"/>
      <c r="F28" s="647"/>
      <c r="G28" s="317"/>
      <c r="H28" s="317"/>
      <c r="I28" s="317"/>
      <c r="J28" s="317"/>
      <c r="K28" s="317"/>
      <c r="L28" s="317"/>
      <c r="M28" s="317"/>
      <c r="N28" s="317"/>
      <c r="O28" s="317"/>
      <c r="P28" s="317"/>
      <c r="Q28" s="317"/>
      <c r="R28" s="317"/>
      <c r="S28" s="317"/>
      <c r="T28" s="317"/>
      <c r="U28" s="317"/>
      <c r="V28" s="317"/>
      <c r="W28" s="317"/>
      <c r="X28" s="317"/>
      <c r="Y28" s="317"/>
      <c r="Z28" s="317"/>
      <c r="AA28" s="317"/>
      <c r="AB28" s="284"/>
      <c r="AC28" s="284"/>
      <c r="AD28" s="284"/>
      <c r="AE28" s="284"/>
      <c r="AF28" s="284"/>
      <c r="AG28" s="284"/>
      <c r="AH28" s="284"/>
      <c r="AI28" s="284"/>
      <c r="AJ28" s="284"/>
      <c r="AK28" s="284"/>
    </row>
    <row r="29" spans="1:37" ht="12.95" customHeight="1" x14ac:dyDescent="0.45">
      <c r="A29" s="293"/>
      <c r="B29" s="278"/>
      <c r="C29" s="294" t="s">
        <v>397</v>
      </c>
      <c r="D29" s="295"/>
      <c r="E29" s="296"/>
      <c r="F29" s="647"/>
      <c r="G29" s="317"/>
      <c r="H29" s="317"/>
      <c r="I29" s="317"/>
      <c r="J29" s="317"/>
      <c r="K29" s="317"/>
      <c r="L29" s="317"/>
      <c r="M29" s="317"/>
      <c r="N29" s="317"/>
      <c r="O29" s="317"/>
      <c r="P29" s="317"/>
      <c r="Q29" s="317"/>
      <c r="R29" s="317"/>
      <c r="S29" s="317"/>
      <c r="T29" s="317"/>
      <c r="U29" s="317"/>
      <c r="V29" s="317"/>
      <c r="W29" s="317"/>
      <c r="X29" s="317"/>
      <c r="Y29" s="317"/>
      <c r="Z29" s="317"/>
      <c r="AA29" s="317"/>
      <c r="AB29" s="284"/>
      <c r="AC29" s="284"/>
      <c r="AD29" s="284"/>
      <c r="AE29" s="284"/>
      <c r="AF29" s="284"/>
      <c r="AG29" s="284"/>
      <c r="AH29" s="284"/>
      <c r="AI29" s="284"/>
      <c r="AJ29" s="284"/>
      <c r="AK29" s="284"/>
    </row>
    <row r="30" spans="1:37" ht="12.95" customHeight="1" x14ac:dyDescent="0.45">
      <c r="A30" s="293"/>
      <c r="B30" s="278"/>
      <c r="C30" s="294" t="s">
        <v>398</v>
      </c>
      <c r="D30" s="295"/>
      <c r="E30" s="296"/>
      <c r="F30" s="647"/>
      <c r="G30" s="304">
        <f ca="1">IF('Financial Overview'!G303&lt;0,-'Financial Overview'!G303,0)</f>
        <v>0</v>
      </c>
      <c r="H30" s="304">
        <f ca="1">IF('Financial Overview'!H303&lt;0,-'Financial Overview'!H303,0)</f>
        <v>0</v>
      </c>
      <c r="I30" s="304">
        <f ca="1">IF('Financial Overview'!I303&lt;0,-'Financial Overview'!I303,0)</f>
        <v>0</v>
      </c>
      <c r="J30" s="304">
        <f ca="1">IF('Financial Overview'!J303&lt;0,-'Financial Overview'!J303,0)</f>
        <v>0</v>
      </c>
      <c r="K30" s="304">
        <f ca="1">IF('Financial Overview'!K303&lt;0,-'Financial Overview'!K303,0)</f>
        <v>0</v>
      </c>
      <c r="L30" s="304">
        <f ca="1">IF('Financial Overview'!L303&lt;0,-'Financial Overview'!L303,0)</f>
        <v>0</v>
      </c>
      <c r="M30" s="304">
        <f ca="1">IF('Financial Overview'!M303&lt;0,-'Financial Overview'!M303,0)</f>
        <v>0</v>
      </c>
      <c r="N30" s="304">
        <f ca="1">IF('Financial Overview'!N303&lt;0,-'Financial Overview'!N303,0)</f>
        <v>0</v>
      </c>
      <c r="O30" s="304">
        <f ca="1">IF('Financial Overview'!O303&lt;0,-'Financial Overview'!O303,0)</f>
        <v>0</v>
      </c>
      <c r="P30" s="304">
        <f ca="1">IF('Financial Overview'!P303&lt;0,-'Financial Overview'!P303,0)</f>
        <v>0</v>
      </c>
      <c r="Q30" s="304">
        <f ca="1">IF('Financial Overview'!Q303&lt;0,-'Financial Overview'!Q303,0)</f>
        <v>0</v>
      </c>
      <c r="R30" s="304">
        <f ca="1">IF('Financial Overview'!R303&lt;0,-'Financial Overview'!R303,0)</f>
        <v>0</v>
      </c>
      <c r="S30" s="304">
        <f ca="1">IF('Financial Overview'!S303&lt;0,-'Financial Overview'!S303,0)</f>
        <v>0</v>
      </c>
      <c r="T30" s="304">
        <f ca="1">IF('Financial Overview'!T303&lt;0,-'Financial Overview'!T303,0)</f>
        <v>0</v>
      </c>
      <c r="U30" s="304">
        <f ca="1">IF('Financial Overview'!U303&lt;0,-'Financial Overview'!U303,0)</f>
        <v>0</v>
      </c>
      <c r="V30" s="304">
        <f ca="1">IF('Financial Overview'!V303&lt;0,-'Financial Overview'!V303,0)</f>
        <v>0</v>
      </c>
      <c r="W30" s="304">
        <f ca="1">IF('Financial Overview'!W303&lt;0,-'Financial Overview'!W303,0)</f>
        <v>0</v>
      </c>
      <c r="X30" s="304">
        <f ca="1">IF('Financial Overview'!X303&lt;0,-'Financial Overview'!X303,0)</f>
        <v>0</v>
      </c>
      <c r="Y30" s="304">
        <f ca="1">IF('Financial Overview'!Y303&lt;0,-'Financial Overview'!Y303,0)</f>
        <v>0</v>
      </c>
      <c r="Z30" s="304">
        <f ca="1">IF('Financial Overview'!Z303&lt;0,-'Financial Overview'!Z303,0)</f>
        <v>0</v>
      </c>
      <c r="AA30" s="304">
        <f ca="1">IF('Financial Overview'!AA303&lt;0,-'Financial Overview'!AA303,0)</f>
        <v>0</v>
      </c>
      <c r="AB30" s="284"/>
      <c r="AC30" s="284"/>
      <c r="AD30" s="284"/>
      <c r="AE30" s="284"/>
      <c r="AF30" s="284"/>
      <c r="AG30" s="284"/>
      <c r="AH30" s="284"/>
      <c r="AI30" s="284"/>
      <c r="AJ30" s="284"/>
      <c r="AK30" s="284"/>
    </row>
    <row r="31" spans="1:37" ht="12.95" customHeight="1" x14ac:dyDescent="0.45">
      <c r="A31" s="293"/>
      <c r="B31" s="278"/>
      <c r="C31" s="294"/>
      <c r="D31" s="295"/>
      <c r="E31" s="296"/>
      <c r="F31" s="647"/>
      <c r="G31" s="305" t="s">
        <v>390</v>
      </c>
      <c r="H31" s="305" t="s">
        <v>390</v>
      </c>
      <c r="I31" s="305" t="s">
        <v>390</v>
      </c>
      <c r="J31" s="305" t="s">
        <v>390</v>
      </c>
      <c r="K31" s="305" t="s">
        <v>390</v>
      </c>
      <c r="L31" s="305" t="s">
        <v>390</v>
      </c>
      <c r="M31" s="305" t="s">
        <v>390</v>
      </c>
      <c r="N31" s="305" t="s">
        <v>390</v>
      </c>
      <c r="O31" s="305" t="s">
        <v>390</v>
      </c>
      <c r="P31" s="305" t="s">
        <v>390</v>
      </c>
      <c r="Q31" s="305" t="s">
        <v>390</v>
      </c>
      <c r="R31" s="305" t="s">
        <v>390</v>
      </c>
      <c r="S31" s="305" t="s">
        <v>390</v>
      </c>
      <c r="T31" s="305" t="s">
        <v>390</v>
      </c>
      <c r="U31" s="305" t="s">
        <v>390</v>
      </c>
      <c r="V31" s="305" t="s">
        <v>390</v>
      </c>
      <c r="W31" s="305" t="s">
        <v>390</v>
      </c>
      <c r="X31" s="305" t="s">
        <v>390</v>
      </c>
      <c r="Y31" s="305" t="s">
        <v>390</v>
      </c>
      <c r="Z31" s="305" t="s">
        <v>390</v>
      </c>
      <c r="AA31" s="305" t="s">
        <v>390</v>
      </c>
      <c r="AB31" s="284"/>
      <c r="AC31" s="284"/>
      <c r="AD31" s="284"/>
      <c r="AE31" s="284"/>
      <c r="AF31" s="284"/>
      <c r="AG31" s="284"/>
      <c r="AH31" s="284"/>
      <c r="AI31" s="284"/>
      <c r="AJ31" s="284"/>
      <c r="AK31" s="284"/>
    </row>
    <row r="32" spans="1:37" ht="12.95" customHeight="1" x14ac:dyDescent="0.45">
      <c r="A32" s="293"/>
      <c r="B32" s="278"/>
      <c r="C32" s="294" t="s">
        <v>399</v>
      </c>
      <c r="D32" s="295"/>
      <c r="E32" s="296"/>
      <c r="F32" s="647"/>
      <c r="G32" s="304">
        <f ca="1">SUM(G22:G31)</f>
        <v>0</v>
      </c>
      <c r="H32" s="304">
        <f t="shared" ref="H32:AA32" ca="1" si="5">SUM(H22:H31)</f>
        <v>0</v>
      </c>
      <c r="I32" s="304">
        <f t="shared" ca="1" si="5"/>
        <v>0</v>
      </c>
      <c r="J32" s="304">
        <f t="shared" ca="1" si="5"/>
        <v>0</v>
      </c>
      <c r="K32" s="304">
        <f t="shared" ca="1" si="5"/>
        <v>0</v>
      </c>
      <c r="L32" s="304">
        <f t="shared" ca="1" si="5"/>
        <v>0</v>
      </c>
      <c r="M32" s="304">
        <f t="shared" ca="1" si="5"/>
        <v>0</v>
      </c>
      <c r="N32" s="304">
        <f t="shared" ca="1" si="5"/>
        <v>0</v>
      </c>
      <c r="O32" s="304">
        <f t="shared" ca="1" si="5"/>
        <v>0</v>
      </c>
      <c r="P32" s="304">
        <f t="shared" ca="1" si="5"/>
        <v>0</v>
      </c>
      <c r="Q32" s="304">
        <f t="shared" ca="1" si="5"/>
        <v>0</v>
      </c>
      <c r="R32" s="304">
        <f t="shared" ca="1" si="5"/>
        <v>0</v>
      </c>
      <c r="S32" s="304">
        <f t="shared" ca="1" si="5"/>
        <v>0</v>
      </c>
      <c r="T32" s="304">
        <f t="shared" ca="1" si="5"/>
        <v>0</v>
      </c>
      <c r="U32" s="304">
        <f t="shared" ca="1" si="5"/>
        <v>0</v>
      </c>
      <c r="V32" s="304">
        <f t="shared" ca="1" si="5"/>
        <v>0</v>
      </c>
      <c r="W32" s="304">
        <f t="shared" ca="1" si="5"/>
        <v>0</v>
      </c>
      <c r="X32" s="304">
        <f t="shared" ca="1" si="5"/>
        <v>0</v>
      </c>
      <c r="Y32" s="304">
        <f t="shared" ca="1" si="5"/>
        <v>0</v>
      </c>
      <c r="Z32" s="304">
        <f t="shared" ca="1" si="5"/>
        <v>0</v>
      </c>
      <c r="AA32" s="304">
        <f t="shared" ca="1" si="5"/>
        <v>0</v>
      </c>
      <c r="AB32" s="284"/>
      <c r="AC32" s="284"/>
      <c r="AD32" s="284"/>
      <c r="AE32" s="284"/>
      <c r="AF32" s="284"/>
      <c r="AG32" s="284"/>
      <c r="AH32" s="284"/>
      <c r="AI32" s="284"/>
      <c r="AJ32" s="284"/>
      <c r="AK32" s="284"/>
    </row>
    <row r="33" spans="1:37" ht="12.95" customHeight="1" x14ac:dyDescent="0.45">
      <c r="A33" s="293"/>
      <c r="B33" s="278"/>
      <c r="C33" s="294"/>
      <c r="D33" s="295"/>
      <c r="E33" s="296"/>
      <c r="F33" s="647"/>
      <c r="G33" s="318"/>
      <c r="H33" s="318"/>
      <c r="I33" s="318"/>
      <c r="J33" s="318"/>
      <c r="K33" s="318"/>
      <c r="L33" s="318"/>
      <c r="M33" s="318"/>
      <c r="N33" s="318"/>
      <c r="O33" s="318"/>
      <c r="P33" s="318"/>
      <c r="Q33" s="318"/>
      <c r="R33" s="318"/>
      <c r="S33" s="318"/>
      <c r="T33" s="318"/>
      <c r="U33" s="318"/>
      <c r="V33" s="318"/>
      <c r="W33" s="318"/>
      <c r="X33" s="318"/>
      <c r="Y33" s="318"/>
      <c r="Z33" s="318"/>
      <c r="AA33" s="318"/>
      <c r="AB33" s="284"/>
      <c r="AC33" s="284"/>
      <c r="AD33" s="284"/>
      <c r="AE33" s="284"/>
      <c r="AF33" s="284"/>
      <c r="AG33" s="284"/>
      <c r="AH33" s="284"/>
      <c r="AI33" s="284"/>
      <c r="AJ33" s="284"/>
      <c r="AK33" s="284"/>
    </row>
    <row r="34" spans="1:37" ht="12.95" customHeight="1" x14ac:dyDescent="0.45">
      <c r="A34" s="293"/>
      <c r="B34" s="278" t="s">
        <v>105</v>
      </c>
      <c r="C34" s="294"/>
      <c r="D34" s="295"/>
      <c r="E34" s="296"/>
      <c r="F34" s="297"/>
      <c r="G34" s="318"/>
      <c r="H34" s="318"/>
      <c r="I34" s="318"/>
      <c r="J34" s="318"/>
      <c r="K34" s="318"/>
      <c r="L34" s="318"/>
      <c r="M34" s="318"/>
      <c r="N34" s="318"/>
      <c r="O34" s="318"/>
      <c r="P34" s="318"/>
      <c r="Q34" s="318"/>
      <c r="R34" s="318"/>
      <c r="S34" s="318"/>
      <c r="T34" s="318"/>
      <c r="U34" s="318"/>
      <c r="V34" s="318"/>
      <c r="W34" s="318"/>
      <c r="X34" s="318"/>
      <c r="Y34" s="318"/>
      <c r="Z34" s="318"/>
      <c r="AA34" s="318"/>
      <c r="AB34" s="284"/>
      <c r="AC34" s="284"/>
      <c r="AD34" s="284"/>
      <c r="AE34" s="284"/>
      <c r="AF34" s="284"/>
      <c r="AG34" s="284"/>
      <c r="AH34" s="284"/>
      <c r="AI34" s="284"/>
      <c r="AJ34" s="284"/>
      <c r="AK34" s="284"/>
    </row>
    <row r="35" spans="1:37" ht="12.95" customHeight="1" x14ac:dyDescent="0.45">
      <c r="A35" s="293"/>
      <c r="B35" s="278"/>
      <c r="C35" s="294" t="s">
        <v>400</v>
      </c>
      <c r="D35" s="295"/>
      <c r="E35" s="296"/>
      <c r="F35" s="297"/>
      <c r="G35" s="317"/>
      <c r="H35" s="317"/>
      <c r="I35" s="317"/>
      <c r="J35" s="317"/>
      <c r="K35" s="317"/>
      <c r="L35" s="317"/>
      <c r="M35" s="317"/>
      <c r="N35" s="317"/>
      <c r="O35" s="317"/>
      <c r="P35" s="317"/>
      <c r="Q35" s="317"/>
      <c r="R35" s="317"/>
      <c r="S35" s="317"/>
      <c r="T35" s="317"/>
      <c r="U35" s="317"/>
      <c r="V35" s="317"/>
      <c r="W35" s="317"/>
      <c r="X35" s="317"/>
      <c r="Y35" s="317"/>
      <c r="Z35" s="317"/>
      <c r="AA35" s="317"/>
      <c r="AB35" s="284"/>
      <c r="AC35" s="284"/>
      <c r="AD35" s="284"/>
      <c r="AE35" s="284"/>
      <c r="AF35" s="284"/>
      <c r="AG35" s="284"/>
      <c r="AH35" s="284"/>
      <c r="AI35" s="284"/>
      <c r="AJ35" s="284"/>
      <c r="AK35" s="284"/>
    </row>
    <row r="36" spans="1:37" ht="12.95" customHeight="1" x14ac:dyDescent="0.45">
      <c r="A36" s="293"/>
      <c r="B36" s="278"/>
      <c r="C36" s="294" t="s">
        <v>401</v>
      </c>
      <c r="D36" s="295"/>
      <c r="E36" s="296"/>
      <c r="F36" s="297"/>
    </row>
    <row r="37" spans="1:37" ht="12.95" customHeight="1" x14ac:dyDescent="0.45">
      <c r="A37" s="293"/>
      <c r="B37" s="278"/>
      <c r="C37" s="294"/>
      <c r="D37" s="284" t="s">
        <v>785</v>
      </c>
      <c r="E37" s="296"/>
      <c r="F37" s="648"/>
      <c r="G37" s="317"/>
      <c r="H37" s="317"/>
      <c r="I37" s="317"/>
      <c r="J37" s="317"/>
      <c r="K37" s="317"/>
      <c r="L37" s="317"/>
      <c r="M37" s="317"/>
      <c r="N37" s="317"/>
      <c r="O37" s="317"/>
      <c r="P37" s="317"/>
      <c r="Q37" s="317"/>
      <c r="R37" s="317"/>
      <c r="S37" s="317"/>
      <c r="T37" s="317"/>
      <c r="U37" s="317"/>
      <c r="V37" s="317"/>
      <c r="W37" s="317"/>
      <c r="X37" s="317"/>
      <c r="Y37" s="317"/>
      <c r="Z37" s="317"/>
      <c r="AA37" s="317"/>
      <c r="AB37" s="284"/>
      <c r="AC37" s="284"/>
      <c r="AD37" s="284"/>
      <c r="AE37" s="284"/>
      <c r="AF37" s="284"/>
      <c r="AG37" s="284"/>
      <c r="AH37" s="284"/>
      <c r="AI37" s="284"/>
      <c r="AJ37" s="284"/>
      <c r="AK37" s="284"/>
    </row>
    <row r="38" spans="1:37" ht="12.95" customHeight="1" x14ac:dyDescent="0.45">
      <c r="A38" s="293"/>
      <c r="B38" s="278"/>
      <c r="C38" s="294"/>
      <c r="D38" s="284" t="s">
        <v>784</v>
      </c>
      <c r="E38" s="296"/>
      <c r="F38" s="648"/>
      <c r="G38" s="317"/>
      <c r="H38" s="317"/>
      <c r="I38" s="317"/>
      <c r="J38" s="317"/>
      <c r="K38" s="317"/>
      <c r="L38" s="317"/>
      <c r="M38" s="317"/>
      <c r="N38" s="317"/>
      <c r="O38" s="317"/>
      <c r="P38" s="317"/>
      <c r="Q38" s="317"/>
      <c r="R38" s="317"/>
      <c r="S38" s="317"/>
      <c r="T38" s="317"/>
      <c r="U38" s="317"/>
      <c r="V38" s="317"/>
      <c r="W38" s="317"/>
      <c r="X38" s="317"/>
      <c r="Y38" s="317"/>
      <c r="Z38" s="317"/>
      <c r="AA38" s="317"/>
      <c r="AB38" s="284"/>
      <c r="AC38" s="284"/>
      <c r="AD38" s="284"/>
      <c r="AE38" s="284"/>
      <c r="AF38" s="284"/>
      <c r="AG38" s="284"/>
      <c r="AH38" s="284"/>
      <c r="AI38" s="284"/>
      <c r="AJ38" s="284"/>
      <c r="AK38" s="284"/>
    </row>
    <row r="39" spans="1:37" ht="12.95" customHeight="1" x14ac:dyDescent="0.45">
      <c r="A39" s="293"/>
      <c r="B39" s="278"/>
      <c r="C39" s="294"/>
      <c r="D39" s="284" t="s">
        <v>404</v>
      </c>
      <c r="E39" s="296"/>
      <c r="F39" s="297"/>
      <c r="G39" s="317">
        <v>10000000</v>
      </c>
      <c r="H39" s="317"/>
      <c r="I39" s="317"/>
      <c r="J39" s="317"/>
      <c r="K39" s="317"/>
      <c r="L39" s="317"/>
      <c r="M39" s="317"/>
      <c r="N39" s="317"/>
      <c r="O39" s="317"/>
      <c r="P39" s="317">
        <v>0</v>
      </c>
      <c r="Q39" s="317"/>
      <c r="R39" s="317"/>
      <c r="S39" s="317"/>
      <c r="T39" s="317"/>
      <c r="U39" s="317"/>
      <c r="V39" s="317"/>
      <c r="W39" s="317"/>
      <c r="X39" s="317"/>
      <c r="Y39" s="317"/>
      <c r="Z39" s="317"/>
      <c r="AA39" s="317"/>
      <c r="AB39" s="284"/>
      <c r="AC39" s="284"/>
      <c r="AD39" s="284"/>
      <c r="AE39" s="284"/>
      <c r="AF39" s="284"/>
      <c r="AG39" s="284"/>
      <c r="AH39" s="284"/>
      <c r="AI39" s="284"/>
      <c r="AJ39" s="284"/>
      <c r="AK39" s="284"/>
    </row>
    <row r="40" spans="1:37" ht="12.95" customHeight="1" x14ac:dyDescent="0.45">
      <c r="A40" s="293"/>
      <c r="B40" s="278"/>
      <c r="C40" s="294"/>
      <c r="D40" s="295"/>
      <c r="E40" s="296"/>
      <c r="F40" s="297"/>
      <c r="G40" s="305" t="s">
        <v>390</v>
      </c>
      <c r="H40" s="305" t="s">
        <v>390</v>
      </c>
      <c r="I40" s="305" t="s">
        <v>390</v>
      </c>
      <c r="J40" s="305" t="s">
        <v>390</v>
      </c>
      <c r="K40" s="305" t="s">
        <v>390</v>
      </c>
      <c r="L40" s="305" t="s">
        <v>390</v>
      </c>
      <c r="M40" s="305" t="s">
        <v>390</v>
      </c>
      <c r="N40" s="305" t="s">
        <v>390</v>
      </c>
      <c r="O40" s="305" t="s">
        <v>390</v>
      </c>
      <c r="P40" s="305" t="s">
        <v>390</v>
      </c>
      <c r="Q40" s="305" t="s">
        <v>390</v>
      </c>
      <c r="R40" s="305" t="s">
        <v>390</v>
      </c>
      <c r="S40" s="305" t="s">
        <v>390</v>
      </c>
      <c r="T40" s="305" t="s">
        <v>390</v>
      </c>
      <c r="U40" s="305" t="s">
        <v>390</v>
      </c>
      <c r="V40" s="305" t="s">
        <v>390</v>
      </c>
      <c r="W40" s="305" t="s">
        <v>390</v>
      </c>
      <c r="X40" s="305" t="s">
        <v>390</v>
      </c>
      <c r="Y40" s="305" t="s">
        <v>390</v>
      </c>
      <c r="Z40" s="305" t="s">
        <v>390</v>
      </c>
      <c r="AA40" s="305" t="s">
        <v>390</v>
      </c>
      <c r="AB40" s="284"/>
      <c r="AC40" s="284"/>
      <c r="AD40" s="284"/>
      <c r="AE40" s="284"/>
      <c r="AF40" s="284"/>
      <c r="AG40" s="284"/>
      <c r="AH40" s="284"/>
      <c r="AI40" s="284"/>
      <c r="AJ40" s="284"/>
      <c r="AK40" s="284"/>
    </row>
    <row r="41" spans="1:37" ht="12.95" customHeight="1" x14ac:dyDescent="0.45">
      <c r="A41" s="293"/>
      <c r="B41" s="278"/>
      <c r="C41" s="294" t="s">
        <v>399</v>
      </c>
      <c r="D41" s="295"/>
      <c r="E41" s="296"/>
      <c r="F41" s="297"/>
      <c r="G41" s="318">
        <f>SUM(G34:G40)</f>
        <v>10000000</v>
      </c>
      <c r="H41" s="318">
        <f t="shared" ref="H41:AA41" si="6">SUM(H34:H40)</f>
        <v>0</v>
      </c>
      <c r="I41" s="318">
        <f t="shared" si="6"/>
        <v>0</v>
      </c>
      <c r="J41" s="318">
        <f t="shared" si="6"/>
        <v>0</v>
      </c>
      <c r="K41" s="318">
        <f t="shared" si="6"/>
        <v>0</v>
      </c>
      <c r="L41" s="318">
        <f t="shared" si="6"/>
        <v>0</v>
      </c>
      <c r="M41" s="318">
        <f t="shared" si="6"/>
        <v>0</v>
      </c>
      <c r="N41" s="318">
        <f t="shared" si="6"/>
        <v>0</v>
      </c>
      <c r="O41" s="318">
        <f t="shared" si="6"/>
        <v>0</v>
      </c>
      <c r="P41" s="318">
        <f t="shared" si="6"/>
        <v>0</v>
      </c>
      <c r="Q41" s="318">
        <f t="shared" si="6"/>
        <v>0</v>
      </c>
      <c r="R41" s="318">
        <f t="shared" si="6"/>
        <v>0</v>
      </c>
      <c r="S41" s="318">
        <f t="shared" si="6"/>
        <v>0</v>
      </c>
      <c r="T41" s="318">
        <f t="shared" si="6"/>
        <v>0</v>
      </c>
      <c r="U41" s="318">
        <f t="shared" si="6"/>
        <v>0</v>
      </c>
      <c r="V41" s="318">
        <f t="shared" si="6"/>
        <v>0</v>
      </c>
      <c r="W41" s="318">
        <f t="shared" si="6"/>
        <v>0</v>
      </c>
      <c r="X41" s="318">
        <f t="shared" si="6"/>
        <v>0</v>
      </c>
      <c r="Y41" s="318">
        <f t="shared" si="6"/>
        <v>0</v>
      </c>
      <c r="Z41" s="318">
        <f t="shared" si="6"/>
        <v>0</v>
      </c>
      <c r="AA41" s="318">
        <f t="shared" si="6"/>
        <v>0</v>
      </c>
      <c r="AB41" s="284"/>
      <c r="AC41" s="284"/>
      <c r="AD41" s="284"/>
      <c r="AE41" s="284"/>
      <c r="AF41" s="284"/>
      <c r="AG41" s="284"/>
      <c r="AH41" s="284"/>
      <c r="AI41" s="284"/>
      <c r="AJ41" s="284"/>
      <c r="AK41" s="284"/>
    </row>
    <row r="42" spans="1:37" ht="12.95" customHeight="1" x14ac:dyDescent="0.45">
      <c r="A42" s="293"/>
      <c r="B42" s="278"/>
      <c r="C42" s="294"/>
      <c r="D42" s="295"/>
      <c r="E42" s="296"/>
      <c r="F42" s="297"/>
      <c r="G42" s="318"/>
      <c r="H42" s="318"/>
      <c r="I42" s="318"/>
      <c r="J42" s="318"/>
      <c r="K42" s="318"/>
      <c r="L42" s="318"/>
      <c r="M42" s="318"/>
      <c r="N42" s="318"/>
      <c r="O42" s="318"/>
      <c r="P42" s="318"/>
      <c r="Q42" s="318"/>
      <c r="R42" s="318"/>
      <c r="S42" s="318"/>
      <c r="T42" s="318"/>
      <c r="U42" s="318"/>
      <c r="V42" s="318"/>
      <c r="W42" s="318"/>
      <c r="X42" s="318"/>
      <c r="Y42" s="318"/>
      <c r="Z42" s="318"/>
      <c r="AA42" s="318"/>
      <c r="AB42" s="284"/>
      <c r="AC42" s="284"/>
      <c r="AD42" s="284"/>
      <c r="AE42" s="284"/>
      <c r="AF42" s="284"/>
      <c r="AG42" s="284"/>
      <c r="AH42" s="284"/>
      <c r="AI42" s="284"/>
      <c r="AJ42" s="284"/>
      <c r="AK42" s="284"/>
    </row>
    <row r="43" spans="1:37" ht="12.95" customHeight="1" x14ac:dyDescent="0.45">
      <c r="A43" s="293"/>
      <c r="B43" s="278"/>
      <c r="C43" s="294"/>
      <c r="D43" s="295"/>
      <c r="E43" s="296"/>
      <c r="F43" s="297"/>
      <c r="G43" s="318"/>
      <c r="H43" s="318"/>
      <c r="I43" s="318"/>
      <c r="J43" s="318"/>
      <c r="K43" s="318"/>
      <c r="L43" s="318"/>
      <c r="M43" s="318"/>
      <c r="N43" s="318"/>
      <c r="O43" s="318"/>
      <c r="P43" s="318"/>
      <c r="Q43" s="318"/>
      <c r="R43" s="318"/>
      <c r="S43" s="318"/>
      <c r="T43" s="318"/>
      <c r="U43" s="318"/>
      <c r="V43" s="318"/>
      <c r="W43" s="318"/>
      <c r="X43" s="318"/>
      <c r="Y43" s="318"/>
      <c r="Z43" s="318"/>
      <c r="AA43" s="318"/>
      <c r="AB43" s="284"/>
      <c r="AC43" s="284"/>
      <c r="AD43" s="284"/>
      <c r="AE43" s="284"/>
      <c r="AF43" s="284"/>
      <c r="AG43" s="284"/>
      <c r="AH43" s="284"/>
      <c r="AI43" s="284"/>
      <c r="AJ43" s="284"/>
      <c r="AK43" s="284"/>
    </row>
    <row r="44" spans="1:37" ht="12.95" customHeight="1" x14ac:dyDescent="0.45">
      <c r="A44" s="293" t="s">
        <v>405</v>
      </c>
      <c r="B44" s="278"/>
      <c r="C44" s="294"/>
      <c r="D44" s="295"/>
      <c r="E44" s="296"/>
      <c r="F44" s="297"/>
      <c r="G44" s="318"/>
      <c r="H44" s="318"/>
      <c r="I44" s="318"/>
      <c r="J44" s="318"/>
      <c r="K44" s="318"/>
      <c r="L44" s="318"/>
      <c r="M44" s="318"/>
      <c r="N44" s="318"/>
      <c r="O44" s="318"/>
      <c r="P44" s="318"/>
      <c r="Q44" s="318"/>
      <c r="R44" s="318"/>
      <c r="S44" s="318"/>
      <c r="T44" s="318"/>
      <c r="U44" s="318"/>
      <c r="V44" s="318"/>
      <c r="W44" s="318"/>
      <c r="X44" s="318"/>
      <c r="Y44" s="318"/>
      <c r="Z44" s="318"/>
      <c r="AA44" s="318"/>
      <c r="AB44" s="284"/>
      <c r="AC44" s="284"/>
      <c r="AD44" s="284"/>
      <c r="AE44" s="284"/>
      <c r="AF44" s="284"/>
      <c r="AG44" s="284"/>
      <c r="AH44" s="284"/>
      <c r="AI44" s="284"/>
      <c r="AJ44" s="284"/>
      <c r="AK44" s="284"/>
    </row>
    <row r="45" spans="1:37" ht="12.95" customHeight="1" x14ac:dyDescent="0.45">
      <c r="A45" s="293"/>
      <c r="B45" s="319" t="s">
        <v>65</v>
      </c>
      <c r="D45" s="295"/>
      <c r="E45" s="296"/>
      <c r="F45" s="297"/>
      <c r="G45" s="304">
        <f>G149+G169</f>
        <v>0</v>
      </c>
      <c r="H45" s="304">
        <f t="shared" ref="H45:AA45" si="7">H149+H169</f>
        <v>0</v>
      </c>
      <c r="I45" s="304">
        <f t="shared" si="7"/>
        <v>0</v>
      </c>
      <c r="J45" s="304">
        <f t="shared" si="7"/>
        <v>0</v>
      </c>
      <c r="K45" s="304">
        <f t="shared" si="7"/>
        <v>0</v>
      </c>
      <c r="L45" s="304">
        <f t="shared" si="7"/>
        <v>0</v>
      </c>
      <c r="M45" s="304">
        <f t="shared" si="7"/>
        <v>0</v>
      </c>
      <c r="N45" s="304">
        <f t="shared" si="7"/>
        <v>0</v>
      </c>
      <c r="O45" s="304">
        <f t="shared" si="7"/>
        <v>0</v>
      </c>
      <c r="P45" s="304">
        <f t="shared" si="7"/>
        <v>0</v>
      </c>
      <c r="Q45" s="304">
        <f t="shared" si="7"/>
        <v>0</v>
      </c>
      <c r="R45" s="304">
        <f t="shared" si="7"/>
        <v>0</v>
      </c>
      <c r="S45" s="304">
        <f t="shared" si="7"/>
        <v>0</v>
      </c>
      <c r="T45" s="304">
        <f t="shared" si="7"/>
        <v>0</v>
      </c>
      <c r="U45" s="304">
        <f t="shared" si="7"/>
        <v>0</v>
      </c>
      <c r="V45" s="304">
        <f t="shared" si="7"/>
        <v>0</v>
      </c>
      <c r="W45" s="304">
        <f t="shared" si="7"/>
        <v>0</v>
      </c>
      <c r="X45" s="304">
        <f t="shared" si="7"/>
        <v>0</v>
      </c>
      <c r="Y45" s="304">
        <f t="shared" si="7"/>
        <v>0</v>
      </c>
      <c r="Z45" s="304">
        <f t="shared" si="7"/>
        <v>0</v>
      </c>
      <c r="AA45" s="304">
        <f t="shared" si="7"/>
        <v>0</v>
      </c>
      <c r="AB45" s="284"/>
      <c r="AC45" s="284"/>
      <c r="AD45" s="284"/>
      <c r="AE45" s="284"/>
      <c r="AF45" s="284"/>
      <c r="AG45" s="284"/>
      <c r="AH45" s="284"/>
      <c r="AI45" s="284"/>
      <c r="AJ45" s="284"/>
      <c r="AK45" s="284"/>
    </row>
    <row r="46" spans="1:37" ht="12.95" customHeight="1" x14ac:dyDescent="0.45">
      <c r="A46" s="293"/>
      <c r="B46" s="278" t="s">
        <v>379</v>
      </c>
      <c r="C46" s="294"/>
      <c r="D46" s="295"/>
      <c r="E46" s="296"/>
      <c r="F46" s="297"/>
      <c r="G46" s="298"/>
      <c r="H46" s="298"/>
      <c r="I46" s="298"/>
      <c r="J46" s="298"/>
      <c r="K46" s="298"/>
      <c r="L46" s="298"/>
      <c r="M46" s="298"/>
      <c r="N46" s="298"/>
      <c r="O46" s="298"/>
      <c r="P46" s="298"/>
      <c r="Q46" s="298"/>
      <c r="R46" s="298"/>
      <c r="S46" s="298"/>
      <c r="T46" s="298"/>
      <c r="U46" s="298"/>
      <c r="V46" s="298"/>
      <c r="W46" s="298"/>
      <c r="X46" s="298"/>
      <c r="Y46" s="298"/>
      <c r="Z46" s="298"/>
      <c r="AA46" s="298"/>
      <c r="AB46" s="284"/>
      <c r="AC46" s="284"/>
      <c r="AD46" s="284"/>
      <c r="AE46" s="284"/>
      <c r="AF46" s="284"/>
      <c r="AG46" s="284"/>
      <c r="AH46" s="284"/>
      <c r="AI46" s="284"/>
      <c r="AJ46" s="284"/>
      <c r="AK46" s="284"/>
    </row>
    <row r="47" spans="1:37" ht="12.95" customHeight="1" x14ac:dyDescent="0.45">
      <c r="A47" s="293"/>
      <c r="B47" s="278"/>
      <c r="C47" s="294" t="s">
        <v>394</v>
      </c>
      <c r="D47" s="295"/>
      <c r="E47" s="296"/>
      <c r="F47" s="297"/>
      <c r="G47" s="304">
        <f>G189</f>
        <v>0</v>
      </c>
      <c r="H47" s="304">
        <f t="shared" ref="H47:AA47" si="8">H189</f>
        <v>0</v>
      </c>
      <c r="I47" s="304">
        <f t="shared" si="8"/>
        <v>0</v>
      </c>
      <c r="J47" s="304">
        <f t="shared" si="8"/>
        <v>0</v>
      </c>
      <c r="K47" s="304">
        <f t="shared" si="8"/>
        <v>0</v>
      </c>
      <c r="L47" s="304">
        <f t="shared" si="8"/>
        <v>0</v>
      </c>
      <c r="M47" s="304">
        <f t="shared" si="8"/>
        <v>0</v>
      </c>
      <c r="N47" s="304">
        <f t="shared" si="8"/>
        <v>0</v>
      </c>
      <c r="O47" s="304">
        <f t="shared" si="8"/>
        <v>0</v>
      </c>
      <c r="P47" s="304">
        <f t="shared" si="8"/>
        <v>0</v>
      </c>
      <c r="Q47" s="304">
        <f t="shared" si="8"/>
        <v>0</v>
      </c>
      <c r="R47" s="304">
        <f t="shared" si="8"/>
        <v>0</v>
      </c>
      <c r="S47" s="304">
        <f t="shared" si="8"/>
        <v>0</v>
      </c>
      <c r="T47" s="304">
        <f t="shared" si="8"/>
        <v>0</v>
      </c>
      <c r="U47" s="304">
        <f t="shared" si="8"/>
        <v>0</v>
      </c>
      <c r="V47" s="304">
        <f t="shared" si="8"/>
        <v>0</v>
      </c>
      <c r="W47" s="304">
        <f t="shared" si="8"/>
        <v>0</v>
      </c>
      <c r="X47" s="304">
        <f t="shared" si="8"/>
        <v>0</v>
      </c>
      <c r="Y47" s="304">
        <f t="shared" si="8"/>
        <v>0</v>
      </c>
      <c r="Z47" s="304">
        <f t="shared" si="8"/>
        <v>0</v>
      </c>
      <c r="AA47" s="304">
        <f t="shared" si="8"/>
        <v>0</v>
      </c>
      <c r="AB47" s="284"/>
      <c r="AC47" s="284"/>
      <c r="AD47" s="284"/>
      <c r="AE47" s="284"/>
      <c r="AF47" s="284"/>
      <c r="AG47" s="284"/>
      <c r="AH47" s="284"/>
      <c r="AI47" s="284"/>
      <c r="AJ47" s="284"/>
      <c r="AK47" s="284"/>
    </row>
    <row r="48" spans="1:37" ht="12.95" customHeight="1" x14ac:dyDescent="0.45">
      <c r="A48" s="293"/>
      <c r="B48" s="278"/>
      <c r="C48" s="294" t="s">
        <v>386</v>
      </c>
      <c r="D48" s="295"/>
      <c r="E48" s="296"/>
      <c r="F48" s="297"/>
      <c r="G48" s="304">
        <f>G207</f>
        <v>0</v>
      </c>
      <c r="H48" s="304">
        <f t="shared" ref="H48:AA48" si="9">H207</f>
        <v>0</v>
      </c>
      <c r="I48" s="304">
        <f t="shared" si="9"/>
        <v>0</v>
      </c>
      <c r="J48" s="304">
        <f t="shared" si="9"/>
        <v>0</v>
      </c>
      <c r="K48" s="304">
        <f t="shared" si="9"/>
        <v>0</v>
      </c>
      <c r="L48" s="304">
        <f t="shared" si="9"/>
        <v>0</v>
      </c>
      <c r="M48" s="304">
        <f t="shared" si="9"/>
        <v>0</v>
      </c>
      <c r="N48" s="304">
        <f t="shared" si="9"/>
        <v>0</v>
      </c>
      <c r="O48" s="304">
        <f t="shared" si="9"/>
        <v>0</v>
      </c>
      <c r="P48" s="304">
        <f t="shared" si="9"/>
        <v>0</v>
      </c>
      <c r="Q48" s="304">
        <f t="shared" si="9"/>
        <v>0</v>
      </c>
      <c r="R48" s="304">
        <f t="shared" si="9"/>
        <v>0</v>
      </c>
      <c r="S48" s="304">
        <f t="shared" si="9"/>
        <v>0</v>
      </c>
      <c r="T48" s="304">
        <f t="shared" si="9"/>
        <v>0</v>
      </c>
      <c r="U48" s="304">
        <f t="shared" si="9"/>
        <v>0</v>
      </c>
      <c r="V48" s="304">
        <f t="shared" si="9"/>
        <v>0</v>
      </c>
      <c r="W48" s="304">
        <f t="shared" si="9"/>
        <v>0</v>
      </c>
      <c r="X48" s="304">
        <f t="shared" si="9"/>
        <v>0</v>
      </c>
      <c r="Y48" s="304">
        <f t="shared" si="9"/>
        <v>0</v>
      </c>
      <c r="Z48" s="304">
        <f t="shared" si="9"/>
        <v>0</v>
      </c>
      <c r="AA48" s="304">
        <f t="shared" si="9"/>
        <v>0</v>
      </c>
      <c r="AB48" s="284"/>
      <c r="AC48" s="284"/>
      <c r="AD48" s="284"/>
      <c r="AE48" s="284"/>
      <c r="AF48" s="284"/>
      <c r="AG48" s="284"/>
      <c r="AH48" s="284"/>
      <c r="AI48" s="284"/>
      <c r="AJ48" s="284"/>
      <c r="AK48" s="284"/>
    </row>
    <row r="49" spans="1:37" ht="12.95" customHeight="1" x14ac:dyDescent="0.45">
      <c r="A49" s="293"/>
      <c r="B49" s="278"/>
      <c r="C49" s="294" t="s">
        <v>395</v>
      </c>
      <c r="D49" s="295"/>
      <c r="E49" s="296"/>
      <c r="F49" s="297"/>
      <c r="G49" s="304">
        <f>G225</f>
        <v>0</v>
      </c>
      <c r="H49" s="304">
        <f t="shared" ref="H49:AA49" si="10">H225</f>
        <v>0</v>
      </c>
      <c r="I49" s="304">
        <f t="shared" si="10"/>
        <v>0</v>
      </c>
      <c r="J49" s="304">
        <f t="shared" si="10"/>
        <v>0</v>
      </c>
      <c r="K49" s="304">
        <f t="shared" si="10"/>
        <v>0</v>
      </c>
      <c r="L49" s="304">
        <f t="shared" si="10"/>
        <v>0</v>
      </c>
      <c r="M49" s="304">
        <f t="shared" si="10"/>
        <v>0</v>
      </c>
      <c r="N49" s="304">
        <f t="shared" si="10"/>
        <v>0</v>
      </c>
      <c r="O49" s="304">
        <f t="shared" si="10"/>
        <v>0</v>
      </c>
      <c r="P49" s="304">
        <f t="shared" si="10"/>
        <v>0</v>
      </c>
      <c r="Q49" s="304">
        <f t="shared" si="10"/>
        <v>0</v>
      </c>
      <c r="R49" s="304">
        <f t="shared" si="10"/>
        <v>0</v>
      </c>
      <c r="S49" s="304">
        <f t="shared" si="10"/>
        <v>0</v>
      </c>
      <c r="T49" s="304">
        <f t="shared" si="10"/>
        <v>0</v>
      </c>
      <c r="U49" s="304">
        <f t="shared" si="10"/>
        <v>0</v>
      </c>
      <c r="V49" s="304">
        <f t="shared" si="10"/>
        <v>0</v>
      </c>
      <c r="W49" s="304">
        <f t="shared" si="10"/>
        <v>0</v>
      </c>
      <c r="X49" s="304">
        <f t="shared" si="10"/>
        <v>0</v>
      </c>
      <c r="Y49" s="304">
        <f t="shared" si="10"/>
        <v>0</v>
      </c>
      <c r="Z49" s="304">
        <f t="shared" si="10"/>
        <v>0</v>
      </c>
      <c r="AA49" s="304">
        <f t="shared" si="10"/>
        <v>0</v>
      </c>
      <c r="AB49" s="284"/>
      <c r="AC49" s="284"/>
      <c r="AD49" s="284"/>
      <c r="AE49" s="284"/>
      <c r="AF49" s="284"/>
      <c r="AG49" s="284"/>
      <c r="AH49" s="284"/>
      <c r="AI49" s="284"/>
      <c r="AJ49" s="284"/>
      <c r="AK49" s="284"/>
    </row>
    <row r="50" spans="1:37" ht="12.95" customHeight="1" x14ac:dyDescent="0.45">
      <c r="A50" s="293"/>
      <c r="B50" s="278"/>
      <c r="C50" s="294" t="s">
        <v>396</v>
      </c>
      <c r="D50" s="295"/>
      <c r="E50" s="296"/>
      <c r="F50" s="297"/>
      <c r="G50" s="304">
        <f>G243</f>
        <v>0</v>
      </c>
      <c r="H50" s="304">
        <f t="shared" ref="H50:AA50" si="11">H243</f>
        <v>0</v>
      </c>
      <c r="I50" s="304">
        <f t="shared" si="11"/>
        <v>0</v>
      </c>
      <c r="J50" s="304">
        <f t="shared" si="11"/>
        <v>0</v>
      </c>
      <c r="K50" s="304">
        <f t="shared" si="11"/>
        <v>0</v>
      </c>
      <c r="L50" s="304">
        <f t="shared" si="11"/>
        <v>0</v>
      </c>
      <c r="M50" s="304">
        <f t="shared" si="11"/>
        <v>0</v>
      </c>
      <c r="N50" s="304">
        <f t="shared" si="11"/>
        <v>0</v>
      </c>
      <c r="O50" s="304">
        <f t="shared" si="11"/>
        <v>0</v>
      </c>
      <c r="P50" s="304">
        <f t="shared" si="11"/>
        <v>0</v>
      </c>
      <c r="Q50" s="304">
        <f t="shared" si="11"/>
        <v>0</v>
      </c>
      <c r="R50" s="304">
        <f t="shared" si="11"/>
        <v>0</v>
      </c>
      <c r="S50" s="304">
        <f t="shared" si="11"/>
        <v>0</v>
      </c>
      <c r="T50" s="304">
        <f t="shared" si="11"/>
        <v>0</v>
      </c>
      <c r="U50" s="304">
        <f t="shared" si="11"/>
        <v>0</v>
      </c>
      <c r="V50" s="304">
        <f t="shared" si="11"/>
        <v>0</v>
      </c>
      <c r="W50" s="304">
        <f t="shared" si="11"/>
        <v>0</v>
      </c>
      <c r="X50" s="304">
        <f t="shared" si="11"/>
        <v>0</v>
      </c>
      <c r="Y50" s="304">
        <f t="shared" si="11"/>
        <v>0</v>
      </c>
      <c r="Z50" s="304">
        <f t="shared" si="11"/>
        <v>0</v>
      </c>
      <c r="AA50" s="304">
        <f t="shared" si="11"/>
        <v>0</v>
      </c>
      <c r="AB50" s="284"/>
      <c r="AC50" s="284"/>
      <c r="AD50" s="284"/>
      <c r="AE50" s="284"/>
      <c r="AF50" s="284"/>
      <c r="AG50" s="284"/>
      <c r="AH50" s="284"/>
      <c r="AI50" s="284"/>
      <c r="AJ50" s="284"/>
      <c r="AK50" s="284"/>
    </row>
    <row r="51" spans="1:37" ht="12.95" customHeight="1" x14ac:dyDescent="0.45">
      <c r="A51" s="293"/>
      <c r="B51" s="278"/>
      <c r="C51" s="294" t="s">
        <v>397</v>
      </c>
      <c r="D51" s="295"/>
      <c r="E51" s="296"/>
      <c r="F51" s="297"/>
      <c r="G51" s="304">
        <f>G270</f>
        <v>0</v>
      </c>
      <c r="H51" s="304">
        <f t="shared" ref="H51:AA51" si="12">H270</f>
        <v>0</v>
      </c>
      <c r="I51" s="304">
        <f t="shared" si="12"/>
        <v>0</v>
      </c>
      <c r="J51" s="304">
        <f t="shared" si="12"/>
        <v>0</v>
      </c>
      <c r="K51" s="304">
        <f t="shared" si="12"/>
        <v>0</v>
      </c>
      <c r="L51" s="304">
        <f t="shared" si="12"/>
        <v>0</v>
      </c>
      <c r="M51" s="304">
        <f t="shared" si="12"/>
        <v>0</v>
      </c>
      <c r="N51" s="304">
        <f t="shared" si="12"/>
        <v>0</v>
      </c>
      <c r="O51" s="304">
        <f t="shared" si="12"/>
        <v>0</v>
      </c>
      <c r="P51" s="304">
        <f t="shared" si="12"/>
        <v>0</v>
      </c>
      <c r="Q51" s="304">
        <f t="shared" si="12"/>
        <v>0</v>
      </c>
      <c r="R51" s="304">
        <f t="shared" si="12"/>
        <v>0</v>
      </c>
      <c r="S51" s="304">
        <f t="shared" si="12"/>
        <v>0</v>
      </c>
      <c r="T51" s="304">
        <f t="shared" si="12"/>
        <v>0</v>
      </c>
      <c r="U51" s="304">
        <f t="shared" si="12"/>
        <v>0</v>
      </c>
      <c r="V51" s="304">
        <f t="shared" si="12"/>
        <v>0</v>
      </c>
      <c r="W51" s="304">
        <f t="shared" si="12"/>
        <v>0</v>
      </c>
      <c r="X51" s="304">
        <f t="shared" si="12"/>
        <v>0</v>
      </c>
      <c r="Y51" s="304">
        <f t="shared" si="12"/>
        <v>0</v>
      </c>
      <c r="Z51" s="304">
        <f t="shared" si="12"/>
        <v>0</v>
      </c>
      <c r="AA51" s="304">
        <f t="shared" si="12"/>
        <v>0</v>
      </c>
      <c r="AB51" s="284"/>
      <c r="AC51" s="284"/>
      <c r="AD51" s="284"/>
      <c r="AE51" s="284"/>
      <c r="AF51" s="284"/>
      <c r="AG51" s="284"/>
      <c r="AH51" s="284"/>
      <c r="AI51" s="284"/>
      <c r="AJ51" s="284"/>
      <c r="AK51" s="284"/>
    </row>
    <row r="52" spans="1:37" ht="12.95" customHeight="1" x14ac:dyDescent="0.45">
      <c r="A52" s="293"/>
      <c r="B52" s="278"/>
      <c r="C52" s="294" t="s">
        <v>398</v>
      </c>
      <c r="D52" s="295"/>
      <c r="E52" s="296"/>
      <c r="F52" s="297"/>
      <c r="G52" s="304">
        <f ca="1">IF('Financial Overview'!G303&lt;0,-'Financial Overview'!G303,0)</f>
        <v>0</v>
      </c>
      <c r="H52" s="304">
        <f ca="1">IF('Financial Overview'!H303&lt;0,-'Financial Overview'!H303,0)</f>
        <v>0</v>
      </c>
      <c r="I52" s="304">
        <f ca="1">IF('Financial Overview'!I303&lt;0,-'Financial Overview'!I303,0)</f>
        <v>0</v>
      </c>
      <c r="J52" s="304">
        <f ca="1">IF('Financial Overview'!J303&lt;0,-'Financial Overview'!J303,0)</f>
        <v>0</v>
      </c>
      <c r="K52" s="304">
        <f ca="1">IF('Financial Overview'!K303&lt;0,-'Financial Overview'!K303,0)</f>
        <v>0</v>
      </c>
      <c r="L52" s="304">
        <f ca="1">IF('Financial Overview'!L303&lt;0,-'Financial Overview'!L303,0)</f>
        <v>0</v>
      </c>
      <c r="M52" s="304">
        <f ca="1">IF('Financial Overview'!M303&lt;0,-'Financial Overview'!M303,0)</f>
        <v>0</v>
      </c>
      <c r="N52" s="304">
        <f ca="1">IF('Financial Overview'!N303&lt;0,-'Financial Overview'!N303,0)</f>
        <v>0</v>
      </c>
      <c r="O52" s="304">
        <f ca="1">IF('Financial Overview'!O303&lt;0,-'Financial Overview'!O303,0)</f>
        <v>0</v>
      </c>
      <c r="P52" s="304">
        <f ca="1">IF('Financial Overview'!P303&lt;0,-'Financial Overview'!P303,0)</f>
        <v>0</v>
      </c>
      <c r="Q52" s="304">
        <f ca="1">IF('Financial Overview'!Q303&lt;0,-'Financial Overview'!Q303,0)</f>
        <v>0</v>
      </c>
      <c r="R52" s="304">
        <f ca="1">IF('Financial Overview'!R303&lt;0,-'Financial Overview'!R303,0)</f>
        <v>0</v>
      </c>
      <c r="S52" s="304">
        <f ca="1">IF('Financial Overview'!S303&lt;0,-'Financial Overview'!S303,0)</f>
        <v>0</v>
      </c>
      <c r="T52" s="304">
        <f ca="1">IF('Financial Overview'!T303&lt;0,-'Financial Overview'!T303,0)</f>
        <v>0</v>
      </c>
      <c r="U52" s="304">
        <f ca="1">IF('Financial Overview'!U303&lt;0,-'Financial Overview'!U303,0)</f>
        <v>0</v>
      </c>
      <c r="V52" s="304">
        <f ca="1">IF('Financial Overview'!V303&lt;0,-'Financial Overview'!V303,0)</f>
        <v>0</v>
      </c>
      <c r="W52" s="304">
        <f ca="1">IF('Financial Overview'!W303&lt;0,-'Financial Overview'!W303,0)</f>
        <v>0</v>
      </c>
      <c r="X52" s="304">
        <f ca="1">IF('Financial Overview'!X303&lt;0,-'Financial Overview'!X303,0)</f>
        <v>0</v>
      </c>
      <c r="Y52" s="304">
        <f ca="1">IF('Financial Overview'!Y303&lt;0,-'Financial Overview'!Y303,0)</f>
        <v>0</v>
      </c>
      <c r="Z52" s="304">
        <f ca="1">IF('Financial Overview'!Z303&lt;0,-'Financial Overview'!Z303,0)</f>
        <v>0</v>
      </c>
      <c r="AA52" s="304">
        <f ca="1">IF('Financial Overview'!AA303&lt;0,-'Financial Overview'!AA303,0)</f>
        <v>0</v>
      </c>
      <c r="AB52" s="284"/>
      <c r="AC52" s="284"/>
      <c r="AD52" s="284"/>
      <c r="AE52" s="284"/>
      <c r="AF52" s="284"/>
      <c r="AG52" s="284"/>
      <c r="AH52" s="284"/>
      <c r="AI52" s="284"/>
      <c r="AJ52" s="284"/>
      <c r="AK52" s="284"/>
    </row>
    <row r="53" spans="1:37" ht="12.95" customHeight="1" x14ac:dyDescent="0.45">
      <c r="A53" s="293"/>
      <c r="B53" s="278"/>
      <c r="C53" s="294"/>
      <c r="D53" s="295"/>
      <c r="E53" s="296"/>
      <c r="F53" s="297"/>
      <c r="G53" s="305" t="s">
        <v>390</v>
      </c>
      <c r="H53" s="305" t="s">
        <v>390</v>
      </c>
      <c r="I53" s="305" t="s">
        <v>390</v>
      </c>
      <c r="J53" s="305" t="s">
        <v>390</v>
      </c>
      <c r="K53" s="305" t="s">
        <v>390</v>
      </c>
      <c r="L53" s="305" t="s">
        <v>390</v>
      </c>
      <c r="M53" s="305" t="s">
        <v>390</v>
      </c>
      <c r="N53" s="305" t="s">
        <v>390</v>
      </c>
      <c r="O53" s="305" t="s">
        <v>390</v>
      </c>
      <c r="P53" s="305" t="s">
        <v>390</v>
      </c>
      <c r="Q53" s="305" t="s">
        <v>390</v>
      </c>
      <c r="R53" s="305" t="s">
        <v>390</v>
      </c>
      <c r="S53" s="305" t="s">
        <v>390</v>
      </c>
      <c r="T53" s="305" t="s">
        <v>390</v>
      </c>
      <c r="U53" s="305" t="s">
        <v>390</v>
      </c>
      <c r="V53" s="305" t="s">
        <v>390</v>
      </c>
      <c r="W53" s="305" t="s">
        <v>390</v>
      </c>
      <c r="X53" s="305" t="s">
        <v>390</v>
      </c>
      <c r="Y53" s="305" t="s">
        <v>390</v>
      </c>
      <c r="Z53" s="305" t="s">
        <v>390</v>
      </c>
      <c r="AA53" s="305" t="s">
        <v>390</v>
      </c>
      <c r="AB53" s="284"/>
      <c r="AC53" s="284"/>
      <c r="AD53" s="284"/>
      <c r="AE53" s="284"/>
      <c r="AF53" s="284"/>
      <c r="AG53" s="284"/>
      <c r="AH53" s="284"/>
      <c r="AI53" s="284"/>
      <c r="AJ53" s="284"/>
      <c r="AK53" s="284"/>
    </row>
    <row r="54" spans="1:37" ht="12.95" customHeight="1" x14ac:dyDescent="0.45">
      <c r="A54" s="293"/>
      <c r="B54" s="278"/>
      <c r="C54" s="294" t="s">
        <v>399</v>
      </c>
      <c r="D54" s="295"/>
      <c r="E54" s="296"/>
      <c r="F54" s="297"/>
      <c r="G54" s="304">
        <f t="shared" ref="G54:AA54" ca="1" si="13">SUM(G46:G53)</f>
        <v>0</v>
      </c>
      <c r="H54" s="304">
        <f t="shared" ca="1" si="13"/>
        <v>0</v>
      </c>
      <c r="I54" s="304">
        <f t="shared" ca="1" si="13"/>
        <v>0</v>
      </c>
      <c r="J54" s="304">
        <f t="shared" ca="1" si="13"/>
        <v>0</v>
      </c>
      <c r="K54" s="304">
        <f t="shared" ca="1" si="13"/>
        <v>0</v>
      </c>
      <c r="L54" s="304">
        <f t="shared" ca="1" si="13"/>
        <v>0</v>
      </c>
      <c r="M54" s="304">
        <f t="shared" ca="1" si="13"/>
        <v>0</v>
      </c>
      <c r="N54" s="304">
        <f t="shared" ca="1" si="13"/>
        <v>0</v>
      </c>
      <c r="O54" s="304">
        <f t="shared" ca="1" si="13"/>
        <v>0</v>
      </c>
      <c r="P54" s="304">
        <f t="shared" ca="1" si="13"/>
        <v>0</v>
      </c>
      <c r="Q54" s="304">
        <f t="shared" ca="1" si="13"/>
        <v>0</v>
      </c>
      <c r="R54" s="304">
        <f t="shared" ca="1" si="13"/>
        <v>0</v>
      </c>
      <c r="S54" s="304">
        <f t="shared" ca="1" si="13"/>
        <v>0</v>
      </c>
      <c r="T54" s="304">
        <f t="shared" ca="1" si="13"/>
        <v>0</v>
      </c>
      <c r="U54" s="304">
        <f t="shared" ca="1" si="13"/>
        <v>0</v>
      </c>
      <c r="V54" s="304">
        <f t="shared" ca="1" si="13"/>
        <v>0</v>
      </c>
      <c r="W54" s="304">
        <f t="shared" ca="1" si="13"/>
        <v>0</v>
      </c>
      <c r="X54" s="304">
        <f t="shared" ca="1" si="13"/>
        <v>0</v>
      </c>
      <c r="Y54" s="304">
        <f t="shared" ca="1" si="13"/>
        <v>0</v>
      </c>
      <c r="Z54" s="304">
        <f t="shared" ca="1" si="13"/>
        <v>0</v>
      </c>
      <c r="AA54" s="304">
        <f t="shared" ca="1" si="13"/>
        <v>0</v>
      </c>
      <c r="AB54" s="284"/>
      <c r="AC54" s="284"/>
      <c r="AD54" s="284"/>
      <c r="AE54" s="284"/>
      <c r="AF54" s="284"/>
      <c r="AG54" s="284"/>
      <c r="AH54" s="284"/>
      <c r="AI54" s="284"/>
      <c r="AJ54" s="284"/>
      <c r="AK54" s="284"/>
    </row>
    <row r="55" spans="1:37" s="328" customFormat="1" ht="12.95" customHeight="1" x14ac:dyDescent="0.45">
      <c r="A55" s="320"/>
      <c r="B55" s="321"/>
      <c r="C55" s="322"/>
      <c r="D55" s="323"/>
      <c r="E55" s="324"/>
      <c r="F55" s="325" t="s">
        <v>52</v>
      </c>
      <c r="G55" s="326">
        <f ca="1">G54-'Financial Overview'!G327</f>
        <v>0</v>
      </c>
      <c r="H55" s="326">
        <f ca="1">H54-'Financial Overview'!H327</f>
        <v>0</v>
      </c>
      <c r="I55" s="326">
        <f ca="1">I54-'Financial Overview'!I327</f>
        <v>0</v>
      </c>
      <c r="J55" s="326">
        <f ca="1">J54-'Financial Overview'!J327</f>
        <v>0</v>
      </c>
      <c r="K55" s="326">
        <f ca="1">K54-'Financial Overview'!K327</f>
        <v>0</v>
      </c>
      <c r="L55" s="326">
        <f ca="1">L54-'Financial Overview'!L327</f>
        <v>0</v>
      </c>
      <c r="M55" s="326">
        <f ca="1">M54-'Financial Overview'!M327</f>
        <v>0</v>
      </c>
      <c r="N55" s="326">
        <f ca="1">N54-'Financial Overview'!N327</f>
        <v>0</v>
      </c>
      <c r="O55" s="326">
        <f ca="1">O54-'Financial Overview'!O327</f>
        <v>0</v>
      </c>
      <c r="P55" s="326">
        <f ca="1">P54-'Financial Overview'!P327</f>
        <v>0</v>
      </c>
      <c r="Q55" s="326">
        <f ca="1">Q54-'Financial Overview'!Q327</f>
        <v>0</v>
      </c>
      <c r="R55" s="326">
        <f ca="1">R54-'Financial Overview'!R327</f>
        <v>0</v>
      </c>
      <c r="S55" s="326">
        <f ca="1">S54-'Financial Overview'!S327</f>
        <v>0</v>
      </c>
      <c r="T55" s="326">
        <f ca="1">T54-'Financial Overview'!T327</f>
        <v>0</v>
      </c>
      <c r="U55" s="326">
        <f ca="1">U54-'Financial Overview'!U327</f>
        <v>0</v>
      </c>
      <c r="V55" s="326">
        <f ca="1">V54-'Financial Overview'!V327</f>
        <v>0</v>
      </c>
      <c r="W55" s="326">
        <f ca="1">W54-'Financial Overview'!W327</f>
        <v>0</v>
      </c>
      <c r="X55" s="326">
        <f ca="1">X54-'Financial Overview'!X327</f>
        <v>0</v>
      </c>
      <c r="Y55" s="326">
        <f ca="1">Y54-'Financial Overview'!Y327</f>
        <v>0</v>
      </c>
      <c r="Z55" s="326">
        <f ca="1">Z54-'Financial Overview'!Z327</f>
        <v>0</v>
      </c>
      <c r="AA55" s="326">
        <f ca="1">AA54-'Financial Overview'!AA327</f>
        <v>0</v>
      </c>
      <c r="AB55" s="327"/>
      <c r="AC55" s="327"/>
      <c r="AD55" s="327"/>
      <c r="AE55" s="327"/>
      <c r="AF55" s="327"/>
      <c r="AG55" s="327"/>
      <c r="AH55" s="327"/>
      <c r="AI55" s="327"/>
      <c r="AJ55" s="327"/>
      <c r="AK55" s="327"/>
    </row>
    <row r="56" spans="1:37" ht="12.95" customHeight="1" x14ac:dyDescent="0.45">
      <c r="A56" s="293"/>
      <c r="B56" s="278" t="s">
        <v>105</v>
      </c>
      <c r="C56" s="294"/>
      <c r="D56" s="295"/>
      <c r="E56" s="296"/>
      <c r="F56" s="297"/>
      <c r="G56" s="318"/>
      <c r="H56" s="318"/>
      <c r="I56" s="318"/>
      <c r="J56" s="318"/>
      <c r="K56" s="318"/>
      <c r="L56" s="318"/>
      <c r="M56" s="318"/>
      <c r="N56" s="318"/>
      <c r="O56" s="318"/>
      <c r="P56" s="318"/>
      <c r="Q56" s="318"/>
      <c r="R56" s="318"/>
      <c r="S56" s="318"/>
      <c r="T56" s="318"/>
      <c r="U56" s="318"/>
      <c r="V56" s="318"/>
      <c r="W56" s="318"/>
      <c r="X56" s="318"/>
      <c r="Y56" s="318"/>
      <c r="Z56" s="318"/>
      <c r="AA56" s="318"/>
      <c r="AB56" s="284"/>
      <c r="AC56" s="284"/>
      <c r="AD56" s="284"/>
      <c r="AE56" s="284"/>
      <c r="AF56" s="284"/>
      <c r="AG56" s="284"/>
      <c r="AH56" s="284"/>
      <c r="AI56" s="284"/>
      <c r="AJ56" s="284"/>
      <c r="AK56" s="284"/>
    </row>
    <row r="57" spans="1:37" ht="12.95" customHeight="1" x14ac:dyDescent="0.45">
      <c r="A57" s="293"/>
      <c r="B57" s="278"/>
      <c r="C57" s="294" t="s">
        <v>400</v>
      </c>
      <c r="D57" s="295"/>
      <c r="E57" s="296"/>
      <c r="F57" s="297"/>
      <c r="G57" s="304">
        <f t="shared" ref="G57:AA57" si="14">G35+F57</f>
        <v>0</v>
      </c>
      <c r="H57" s="304">
        <f t="shared" si="14"/>
        <v>0</v>
      </c>
      <c r="I57" s="304">
        <f t="shared" si="14"/>
        <v>0</v>
      </c>
      <c r="J57" s="304">
        <f t="shared" si="14"/>
        <v>0</v>
      </c>
      <c r="K57" s="304">
        <f t="shared" si="14"/>
        <v>0</v>
      </c>
      <c r="L57" s="304">
        <f t="shared" si="14"/>
        <v>0</v>
      </c>
      <c r="M57" s="304">
        <f t="shared" si="14"/>
        <v>0</v>
      </c>
      <c r="N57" s="304">
        <f t="shared" si="14"/>
        <v>0</v>
      </c>
      <c r="O57" s="304">
        <f t="shared" si="14"/>
        <v>0</v>
      </c>
      <c r="P57" s="304">
        <f t="shared" si="14"/>
        <v>0</v>
      </c>
      <c r="Q57" s="304">
        <f t="shared" si="14"/>
        <v>0</v>
      </c>
      <c r="R57" s="304">
        <f t="shared" si="14"/>
        <v>0</v>
      </c>
      <c r="S57" s="304">
        <f t="shared" si="14"/>
        <v>0</v>
      </c>
      <c r="T57" s="304">
        <f t="shared" si="14"/>
        <v>0</v>
      </c>
      <c r="U57" s="304">
        <f t="shared" si="14"/>
        <v>0</v>
      </c>
      <c r="V57" s="304">
        <f t="shared" si="14"/>
        <v>0</v>
      </c>
      <c r="W57" s="304">
        <f t="shared" si="14"/>
        <v>0</v>
      </c>
      <c r="X57" s="304">
        <f t="shared" si="14"/>
        <v>0</v>
      </c>
      <c r="Y57" s="304">
        <f t="shared" si="14"/>
        <v>0</v>
      </c>
      <c r="Z57" s="304">
        <f t="shared" si="14"/>
        <v>0</v>
      </c>
      <c r="AA57" s="304">
        <f t="shared" si="14"/>
        <v>0</v>
      </c>
      <c r="AB57" s="284"/>
      <c r="AC57" s="284"/>
      <c r="AD57" s="284"/>
      <c r="AE57" s="284"/>
      <c r="AF57" s="284"/>
      <c r="AG57" s="284"/>
      <c r="AH57" s="284"/>
      <c r="AI57" s="284"/>
      <c r="AJ57" s="284"/>
      <c r="AK57" s="284"/>
    </row>
    <row r="58" spans="1:37" ht="12.95" customHeight="1" x14ac:dyDescent="0.45">
      <c r="A58" s="293"/>
      <c r="B58" s="278"/>
      <c r="C58" s="294" t="s">
        <v>401</v>
      </c>
      <c r="D58" s="295"/>
      <c r="E58" s="296"/>
      <c r="F58" s="297"/>
    </row>
    <row r="59" spans="1:37" ht="12.95" customHeight="1" x14ac:dyDescent="0.45">
      <c r="A59" s="293"/>
      <c r="B59" s="278"/>
      <c r="C59" s="294"/>
      <c r="D59" s="284" t="s">
        <v>402</v>
      </c>
      <c r="E59" s="296"/>
      <c r="F59" s="297"/>
      <c r="G59" s="304">
        <f t="shared" ref="G59:AA61" si="15">G37+F59</f>
        <v>0</v>
      </c>
      <c r="H59" s="304">
        <f t="shared" si="15"/>
        <v>0</v>
      </c>
      <c r="I59" s="304">
        <f t="shared" si="15"/>
        <v>0</v>
      </c>
      <c r="J59" s="304">
        <f t="shared" si="15"/>
        <v>0</v>
      </c>
      <c r="K59" s="304">
        <f t="shared" si="15"/>
        <v>0</v>
      </c>
      <c r="L59" s="304">
        <f t="shared" si="15"/>
        <v>0</v>
      </c>
      <c r="M59" s="304">
        <f t="shared" si="15"/>
        <v>0</v>
      </c>
      <c r="N59" s="304">
        <f t="shared" si="15"/>
        <v>0</v>
      </c>
      <c r="O59" s="304">
        <f t="shared" si="15"/>
        <v>0</v>
      </c>
      <c r="P59" s="304">
        <f t="shared" si="15"/>
        <v>0</v>
      </c>
      <c r="Q59" s="304">
        <f t="shared" si="15"/>
        <v>0</v>
      </c>
      <c r="R59" s="304">
        <f t="shared" si="15"/>
        <v>0</v>
      </c>
      <c r="S59" s="304">
        <f t="shared" si="15"/>
        <v>0</v>
      </c>
      <c r="T59" s="304">
        <f t="shared" si="15"/>
        <v>0</v>
      </c>
      <c r="U59" s="304">
        <f t="shared" si="15"/>
        <v>0</v>
      </c>
      <c r="V59" s="304">
        <f t="shared" si="15"/>
        <v>0</v>
      </c>
      <c r="W59" s="304">
        <f t="shared" si="15"/>
        <v>0</v>
      </c>
      <c r="X59" s="304">
        <f t="shared" si="15"/>
        <v>0</v>
      </c>
      <c r="Y59" s="304">
        <f t="shared" si="15"/>
        <v>0</v>
      </c>
      <c r="Z59" s="304">
        <f t="shared" si="15"/>
        <v>0</v>
      </c>
      <c r="AA59" s="304">
        <f t="shared" si="15"/>
        <v>0</v>
      </c>
      <c r="AB59" s="284"/>
      <c r="AC59" s="284"/>
      <c r="AD59" s="284"/>
      <c r="AE59" s="284"/>
      <c r="AF59" s="284"/>
      <c r="AG59" s="284"/>
      <c r="AH59" s="284"/>
      <c r="AI59" s="284"/>
      <c r="AJ59" s="284"/>
      <c r="AK59" s="284"/>
    </row>
    <row r="60" spans="1:37" ht="12.95" customHeight="1" x14ac:dyDescent="0.45">
      <c r="A60" s="293"/>
      <c r="B60" s="278"/>
      <c r="C60" s="294"/>
      <c r="D60" s="284" t="s">
        <v>403</v>
      </c>
      <c r="E60" s="296"/>
      <c r="F60" s="297"/>
      <c r="G60" s="304">
        <f t="shared" si="15"/>
        <v>0</v>
      </c>
      <c r="H60" s="304">
        <f t="shared" si="15"/>
        <v>0</v>
      </c>
      <c r="I60" s="304">
        <f t="shared" si="15"/>
        <v>0</v>
      </c>
      <c r="J60" s="304">
        <f t="shared" si="15"/>
        <v>0</v>
      </c>
      <c r="K60" s="304">
        <f t="shared" si="15"/>
        <v>0</v>
      </c>
      <c r="L60" s="304">
        <f t="shared" si="15"/>
        <v>0</v>
      </c>
      <c r="M60" s="304">
        <f t="shared" si="15"/>
        <v>0</v>
      </c>
      <c r="N60" s="304">
        <f t="shared" si="15"/>
        <v>0</v>
      </c>
      <c r="O60" s="304">
        <f t="shared" si="15"/>
        <v>0</v>
      </c>
      <c r="P60" s="304">
        <f t="shared" si="15"/>
        <v>0</v>
      </c>
      <c r="Q60" s="304">
        <f t="shared" si="15"/>
        <v>0</v>
      </c>
      <c r="R60" s="304">
        <f t="shared" si="15"/>
        <v>0</v>
      </c>
      <c r="S60" s="304">
        <f t="shared" si="15"/>
        <v>0</v>
      </c>
      <c r="T60" s="304">
        <f t="shared" si="15"/>
        <v>0</v>
      </c>
      <c r="U60" s="304">
        <f t="shared" si="15"/>
        <v>0</v>
      </c>
      <c r="V60" s="304">
        <f t="shared" si="15"/>
        <v>0</v>
      </c>
      <c r="W60" s="304">
        <f t="shared" si="15"/>
        <v>0</v>
      </c>
      <c r="X60" s="304">
        <f t="shared" si="15"/>
        <v>0</v>
      </c>
      <c r="Y60" s="304">
        <f t="shared" si="15"/>
        <v>0</v>
      </c>
      <c r="Z60" s="304">
        <f t="shared" si="15"/>
        <v>0</v>
      </c>
      <c r="AA60" s="304">
        <f t="shared" si="15"/>
        <v>0</v>
      </c>
      <c r="AB60" s="284"/>
      <c r="AC60" s="284"/>
      <c r="AD60" s="284"/>
      <c r="AE60" s="284"/>
      <c r="AF60" s="284"/>
      <c r="AG60" s="284"/>
      <c r="AH60" s="284"/>
      <c r="AI60" s="284"/>
      <c r="AJ60" s="284"/>
      <c r="AK60" s="284"/>
    </row>
    <row r="61" spans="1:37" ht="12.95" customHeight="1" x14ac:dyDescent="0.45">
      <c r="A61" s="293"/>
      <c r="B61" s="278"/>
      <c r="C61" s="294"/>
      <c r="D61" s="284" t="s">
        <v>404</v>
      </c>
      <c r="E61" s="296"/>
      <c r="F61" s="297"/>
      <c r="G61" s="304">
        <f t="shared" si="15"/>
        <v>10000000</v>
      </c>
      <c r="H61" s="304">
        <f t="shared" si="15"/>
        <v>10000000</v>
      </c>
      <c r="I61" s="304">
        <f t="shared" si="15"/>
        <v>10000000</v>
      </c>
      <c r="J61" s="304">
        <f t="shared" si="15"/>
        <v>10000000</v>
      </c>
      <c r="K61" s="304">
        <f t="shared" si="15"/>
        <v>10000000</v>
      </c>
      <c r="L61" s="304">
        <f t="shared" si="15"/>
        <v>10000000</v>
      </c>
      <c r="M61" s="304">
        <f t="shared" si="15"/>
        <v>10000000</v>
      </c>
      <c r="N61" s="304">
        <f t="shared" si="15"/>
        <v>10000000</v>
      </c>
      <c r="O61" s="304">
        <f t="shared" si="15"/>
        <v>10000000</v>
      </c>
      <c r="P61" s="304">
        <f t="shared" si="15"/>
        <v>10000000</v>
      </c>
      <c r="Q61" s="304">
        <f t="shared" si="15"/>
        <v>10000000</v>
      </c>
      <c r="R61" s="304">
        <f t="shared" si="15"/>
        <v>10000000</v>
      </c>
      <c r="S61" s="304">
        <f t="shared" si="15"/>
        <v>10000000</v>
      </c>
      <c r="T61" s="304">
        <f t="shared" si="15"/>
        <v>10000000</v>
      </c>
      <c r="U61" s="304">
        <f t="shared" si="15"/>
        <v>10000000</v>
      </c>
      <c r="V61" s="304">
        <f t="shared" si="15"/>
        <v>10000000</v>
      </c>
      <c r="W61" s="304">
        <f t="shared" si="15"/>
        <v>10000000</v>
      </c>
      <c r="X61" s="304">
        <f t="shared" si="15"/>
        <v>10000000</v>
      </c>
      <c r="Y61" s="304">
        <f t="shared" si="15"/>
        <v>10000000</v>
      </c>
      <c r="Z61" s="304">
        <f t="shared" si="15"/>
        <v>10000000</v>
      </c>
      <c r="AA61" s="304">
        <f t="shared" si="15"/>
        <v>10000000</v>
      </c>
      <c r="AB61" s="284"/>
      <c r="AC61" s="284"/>
      <c r="AD61" s="284"/>
      <c r="AE61" s="284"/>
      <c r="AF61" s="284"/>
      <c r="AG61" s="284"/>
      <c r="AH61" s="284"/>
      <c r="AI61" s="284"/>
      <c r="AJ61" s="284"/>
      <c r="AK61" s="284"/>
    </row>
    <row r="62" spans="1:37" ht="12.95" customHeight="1" x14ac:dyDescent="0.45">
      <c r="A62" s="293"/>
      <c r="B62" s="278"/>
      <c r="C62" s="294"/>
      <c r="D62" s="295"/>
      <c r="E62" s="296"/>
      <c r="F62" s="297"/>
      <c r="G62" s="305" t="s">
        <v>390</v>
      </c>
      <c r="H62" s="305" t="s">
        <v>390</v>
      </c>
      <c r="I62" s="305" t="s">
        <v>390</v>
      </c>
      <c r="J62" s="305" t="s">
        <v>390</v>
      </c>
      <c r="K62" s="305" t="s">
        <v>390</v>
      </c>
      <c r="L62" s="305" t="s">
        <v>390</v>
      </c>
      <c r="M62" s="305" t="s">
        <v>390</v>
      </c>
      <c r="N62" s="305" t="s">
        <v>390</v>
      </c>
      <c r="O62" s="305" t="s">
        <v>390</v>
      </c>
      <c r="P62" s="305" t="s">
        <v>390</v>
      </c>
      <c r="Q62" s="305" t="s">
        <v>390</v>
      </c>
      <c r="R62" s="305" t="s">
        <v>390</v>
      </c>
      <c r="S62" s="305" t="s">
        <v>390</v>
      </c>
      <c r="T62" s="305" t="s">
        <v>390</v>
      </c>
      <c r="U62" s="305" t="s">
        <v>390</v>
      </c>
      <c r="V62" s="305" t="s">
        <v>390</v>
      </c>
      <c r="W62" s="305" t="s">
        <v>390</v>
      </c>
      <c r="X62" s="305" t="s">
        <v>390</v>
      </c>
      <c r="Y62" s="305" t="s">
        <v>390</v>
      </c>
      <c r="Z62" s="305" t="s">
        <v>390</v>
      </c>
      <c r="AA62" s="305" t="s">
        <v>390</v>
      </c>
      <c r="AB62" s="284"/>
      <c r="AC62" s="284"/>
      <c r="AD62" s="284"/>
      <c r="AE62" s="284"/>
      <c r="AF62" s="284"/>
      <c r="AG62" s="284"/>
      <c r="AH62" s="284"/>
      <c r="AI62" s="284"/>
      <c r="AJ62" s="284"/>
      <c r="AK62" s="284"/>
    </row>
    <row r="63" spans="1:37" ht="12.95" customHeight="1" x14ac:dyDescent="0.45">
      <c r="A63" s="293"/>
      <c r="B63" s="278"/>
      <c r="C63" s="294" t="s">
        <v>399</v>
      </c>
      <c r="D63" s="295"/>
      <c r="E63" s="296"/>
      <c r="F63" s="297"/>
      <c r="G63" s="318">
        <f>SUM(G56:G62)</f>
        <v>10000000</v>
      </c>
      <c r="H63" s="318">
        <f t="shared" ref="H63:AA63" si="16">SUM(H56:H62)</f>
        <v>10000000</v>
      </c>
      <c r="I63" s="318">
        <f t="shared" si="16"/>
        <v>10000000</v>
      </c>
      <c r="J63" s="318">
        <f t="shared" si="16"/>
        <v>10000000</v>
      </c>
      <c r="K63" s="318">
        <f t="shared" si="16"/>
        <v>10000000</v>
      </c>
      <c r="L63" s="318">
        <f t="shared" si="16"/>
        <v>10000000</v>
      </c>
      <c r="M63" s="318">
        <f t="shared" si="16"/>
        <v>10000000</v>
      </c>
      <c r="N63" s="318">
        <f t="shared" si="16"/>
        <v>10000000</v>
      </c>
      <c r="O63" s="318">
        <f t="shared" si="16"/>
        <v>10000000</v>
      </c>
      <c r="P63" s="318">
        <f t="shared" si="16"/>
        <v>10000000</v>
      </c>
      <c r="Q63" s="318">
        <f t="shared" si="16"/>
        <v>10000000</v>
      </c>
      <c r="R63" s="318">
        <f t="shared" si="16"/>
        <v>10000000</v>
      </c>
      <c r="S63" s="318">
        <f t="shared" si="16"/>
        <v>10000000</v>
      </c>
      <c r="T63" s="318">
        <f t="shared" si="16"/>
        <v>10000000</v>
      </c>
      <c r="U63" s="318">
        <f t="shared" si="16"/>
        <v>10000000</v>
      </c>
      <c r="V63" s="318">
        <f t="shared" si="16"/>
        <v>10000000</v>
      </c>
      <c r="W63" s="318">
        <f t="shared" si="16"/>
        <v>10000000</v>
      </c>
      <c r="X63" s="318">
        <f t="shared" si="16"/>
        <v>10000000</v>
      </c>
      <c r="Y63" s="318">
        <f t="shared" si="16"/>
        <v>10000000</v>
      </c>
      <c r="Z63" s="318">
        <f t="shared" si="16"/>
        <v>10000000</v>
      </c>
      <c r="AA63" s="318">
        <f t="shared" si="16"/>
        <v>10000000</v>
      </c>
      <c r="AB63" s="284"/>
      <c r="AC63" s="284"/>
      <c r="AD63" s="284"/>
      <c r="AE63" s="284"/>
      <c r="AF63" s="284"/>
      <c r="AG63" s="284"/>
      <c r="AH63" s="284"/>
      <c r="AI63" s="284"/>
      <c r="AJ63" s="284"/>
      <c r="AK63" s="284"/>
    </row>
    <row r="64" spans="1:37" ht="12.95" customHeight="1" x14ac:dyDescent="0.45">
      <c r="A64" s="293"/>
      <c r="B64" s="278"/>
      <c r="C64" s="294"/>
      <c r="D64" s="295"/>
      <c r="E64" s="296"/>
      <c r="F64" s="297"/>
      <c r="G64" s="318"/>
      <c r="H64" s="318"/>
      <c r="I64" s="318"/>
      <c r="J64" s="318"/>
      <c r="K64" s="318"/>
      <c r="L64" s="318"/>
      <c r="M64" s="318"/>
      <c r="N64" s="318"/>
      <c r="O64" s="318"/>
      <c r="P64" s="318"/>
      <c r="Q64" s="318"/>
      <c r="R64" s="318"/>
      <c r="S64" s="318"/>
      <c r="T64" s="318"/>
      <c r="U64" s="318"/>
      <c r="V64" s="318"/>
      <c r="W64" s="318"/>
      <c r="X64" s="318"/>
      <c r="Y64" s="318"/>
      <c r="Z64" s="318"/>
      <c r="AA64" s="318"/>
      <c r="AB64" s="284"/>
      <c r="AC64" s="284"/>
      <c r="AD64" s="284"/>
      <c r="AE64" s="284"/>
      <c r="AF64" s="284"/>
      <c r="AG64" s="284"/>
      <c r="AH64" s="284"/>
      <c r="AI64" s="284"/>
      <c r="AJ64" s="284"/>
      <c r="AK64" s="284"/>
    </row>
    <row r="65" spans="1:37" ht="12.95" customHeight="1" x14ac:dyDescent="0.45">
      <c r="A65" s="293" t="s">
        <v>406</v>
      </c>
      <c r="B65" s="278"/>
      <c r="C65" s="294"/>
      <c r="D65" s="295"/>
      <c r="E65" s="296"/>
      <c r="F65" s="297"/>
      <c r="G65" s="298"/>
      <c r="H65" s="298"/>
      <c r="I65" s="298"/>
      <c r="J65" s="298"/>
      <c r="K65" s="298"/>
      <c r="L65" s="298"/>
      <c r="M65" s="298"/>
      <c r="N65" s="298"/>
      <c r="O65" s="298"/>
      <c r="P65" s="298"/>
      <c r="Q65" s="298"/>
      <c r="R65" s="298"/>
      <c r="S65" s="298"/>
      <c r="T65" s="298"/>
      <c r="U65" s="298"/>
      <c r="V65" s="298"/>
      <c r="W65" s="298"/>
      <c r="X65" s="298"/>
      <c r="Y65" s="298"/>
      <c r="Z65" s="298"/>
      <c r="AA65" s="298"/>
      <c r="AB65" s="284"/>
      <c r="AC65" s="284"/>
      <c r="AD65" s="284"/>
      <c r="AE65" s="284"/>
      <c r="AF65" s="284"/>
      <c r="AG65" s="284"/>
      <c r="AH65" s="284"/>
      <c r="AI65" s="284"/>
      <c r="AJ65" s="284"/>
      <c r="AK65" s="284"/>
    </row>
    <row r="66" spans="1:37" ht="12.95" customHeight="1" x14ac:dyDescent="0.45">
      <c r="A66" s="293"/>
      <c r="B66" s="294" t="s">
        <v>407</v>
      </c>
      <c r="D66" s="295"/>
      <c r="E66" s="296"/>
      <c r="F66" s="297"/>
      <c r="G66" s="329">
        <f ca="1">'Financial Overview'!G328/('Financial Overview'!G305-IF('Financial Overview'!G303&gt;0,'Financial Overview'!G303,0))</f>
        <v>0</v>
      </c>
      <c r="H66" s="329">
        <f ca="1">'Financial Overview'!H328/('Financial Overview'!H305-IF('Financial Overview'!H303&gt;0,'Financial Overview'!H303,0))</f>
        <v>0</v>
      </c>
      <c r="I66" s="329">
        <f ca="1">'Financial Overview'!I328/('Financial Overview'!I305-IF('Financial Overview'!I303&gt;0,'Financial Overview'!I303,0))</f>
        <v>0</v>
      </c>
      <c r="J66" s="329">
        <f ca="1">'Financial Overview'!J328/('Financial Overview'!J305-IF('Financial Overview'!J303&gt;0,'Financial Overview'!J303,0))</f>
        <v>0</v>
      </c>
      <c r="K66" s="329">
        <f ca="1">'Financial Overview'!K328/('Financial Overview'!K305-IF('Financial Overview'!K303&gt;0,'Financial Overview'!K303,0))</f>
        <v>0</v>
      </c>
      <c r="L66" s="329">
        <f ca="1">'Financial Overview'!L328/('Financial Overview'!L305-IF('Financial Overview'!L303&gt;0,'Financial Overview'!L303,0))</f>
        <v>0</v>
      </c>
      <c r="M66" s="329">
        <f ca="1">'Financial Overview'!M328/('Financial Overview'!M305-IF('Financial Overview'!M303&gt;0,'Financial Overview'!M303,0))</f>
        <v>0</v>
      </c>
      <c r="N66" s="329">
        <f ca="1">'Financial Overview'!N328/('Financial Overview'!N305-IF('Financial Overview'!N303&gt;0,'Financial Overview'!N303,0))</f>
        <v>0</v>
      </c>
      <c r="O66" s="329">
        <f ca="1">'Financial Overview'!O328/('Financial Overview'!O305-IF('Financial Overview'!O303&gt;0,'Financial Overview'!O303,0))</f>
        <v>0</v>
      </c>
      <c r="P66" s="329">
        <f ca="1">'Financial Overview'!P328/('Financial Overview'!P305-IF('Financial Overview'!P303&gt;0,'Financial Overview'!P303,0))</f>
        <v>0</v>
      </c>
      <c r="Q66" s="329">
        <f ca="1">'Financial Overview'!Q328/('Financial Overview'!Q305-IF('Financial Overview'!Q303&gt;0,'Financial Overview'!Q303,0))</f>
        <v>0</v>
      </c>
      <c r="R66" s="329">
        <f ca="1">'Financial Overview'!R328/('Financial Overview'!R305-IF('Financial Overview'!R303&gt;0,'Financial Overview'!R303,0))</f>
        <v>0</v>
      </c>
      <c r="S66" s="329">
        <f ca="1">'Financial Overview'!S328/('Financial Overview'!S305-IF('Financial Overview'!S303&gt;0,'Financial Overview'!S303,0))</f>
        <v>0</v>
      </c>
      <c r="T66" s="329">
        <f ca="1">'Financial Overview'!T328/('Financial Overview'!T305-IF('Financial Overview'!T303&gt;0,'Financial Overview'!T303,0))</f>
        <v>0</v>
      </c>
      <c r="U66" s="329">
        <f ca="1">'Financial Overview'!U328/('Financial Overview'!U305-IF('Financial Overview'!U303&gt;0,'Financial Overview'!U303,0))</f>
        <v>0</v>
      </c>
      <c r="V66" s="329">
        <f ca="1">'Financial Overview'!V328/('Financial Overview'!V305-IF('Financial Overview'!V303&gt;0,'Financial Overview'!V303,0))</f>
        <v>0</v>
      </c>
      <c r="W66" s="329">
        <f ca="1">'Financial Overview'!W328/('Financial Overview'!W305-IF('Financial Overview'!W303&gt;0,'Financial Overview'!W303,0))</f>
        <v>0</v>
      </c>
      <c r="X66" s="329">
        <f ca="1">'Financial Overview'!X328/('Financial Overview'!X305-IF('Financial Overview'!X303&gt;0,'Financial Overview'!X303,0))</f>
        <v>0</v>
      </c>
      <c r="Y66" s="329">
        <f ca="1">'Financial Overview'!Y328/('Financial Overview'!Y305-IF('Financial Overview'!Y303&gt;0,'Financial Overview'!Y303,0))</f>
        <v>0</v>
      </c>
      <c r="Z66" s="329">
        <f ca="1">'Financial Overview'!Z328/('Financial Overview'!Z305-IF('Financial Overview'!Z303&gt;0,'Financial Overview'!Z303,0))</f>
        <v>0</v>
      </c>
      <c r="AA66" s="329">
        <f ca="1">'Financial Overview'!AA328/('Financial Overview'!AA305-IF('Financial Overview'!AA303&gt;0,'Financial Overview'!AA303,0))</f>
        <v>0</v>
      </c>
      <c r="AB66" s="284"/>
      <c r="AC66" s="284"/>
      <c r="AD66" s="284"/>
      <c r="AE66" s="284"/>
      <c r="AF66" s="284"/>
      <c r="AG66" s="284"/>
      <c r="AH66" s="284"/>
      <c r="AI66" s="284"/>
      <c r="AJ66" s="284"/>
      <c r="AK66" s="284"/>
    </row>
    <row r="67" spans="1:37" ht="12.95" customHeight="1" x14ac:dyDescent="0.45">
      <c r="A67" s="293"/>
      <c r="B67" s="294" t="s">
        <v>408</v>
      </c>
      <c r="D67" s="295"/>
      <c r="E67" s="296"/>
      <c r="F67" s="297"/>
      <c r="G67" s="329">
        <f ca="1">'Financial Overview'!G328/'Financial Overview'!G323</f>
        <v>0</v>
      </c>
      <c r="H67" s="329">
        <f ca="1">'Financial Overview'!H328/'Financial Overview'!H323</f>
        <v>0</v>
      </c>
      <c r="I67" s="329">
        <f ca="1">'Financial Overview'!I328/'Financial Overview'!I323</f>
        <v>0</v>
      </c>
      <c r="J67" s="329">
        <f ca="1">'Financial Overview'!J328/'Financial Overview'!J323</f>
        <v>0</v>
      </c>
      <c r="K67" s="329">
        <f ca="1">'Financial Overview'!K328/'Financial Overview'!K323</f>
        <v>0</v>
      </c>
      <c r="L67" s="329">
        <f ca="1">'Financial Overview'!L328/'Financial Overview'!L323</f>
        <v>0</v>
      </c>
      <c r="M67" s="329">
        <f ca="1">'Financial Overview'!M328/'Financial Overview'!M323</f>
        <v>0</v>
      </c>
      <c r="N67" s="329">
        <f ca="1">'Financial Overview'!N328/'Financial Overview'!N323</f>
        <v>0</v>
      </c>
      <c r="O67" s="329">
        <f ca="1">'Financial Overview'!O328/'Financial Overview'!O323</f>
        <v>0</v>
      </c>
      <c r="P67" s="329">
        <f ca="1">'Financial Overview'!P328/'Financial Overview'!P323</f>
        <v>0</v>
      </c>
      <c r="Q67" s="329">
        <f ca="1">'Financial Overview'!Q328/'Financial Overview'!Q323</f>
        <v>0</v>
      </c>
      <c r="R67" s="329">
        <f ca="1">'Financial Overview'!R328/'Financial Overview'!R323</f>
        <v>0</v>
      </c>
      <c r="S67" s="329">
        <f ca="1">'Financial Overview'!S328/'Financial Overview'!S323</f>
        <v>0</v>
      </c>
      <c r="T67" s="329">
        <f ca="1">'Financial Overview'!T328/'Financial Overview'!T323</f>
        <v>0</v>
      </c>
      <c r="U67" s="329">
        <f ca="1">'Financial Overview'!U328/'Financial Overview'!U323</f>
        <v>0</v>
      </c>
      <c r="V67" s="329">
        <f ca="1">'Financial Overview'!V328/'Financial Overview'!V323</f>
        <v>0</v>
      </c>
      <c r="W67" s="329">
        <f ca="1">'Financial Overview'!W328/'Financial Overview'!W323</f>
        <v>0</v>
      </c>
      <c r="X67" s="329">
        <f ca="1">'Financial Overview'!X328/'Financial Overview'!X323</f>
        <v>0</v>
      </c>
      <c r="Y67" s="329">
        <f ca="1">'Financial Overview'!Y328/'Financial Overview'!Y323</f>
        <v>0</v>
      </c>
      <c r="Z67" s="329">
        <f ca="1">'Financial Overview'!Z328/'Financial Overview'!Z323</f>
        <v>0</v>
      </c>
      <c r="AA67" s="329">
        <f ca="1">'Financial Overview'!AA328/'Financial Overview'!AA323</f>
        <v>0</v>
      </c>
      <c r="AB67" s="284"/>
      <c r="AC67" s="284"/>
      <c r="AD67" s="284"/>
      <c r="AE67" s="284"/>
      <c r="AF67" s="284"/>
      <c r="AG67" s="284"/>
      <c r="AH67" s="284"/>
      <c r="AI67" s="284"/>
      <c r="AJ67" s="284"/>
      <c r="AK67" s="284"/>
    </row>
    <row r="68" spans="1:37" ht="12.95" customHeight="1" x14ac:dyDescent="0.45">
      <c r="A68" s="293"/>
      <c r="B68" s="294" t="s">
        <v>409</v>
      </c>
      <c r="D68" s="295"/>
      <c r="E68" s="296"/>
      <c r="F68" s="297"/>
      <c r="G68" s="330" t="str">
        <f ca="1">IF('Financial Overview'!G277&gt;0,'Financial Overview'!G277/'Financial Overview'!G283,"NA")</f>
        <v>NA</v>
      </c>
      <c r="H68" s="330">
        <f ca="1">IF('Financial Overview'!H277&gt;0,'Financial Overview'!H277/'Financial Overview'!H283,"NA")</f>
        <v>11.731046723693188</v>
      </c>
      <c r="I68" s="330">
        <f ca="1">IF('Financial Overview'!I277&gt;0,'Financial Overview'!I277/'Financial Overview'!I283,"NA")</f>
        <v>17.207304002532204</v>
      </c>
      <c r="J68" s="330">
        <f ca="1">IF('Financial Overview'!J277&gt;0,'Financial Overview'!J277/'Financial Overview'!J283,"NA")</f>
        <v>99.542756334037833</v>
      </c>
      <c r="K68" s="330">
        <f ca="1">IF('Financial Overview'!K277&gt;0,'Financial Overview'!K277/'Financial Overview'!K283,"NA")</f>
        <v>-31.373637530470994</v>
      </c>
      <c r="L68" s="330">
        <f ca="1">IF('Financial Overview'!L277&gt;0,'Financial Overview'!L277/'Financial Overview'!L283,"NA")</f>
        <v>-13.426335043893419</v>
      </c>
      <c r="M68" s="330">
        <f ca="1">IF('Financial Overview'!M277&gt;0,'Financial Overview'!M277/'Financial Overview'!M283,"NA")</f>
        <v>-8.4852268901304004</v>
      </c>
      <c r="N68" s="330">
        <f ca="1">IF('Financial Overview'!N277&gt;0,'Financial Overview'!N277/'Financial Overview'!N283,"NA")</f>
        <v>-6.1724833417832192</v>
      </c>
      <c r="O68" s="330">
        <f ca="1">IF('Financial Overview'!O277&gt;0,'Financial Overview'!O277/'Financial Overview'!O283,"NA")</f>
        <v>-4.8315249566930376</v>
      </c>
      <c r="P68" s="330">
        <f ca="1">IF('Financial Overview'!P277&gt;0,'Financial Overview'!P277/'Financial Overview'!P283,"NA")</f>
        <v>-3.9562082104406504</v>
      </c>
      <c r="Q68" s="330">
        <f ca="1">IF('Financial Overview'!Q277&gt;0,'Financial Overview'!Q277/'Financial Overview'!Q283,"NA")</f>
        <v>-3.339890008329732</v>
      </c>
      <c r="R68" s="330">
        <f ca="1">IF('Financial Overview'!R277&gt;0,'Financial Overview'!R277/'Financial Overview'!R283,"NA")</f>
        <v>-2.8824464270153993</v>
      </c>
      <c r="S68" s="330">
        <f ca="1">IF('Financial Overview'!S277&gt;0,'Financial Overview'!S277/'Financial Overview'!S283,"NA")</f>
        <v>-2.5294729373531504</v>
      </c>
      <c r="T68" s="330">
        <f ca="1">IF('Financial Overview'!T277&gt;0,'Financial Overview'!T277/'Financial Overview'!T283,"NA")</f>
        <v>-2.2488621831350493</v>
      </c>
      <c r="U68" s="330">
        <f ca="1">IF('Financial Overview'!U277&gt;0,'Financial Overview'!U277/'Financial Overview'!U283,"NA")</f>
        <v>-2.020442682003309</v>
      </c>
      <c r="V68" s="330">
        <f ca="1">IF('Financial Overview'!V277&gt;0,'Financial Overview'!V277/'Financial Overview'!V283,"NA")</f>
        <v>-1.8309039789768462</v>
      </c>
      <c r="W68" s="330">
        <f ca="1">IF('Financial Overview'!W277&gt;0,'Financial Overview'!W277/'Financial Overview'!W283,"NA")</f>
        <v>-1.6711081228274116</v>
      </c>
      <c r="X68" s="330">
        <f ca="1">IF('Financial Overview'!X277&gt;0,'Financial Overview'!X277/'Financial Overview'!X283,"NA")</f>
        <v>-1.5345734780954119</v>
      </c>
      <c r="Y68" s="330">
        <f ca="1">IF('Financial Overview'!Y277&gt;0,'Financial Overview'!Y277/'Financial Overview'!Y283,"NA")</f>
        <v>-1.416574880676762</v>
      </c>
      <c r="Z68" s="330">
        <f ca="1">IF('Financial Overview'!Z277&gt;0,'Financial Overview'!Z277/'Financial Overview'!Z283,"NA")</f>
        <v>-1.3135863773988146</v>
      </c>
      <c r="AA68" s="330">
        <f ca="1">IF('Financial Overview'!AA277&gt;0,'Financial Overview'!AA277/'Financial Overview'!AA283,"NA")</f>
        <v>-1.2229234641455318</v>
      </c>
      <c r="AB68" s="284"/>
      <c r="AC68" s="284"/>
      <c r="AD68" s="284"/>
      <c r="AE68" s="284"/>
      <c r="AF68" s="284"/>
      <c r="AG68" s="284"/>
      <c r="AH68" s="284"/>
      <c r="AI68" s="284"/>
      <c r="AJ68" s="284"/>
      <c r="AK68" s="284"/>
    </row>
    <row r="69" spans="1:37" ht="12.95" customHeight="1" x14ac:dyDescent="0.45">
      <c r="A69" s="293"/>
      <c r="B69" s="278"/>
      <c r="C69" s="294"/>
      <c r="D69" s="295"/>
      <c r="E69" s="296"/>
      <c r="F69" s="297"/>
      <c r="G69" s="298"/>
      <c r="H69" s="298"/>
      <c r="I69" s="298"/>
      <c r="J69" s="298"/>
      <c r="K69" s="298"/>
      <c r="L69" s="298"/>
      <c r="M69" s="298"/>
      <c r="N69" s="298"/>
      <c r="O69" s="298"/>
      <c r="P69" s="298"/>
      <c r="Q69" s="298"/>
      <c r="R69" s="298"/>
      <c r="S69" s="298"/>
      <c r="T69" s="298"/>
      <c r="U69" s="298"/>
      <c r="V69" s="298"/>
      <c r="W69" s="298"/>
      <c r="X69" s="298"/>
      <c r="Y69" s="298"/>
      <c r="Z69" s="298"/>
      <c r="AA69" s="298"/>
      <c r="AB69" s="284"/>
      <c r="AC69" s="284"/>
      <c r="AD69" s="284"/>
      <c r="AE69" s="284"/>
      <c r="AF69" s="284"/>
      <c r="AG69" s="284"/>
      <c r="AH69" s="284"/>
      <c r="AI69" s="284"/>
      <c r="AJ69" s="284"/>
      <c r="AK69" s="284"/>
    </row>
    <row r="70" spans="1:37" ht="12.75" customHeight="1" x14ac:dyDescent="0.45">
      <c r="A70" s="284"/>
      <c r="B70" s="331"/>
      <c r="C70" s="284"/>
      <c r="D70" s="284"/>
      <c r="E70" s="332"/>
      <c r="F70" s="284"/>
      <c r="G70" s="284"/>
      <c r="H70" s="284"/>
      <c r="I70" s="284"/>
      <c r="J70" s="284"/>
      <c r="K70" s="284"/>
      <c r="L70" s="284"/>
      <c r="M70" s="284"/>
      <c r="N70" s="333"/>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row>
    <row r="71" spans="1:37" ht="12.75" customHeight="1" x14ac:dyDescent="0.45">
      <c r="A71" s="334" t="s">
        <v>410</v>
      </c>
      <c r="B71" s="335"/>
      <c r="C71" s="335"/>
      <c r="E71" s="335"/>
      <c r="F71" s="335"/>
      <c r="G71" s="335"/>
      <c r="H71" s="335"/>
      <c r="I71" s="335"/>
      <c r="J71" s="284"/>
      <c r="K71" s="284"/>
      <c r="L71" s="284"/>
      <c r="M71" s="284"/>
      <c r="N71" s="333"/>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row>
    <row r="72" spans="1:37" s="340" customFormat="1" ht="12.75" customHeight="1" x14ac:dyDescent="0.45">
      <c r="A72" s="336"/>
      <c r="B72" s="337"/>
      <c r="C72" s="284"/>
      <c r="D72" s="337" t="s">
        <v>89</v>
      </c>
      <c r="E72" s="338"/>
      <c r="F72" s="339"/>
      <c r="G72" s="280"/>
      <c r="H72" s="280"/>
      <c r="I72" s="280"/>
      <c r="J72" s="280"/>
      <c r="K72" s="280"/>
      <c r="L72" s="280"/>
      <c r="M72" s="280"/>
      <c r="N72" s="280"/>
      <c r="O72" s="280"/>
      <c r="P72" s="280"/>
      <c r="Q72" s="280"/>
      <c r="R72" s="280"/>
      <c r="S72" s="280"/>
      <c r="T72" s="280"/>
      <c r="U72" s="280"/>
      <c r="V72" s="280"/>
      <c r="W72" s="280"/>
      <c r="X72" s="280"/>
      <c r="Y72" s="280"/>
      <c r="Z72" s="280"/>
      <c r="AA72" s="280"/>
      <c r="AB72" s="284"/>
      <c r="AC72" s="284"/>
      <c r="AD72" s="284"/>
      <c r="AE72" s="284"/>
      <c r="AF72" s="284"/>
      <c r="AG72" s="284"/>
      <c r="AH72" s="284"/>
      <c r="AI72" s="284"/>
      <c r="AJ72" s="284"/>
      <c r="AK72" s="284"/>
    </row>
    <row r="73" spans="1:37" s="340" customFormat="1" ht="12.75" customHeight="1" x14ac:dyDescent="0.45">
      <c r="A73" s="336"/>
      <c r="B73" s="337"/>
      <c r="C73" s="284"/>
      <c r="D73" s="339" t="s">
        <v>411</v>
      </c>
      <c r="E73" s="338" t="s">
        <v>91</v>
      </c>
      <c r="F73" s="341">
        <v>5</v>
      </c>
      <c r="G73" s="280"/>
      <c r="H73" s="280"/>
      <c r="I73" s="280"/>
      <c r="J73" s="280"/>
      <c r="K73" s="280"/>
      <c r="L73" s="280"/>
      <c r="M73" s="280"/>
      <c r="N73" s="280"/>
      <c r="O73" s="280"/>
      <c r="P73" s="280"/>
      <c r="Q73" s="280"/>
      <c r="R73" s="280"/>
      <c r="S73" s="280"/>
      <c r="T73" s="280"/>
      <c r="U73" s="280"/>
      <c r="V73" s="280"/>
      <c r="W73" s="280"/>
      <c r="X73" s="280"/>
      <c r="Y73" s="280"/>
      <c r="Z73" s="280"/>
      <c r="AA73" s="280"/>
      <c r="AB73" s="284"/>
      <c r="AC73" s="284"/>
      <c r="AD73" s="284"/>
      <c r="AE73" s="284"/>
      <c r="AF73" s="284"/>
      <c r="AG73" s="284"/>
      <c r="AH73" s="284"/>
      <c r="AI73" s="284"/>
      <c r="AJ73" s="284"/>
      <c r="AK73" s="284"/>
    </row>
    <row r="74" spans="1:37" s="340" customFormat="1" ht="12.75" customHeight="1" x14ac:dyDescent="0.45">
      <c r="A74" s="336"/>
      <c r="B74" s="337"/>
      <c r="C74" s="284"/>
      <c r="D74" s="339" t="s">
        <v>412</v>
      </c>
      <c r="E74" s="338" t="s">
        <v>413</v>
      </c>
      <c r="F74" s="342" t="str">
        <f>"30th June "&amp;TEXT(G2+F73,0)</f>
        <v>30th June 2025</v>
      </c>
      <c r="G74" s="280"/>
      <c r="H74" s="280"/>
      <c r="I74" s="280"/>
      <c r="J74" s="280"/>
      <c r="K74" s="280"/>
      <c r="L74" s="280"/>
      <c r="M74" s="280"/>
      <c r="N74" s="280"/>
      <c r="O74" s="280"/>
      <c r="P74" s="280"/>
      <c r="Q74" s="280"/>
      <c r="R74" s="280"/>
      <c r="S74" s="280"/>
      <c r="T74" s="280"/>
      <c r="U74" s="280"/>
      <c r="V74" s="280"/>
      <c r="W74" s="280"/>
      <c r="X74" s="280"/>
      <c r="Y74" s="280"/>
      <c r="Z74" s="280"/>
      <c r="AA74" s="280"/>
      <c r="AB74" s="284"/>
      <c r="AC74" s="284"/>
      <c r="AD74" s="284"/>
      <c r="AE74" s="284"/>
      <c r="AF74" s="284"/>
      <c r="AG74" s="284"/>
      <c r="AH74" s="284"/>
      <c r="AI74" s="284"/>
      <c r="AJ74" s="284"/>
      <c r="AK74" s="284"/>
    </row>
    <row r="75" spans="1:37" s="340" customFormat="1" ht="12.75" customHeight="1" x14ac:dyDescent="0.45">
      <c r="A75" s="336"/>
      <c r="B75" s="337"/>
      <c r="C75" s="284"/>
      <c r="D75" s="339" t="s">
        <v>414</v>
      </c>
      <c r="E75" s="338" t="s">
        <v>93</v>
      </c>
      <c r="F75" s="343">
        <v>20</v>
      </c>
      <c r="G75" s="280"/>
      <c r="H75" s="280"/>
      <c r="I75" s="280"/>
      <c r="J75" s="280"/>
      <c r="K75" s="280"/>
      <c r="L75" s="280"/>
      <c r="M75" s="280"/>
      <c r="N75" s="280"/>
      <c r="O75" s="280"/>
      <c r="P75" s="280"/>
      <c r="Q75" s="280"/>
      <c r="R75" s="280"/>
      <c r="S75" s="280"/>
      <c r="T75" s="280"/>
      <c r="U75" s="280"/>
      <c r="V75" s="280"/>
      <c r="W75" s="280"/>
      <c r="X75" s="280"/>
      <c r="Y75" s="280"/>
      <c r="Z75" s="280"/>
      <c r="AA75" s="280"/>
      <c r="AB75" s="284"/>
      <c r="AC75" s="284"/>
      <c r="AD75" s="284"/>
      <c r="AE75" s="284"/>
      <c r="AF75" s="284"/>
      <c r="AG75" s="284"/>
      <c r="AH75" s="284"/>
      <c r="AI75" s="284"/>
      <c r="AJ75" s="284"/>
      <c r="AK75" s="284"/>
    </row>
    <row r="76" spans="1:37" s="340" customFormat="1" ht="12.75" customHeight="1" x14ac:dyDescent="0.45">
      <c r="A76" s="336"/>
      <c r="B76" s="337"/>
      <c r="C76" s="284"/>
      <c r="D76" s="278" t="s">
        <v>415</v>
      </c>
      <c r="E76" s="338"/>
      <c r="F76" s="343"/>
      <c r="G76" s="280"/>
      <c r="H76" s="280"/>
      <c r="I76" s="280"/>
      <c r="J76" s="280"/>
      <c r="K76" s="280"/>
      <c r="L76" s="280"/>
      <c r="M76" s="280"/>
      <c r="N76" s="280"/>
      <c r="O76" s="280"/>
      <c r="P76" s="280"/>
      <c r="Q76" s="280"/>
      <c r="R76" s="280"/>
      <c r="S76" s="280"/>
      <c r="T76" s="280"/>
      <c r="U76" s="280"/>
      <c r="V76" s="280"/>
      <c r="W76" s="280"/>
      <c r="X76" s="280"/>
      <c r="Y76" s="280"/>
      <c r="Z76" s="280"/>
      <c r="AA76" s="280"/>
      <c r="AB76" s="284"/>
      <c r="AC76" s="284"/>
      <c r="AD76" s="284"/>
      <c r="AE76" s="284"/>
      <c r="AF76" s="284"/>
      <c r="AG76" s="284"/>
      <c r="AH76" s="284"/>
      <c r="AI76" s="284"/>
      <c r="AJ76" s="284"/>
      <c r="AK76" s="284"/>
    </row>
    <row r="77" spans="1:37" s="340" customFormat="1" ht="12.75" customHeight="1" x14ac:dyDescent="0.45">
      <c r="A77" s="333"/>
      <c r="B77" s="435"/>
      <c r="C77" s="284"/>
      <c r="D77" s="339" t="s">
        <v>416</v>
      </c>
      <c r="E77" s="338">
        <f>MAX(G2:AZ2)</f>
        <v>2040</v>
      </c>
      <c r="F77" s="343"/>
      <c r="G77" s="280"/>
      <c r="H77" s="280"/>
      <c r="I77" s="280"/>
      <c r="J77" s="280"/>
      <c r="K77" s="280"/>
      <c r="L77" s="280"/>
      <c r="M77" s="280"/>
      <c r="N77" s="280"/>
      <c r="O77" s="280"/>
      <c r="P77" s="280"/>
      <c r="Q77" s="280"/>
      <c r="R77" s="280"/>
      <c r="S77" s="280"/>
      <c r="T77" s="280"/>
      <c r="U77" s="280"/>
      <c r="V77" s="280"/>
      <c r="W77" s="280"/>
      <c r="X77" s="280"/>
      <c r="Y77" s="280"/>
      <c r="Z77" s="280"/>
      <c r="AA77" s="280"/>
      <c r="AB77" s="284"/>
      <c r="AC77" s="284"/>
      <c r="AD77" s="284"/>
      <c r="AE77" s="284"/>
      <c r="AF77" s="284"/>
      <c r="AG77" s="284"/>
      <c r="AH77" s="284"/>
      <c r="AI77" s="284"/>
      <c r="AJ77" s="284"/>
      <c r="AK77" s="284"/>
    </row>
    <row r="78" spans="1:37" s="340" customFormat="1" ht="12.75" customHeight="1" x14ac:dyDescent="0.45">
      <c r="A78" s="333"/>
      <c r="B78" s="435"/>
      <c r="C78" s="284"/>
      <c r="D78" s="339" t="s">
        <v>417</v>
      </c>
      <c r="E78" s="344">
        <f ca="1">'Financial Overview'!AA393-'Financial Overview'!AA384+'Financial Overview'!AA389+'Financial Overview'!AA390</f>
        <v>3010117.7485177196</v>
      </c>
      <c r="F78" s="343"/>
      <c r="G78" s="280"/>
      <c r="H78" s="280"/>
      <c r="I78" s="280"/>
      <c r="J78" s="280"/>
      <c r="K78" s="280"/>
      <c r="L78" s="280"/>
      <c r="M78" s="280"/>
      <c r="N78" s="280"/>
      <c r="O78" s="280"/>
      <c r="P78" s="280"/>
      <c r="Q78" s="280"/>
      <c r="R78" s="280"/>
      <c r="S78" s="280"/>
      <c r="T78" s="280"/>
      <c r="U78" s="280"/>
      <c r="V78" s="280"/>
      <c r="W78" s="280"/>
      <c r="X78" s="280"/>
      <c r="Y78" s="280"/>
      <c r="Z78" s="280"/>
      <c r="AA78" s="280"/>
      <c r="AB78" s="284"/>
      <c r="AC78" s="284"/>
      <c r="AD78" s="284"/>
      <c r="AE78" s="284"/>
      <c r="AF78" s="284"/>
      <c r="AG78" s="284"/>
      <c r="AH78" s="284"/>
      <c r="AI78" s="284"/>
      <c r="AJ78" s="284"/>
      <c r="AK78" s="284"/>
    </row>
    <row r="79" spans="1:37" s="340" customFormat="1" ht="12.75" customHeight="1" x14ac:dyDescent="0.45">
      <c r="A79" s="336"/>
      <c r="B79" s="337"/>
      <c r="C79" s="284"/>
      <c r="D79" s="339" t="str">
        <f>"Value of post-model period in "&amp;TEXT(E77,0)</f>
        <v>Value of post-model period in 2040</v>
      </c>
      <c r="E79" s="344">
        <f>IF(G2+F75&gt;E77,(E78/E82)-(E78/E82)/((1+E82)^(F75+G2-E77)),0)</f>
        <v>0</v>
      </c>
      <c r="F79" s="343"/>
      <c r="G79" s="280"/>
      <c r="H79" s="280"/>
      <c r="I79" s="280"/>
      <c r="J79" s="280"/>
      <c r="K79" s="280"/>
      <c r="L79" s="280"/>
      <c r="M79" s="280"/>
      <c r="N79" s="280"/>
      <c r="O79" s="280"/>
      <c r="P79" s="280"/>
      <c r="Q79" s="280"/>
      <c r="R79" s="280"/>
      <c r="S79" s="280"/>
      <c r="T79" s="280"/>
      <c r="U79" s="280"/>
      <c r="V79" s="280"/>
      <c r="W79" s="280"/>
      <c r="X79" s="280"/>
      <c r="Y79" s="280"/>
      <c r="Z79" s="280"/>
      <c r="AA79" s="280"/>
      <c r="AB79" s="284"/>
      <c r="AC79" s="284"/>
      <c r="AD79" s="284"/>
      <c r="AE79" s="284"/>
      <c r="AF79" s="284"/>
      <c r="AG79" s="284"/>
      <c r="AH79" s="284"/>
      <c r="AI79" s="284"/>
      <c r="AJ79" s="284"/>
      <c r="AK79" s="284"/>
    </row>
    <row r="80" spans="1:37" s="340" customFormat="1" ht="12.75" customHeight="1" x14ac:dyDescent="0.5">
      <c r="A80" s="336"/>
      <c r="B80" s="337"/>
      <c r="C80" s="284"/>
      <c r="D80" s="277"/>
      <c r="E80" s="277"/>
      <c r="F80" s="277"/>
      <c r="G80" s="345" t="s">
        <v>418</v>
      </c>
      <c r="H80" s="346"/>
      <c r="I80" s="346"/>
      <c r="J80" s="346"/>
      <c r="K80" s="346"/>
      <c r="L80" s="346"/>
      <c r="M80" s="347"/>
      <c r="N80" s="347"/>
      <c r="O80" s="347"/>
      <c r="P80" s="347"/>
      <c r="Q80" s="347"/>
      <c r="R80" s="347"/>
      <c r="S80" s="347"/>
      <c r="T80" s="347"/>
      <c r="U80" s="347"/>
      <c r="V80" s="347"/>
      <c r="W80" s="347"/>
      <c r="X80" s="347"/>
      <c r="Y80" s="347"/>
      <c r="Z80" s="347"/>
      <c r="AA80" s="348"/>
      <c r="AB80" s="284"/>
      <c r="AC80" s="284"/>
      <c r="AD80" s="284"/>
      <c r="AE80" s="284"/>
      <c r="AF80" s="284"/>
      <c r="AG80" s="284"/>
      <c r="AH80" s="284"/>
      <c r="AI80" s="284"/>
      <c r="AJ80" s="284"/>
      <c r="AK80" s="284"/>
    </row>
    <row r="81" spans="1:37" s="340" customFormat="1" ht="12.75" customHeight="1" x14ac:dyDescent="0.5">
      <c r="A81" s="336"/>
      <c r="B81" s="337"/>
      <c r="C81" s="284"/>
      <c r="D81" s="337" t="s">
        <v>95</v>
      </c>
      <c r="E81" s="338"/>
      <c r="F81" s="339"/>
      <c r="G81" s="349"/>
      <c r="H81" s="350"/>
      <c r="I81" s="350"/>
      <c r="J81" s="350"/>
      <c r="K81" s="350"/>
      <c r="L81" s="350"/>
      <c r="M81" s="350"/>
      <c r="N81" s="350"/>
      <c r="O81" s="350"/>
      <c r="P81" s="350"/>
      <c r="Q81" s="350"/>
      <c r="R81" s="350"/>
      <c r="S81" s="350"/>
      <c r="T81" s="350"/>
      <c r="U81" s="350"/>
      <c r="V81" s="350"/>
      <c r="W81" s="350"/>
      <c r="X81" s="350"/>
      <c r="Y81" s="350"/>
      <c r="Z81" s="350"/>
      <c r="AA81" s="351"/>
      <c r="AB81" s="284"/>
      <c r="AC81" s="284"/>
      <c r="AD81" s="284"/>
      <c r="AE81" s="284"/>
      <c r="AF81" s="284"/>
      <c r="AG81" s="284"/>
      <c r="AH81" s="284"/>
      <c r="AI81" s="284"/>
      <c r="AJ81" s="284"/>
      <c r="AK81" s="284"/>
    </row>
    <row r="82" spans="1:37" s="340" customFormat="1" ht="12.75" customHeight="1" x14ac:dyDescent="0.5">
      <c r="A82" s="336"/>
      <c r="B82" s="337"/>
      <c r="C82" s="284"/>
      <c r="D82" s="352" t="s">
        <v>96</v>
      </c>
      <c r="E82" s="353">
        <v>0.15</v>
      </c>
      <c r="F82" s="354">
        <f ca="1">OFFSET(F82,,F73+1)</f>
        <v>23894583.538815647</v>
      </c>
      <c r="G82" s="355">
        <f ca="1">(NPV($E$82,'Financial Overview'!G393:OFFSET('Financial Overview'!G393,,IF($G$2+$F$75&gt;$E$77,$E$77-G$2,$F75-1)))+($E$79/((1+$E$82)^($E$77-G$2))))*((1+$E$82)^0.5)+'Financial Overview'!F303</f>
        <v>3729500.6341616581</v>
      </c>
      <c r="H82" s="356">
        <f ca="1">(NPV($E$82,'Financial Overview'!H393:OFFSET('Financial Overview'!H393,,IF($G$2+$F$75&gt;$E$77,$E$77-H$2,$F75-1)))+($E$79/((1+$E$82)^($E$77-H$2))))*((1+$E$82)^0.5)+'Financial Overview'!G303</f>
        <v>15187569.098808438</v>
      </c>
      <c r="I82" s="356">
        <f ca="1">(NPV($E$82,'Financial Overview'!I393:OFFSET('Financial Overview'!I393,,IF($G$2+$F$75&gt;$E$77,$E$77-I$2,$F75-1)))+($E$79/((1+$E$82)^($E$77-I$2))))*((1+$E$82)^0.5)+'Financial Overview'!H303</f>
        <v>17118868.952049337</v>
      </c>
      <c r="J82" s="356">
        <f ca="1">(NPV($E$82,'Financial Overview'!J393:OFFSET('Financial Overview'!J393,,IF($G$2+$F$75&gt;$E$77,$E$77-J$2,$F75-1)))+($E$79/((1+$E$82)^($E$77-J$2))))*((1+$E$82)^0.5)+'Financial Overview'!I303</f>
        <v>19293580.85188923</v>
      </c>
      <c r="K82" s="356">
        <f ca="1">(NPV($E$82,'Financial Overview'!K393:OFFSET('Financial Overview'!K393,,IF($G$2+$F$75&gt;$E$77,$E$77-K$2,$F75-1)))+($E$79/((1+$E$82)^($E$77-K$2))))*((1+$E$82)^0.5)+'Financial Overview'!J303</f>
        <v>21550187.147243135</v>
      </c>
      <c r="L82" s="356">
        <f ca="1">(NPV($E$82,'Financial Overview'!L393:OFFSET('Financial Overview'!L393,,IF($G$2+$F$75&gt;$E$77,$E$77-L$2,$F75-1)))+($E$79/((1+$E$82)^($E$77-L$2))))*((1+$E$82)^0.5)+'Financial Overview'!K303</f>
        <v>23894583.538815647</v>
      </c>
      <c r="M82" s="356">
        <f ca="1">(NPV($E$82,'Financial Overview'!M393:OFFSET('Financial Overview'!M393,,IF($G$2+$F$75&gt;$E$77,$E$77-M$2,$F75-1)))+($E$79/((1+$E$82)^($E$77-M$2))))*((1+$E$82)^0.5)+'Financial Overview'!L303</f>
        <v>26332196.789757431</v>
      </c>
      <c r="N82" s="356">
        <f ca="1">(NPV($E$82,'Financial Overview'!N393:OFFSET('Financial Overview'!N393,,IF($G$2+$F$75&gt;$E$77,$E$77-N$2,$F75-1)))+($E$79/((1+$E$82)^($E$77-N$2))))*((1+$E$82)^0.5)+'Financial Overview'!M303</f>
        <v>28861932.711336426</v>
      </c>
      <c r="O82" s="356">
        <f ca="1">(NPV($E$82,'Financial Overview'!O393:OFFSET('Financial Overview'!O393,,IF($G$2+$F$75&gt;$E$77,$E$77-O$2,$F75-1)))+($E$79/((1+$E$82)^($E$77-O$2))))*((1+$E$82)^0.5)+'Financial Overview'!N303</f>
        <v>31481750.70061877</v>
      </c>
      <c r="P82" s="356">
        <f ca="1">(NPV($E$82,'Financial Overview'!P393:OFFSET('Financial Overview'!P393,,IF($G$2+$F$75&gt;$E$77,$E$77-P$2,$F75-1)))+($E$79/((1+$E$82)^($E$77-P$2))))*((1+$E$82)^0.5)+'Financial Overview'!O303</f>
        <v>34188546.23547411</v>
      </c>
      <c r="Q82" s="356">
        <f ca="1">(NPV($E$82,'Financial Overview'!Q393:OFFSET('Financial Overview'!Q393,,IF($G$2+$F$75&gt;$E$77,$E$77-Q$2,$F75-1)))+($E$79/((1+$E$82)^($E$77-Q$2))))*((1+$E$82)^0.5)+'Financial Overview'!P303</f>
        <v>36977957.983801886</v>
      </c>
      <c r="R82" s="356">
        <f ca="1">(NPV($E$82,'Financial Overview'!R393:OFFSET('Financial Overview'!R393,,IF($G$2+$F$75&gt;$E$77,$E$77-R$2,$F75-1)))+($E$79/((1+$E$82)^($E$77-R$2))))*((1+$E$82)^0.5)+'Financial Overview'!Q303</f>
        <v>39844144.026695736</v>
      </c>
      <c r="S82" s="356">
        <f ca="1">(NPV($E$82,'Financial Overview'!S393:OFFSET('Financial Overview'!S393,,IF($G$2+$F$75&gt;$E$77,$E$77-S$2,$F75-1)))+($E$79/((1+$E$82)^($E$77-S$2))))*((1+$E$82)^0.5)+'Financial Overview'!R303</f>
        <v>42779522.982224502</v>
      </c>
      <c r="T82" s="356">
        <f ca="1">(NPV($E$82,'Financial Overview'!T393:OFFSET('Financial Overview'!T393,,IF($G$2+$F$75&gt;$E$77,$E$77-T$2,$F75-1)))+($E$79/((1+$E$82)^($E$77-T$2))))*((1+$E$82)^0.5)+'Financial Overview'!S303</f>
        <v>45774474.703627497</v>
      </c>
      <c r="U82" s="356">
        <f ca="1">(NPV($E$82,'Financial Overview'!U393:OFFSET('Financial Overview'!U393,,IF($G$2+$F$75&gt;$E$77,$E$77-U$2,$F75-1)))+($E$79/((1+$E$82)^($E$77-U$2))))*((1+$E$82)^0.5)+'Financial Overview'!T303</f>
        <v>48816994.419874877</v>
      </c>
      <c r="V82" s="356">
        <f ca="1">(NPV($E$82,'Financial Overview'!V393:OFFSET('Financial Overview'!V393,,IF($G$2+$F$75&gt;$E$77,$E$77-V$2,$F75-1)))+($E$79/((1+$E$82)^($E$77-V$2))))*((1+$E$82)^0.5)+'Financial Overview'!U303</f>
        <v>51892293.263795666</v>
      </c>
      <c r="W82" s="356">
        <f ca="1">(NPV($E$82,'Financial Overview'!W393:OFFSET('Financial Overview'!W393,,IF($G$2+$F$75&gt;$E$77,$E$77-W$2,$F75-1)))+($E$79/((1+$E$82)^($E$77-W$2))))*((1+$E$82)^0.5)+'Financial Overview'!V303</f>
        <v>54982337.071726933</v>
      </c>
      <c r="X82" s="356">
        <f ca="1">(NPV($E$82,'Financial Overview'!X393:OFFSET('Financial Overview'!X393,,IF($G$2+$F$75&gt;$E$77,$E$77-X$2,$F75-1)))+($E$79/((1+$E$82)^($E$77-X$2))))*((1+$E$82)^0.5)+'Financial Overview'!W303</f>
        <v>58065314.118073009</v>
      </c>
      <c r="Y82" s="356">
        <f ca="1">(NPV($E$82,'Financial Overview'!Y393:OFFSET('Financial Overview'!Y393,,IF($G$2+$F$75&gt;$E$77,$E$77-Y$2,$F75-1)))+($E$79/((1+$E$82)^($E$77-Y$2))))*((1+$E$82)^0.5)+'Financial Overview'!X303</f>
        <v>61115021.04438068</v>
      </c>
      <c r="Z82" s="356">
        <f ca="1">(NPV($E$82,'Financial Overview'!Z393:OFFSET('Financial Overview'!Z393,,IF($G$2+$F$75&gt;$E$77,$E$77-Z$2,$F75-1)))+($E$79/((1+$E$82)^($E$77-Z$2))))*((1+$E$82)^0.5)+'Financial Overview'!Y303</f>
        <v>64100154.628045395</v>
      </c>
      <c r="AA82" s="357">
        <f ca="1">(NPV($E$82,'Financial Overview'!AA393:OFFSET('Financial Overview'!AA393,,IF($G$2+$F$75&gt;$E$77,$E$77-AA$2,$F75-1)))+($E$79/((1+$E$82)^($E$77-AA$2))))*((1+$E$82)^0.5)+'Financial Overview'!Z303</f>
        <v>66983495.178953998</v>
      </c>
      <c r="AB82" s="284"/>
      <c r="AC82" s="284"/>
      <c r="AD82" s="284"/>
      <c r="AE82" s="284"/>
      <c r="AF82" s="284"/>
      <c r="AG82" s="284"/>
      <c r="AH82" s="284"/>
      <c r="AI82" s="284"/>
      <c r="AJ82" s="284"/>
      <c r="AK82" s="284"/>
    </row>
    <row r="83" spans="1:37" s="340" customFormat="1" ht="12.75" customHeight="1" x14ac:dyDescent="0.5">
      <c r="A83" s="336"/>
      <c r="B83" s="337"/>
      <c r="C83" s="284"/>
      <c r="D83" s="352" t="s">
        <v>419</v>
      </c>
      <c r="E83" s="358">
        <v>5</v>
      </c>
      <c r="F83" s="354">
        <f ca="1">OFFSET(F83,,F73+1)</f>
        <v>24688677.667729184</v>
      </c>
      <c r="G83" s="359">
        <f ca="1">$E83*('Financial Overview'!G277+'Financial Overview'!G271)+'Financial Overview'!F303</f>
        <v>-10644000</v>
      </c>
      <c r="H83" s="360">
        <f ca="1">$E83*('Financial Overview'!H277+'Financial Overview'!H271)+'Financial Overview'!G303</f>
        <v>16117094.655004919</v>
      </c>
      <c r="I83" s="360">
        <f ca="1">$E83*('Financial Overview'!I277+'Financial Overview'!I271)+'Financial Overview'!H303</f>
        <v>16390477.844893664</v>
      </c>
      <c r="J83" s="360">
        <f ca="1">$E83*('Financial Overview'!J277+'Financial Overview'!J271)+'Financial Overview'!I303</f>
        <v>19476354.049367115</v>
      </c>
      <c r="K83" s="360">
        <f ca="1">$E83*('Financial Overview'!K277+'Financial Overview'!K271)+'Financial Overview'!J303</f>
        <v>22015698.275675267</v>
      </c>
      <c r="L83" s="360">
        <f ca="1">$E83*('Financial Overview'!L277+'Financial Overview'!L271)+'Financial Overview'!K303</f>
        <v>24688677.667729184</v>
      </c>
      <c r="M83" s="360">
        <f ca="1">$E83*('Financial Overview'!M277+'Financial Overview'!M271)+'Financial Overview'!L303</f>
        <v>27507664.436706282</v>
      </c>
      <c r="N83" s="360">
        <f ca="1">$E83*('Financial Overview'!N277+'Financial Overview'!N271)+'Financial Overview'!M303</f>
        <v>30479553.032857239</v>
      </c>
      <c r="O83" s="360">
        <f ca="1">$E83*('Financial Overview'!O277+'Financial Overview'!O271)+'Financial Overview'!N303</f>
        <v>33611491.189305276</v>
      </c>
      <c r="P83" s="360">
        <f ca="1">$E83*('Financial Overview'!P277+'Financial Overview'!P271)+'Financial Overview'!O303</f>
        <v>36910942.399637297</v>
      </c>
      <c r="Q83" s="360">
        <f ca="1">$E83*('Financial Overview'!Q277+'Financial Overview'!Q271)+'Financial Overview'!P303</f>
        <v>40385700.007664107</v>
      </c>
      <c r="R83" s="360">
        <f ca="1">$E83*('Financial Overview'!R277+'Financial Overview'!R271)+'Financial Overview'!Q303</f>
        <v>44043901.4587707</v>
      </c>
      <c r="S83" s="360">
        <f ca="1">$E83*('Financial Overview'!S277+'Financial Overview'!S271)+'Financial Overview'!R303</f>
        <v>47894043.156694159</v>
      </c>
      <c r="T83" s="360">
        <f ca="1">$E83*('Financial Overview'!T277+'Financial Overview'!T271)+'Financial Overview'!S303</f>
        <v>51944995.955260083</v>
      </c>
      <c r="U83" s="360">
        <f ca="1">$E83*('Financial Overview'!U277+'Financial Overview'!U271)+'Financial Overview'!T303</f>
        <v>56206021.312122047</v>
      </c>
      <c r="V83" s="360">
        <f ca="1">$E83*('Financial Overview'!V277+'Financial Overview'!V271)+'Financial Overview'!U303</f>
        <v>60686788.132664382</v>
      </c>
      <c r="W83" s="360">
        <f ca="1">$E83*('Financial Overview'!W277+'Financial Overview'!W271)+'Financial Overview'!V303</f>
        <v>65397390.333423465</v>
      </c>
      <c r="X83" s="360">
        <f ca="1">$E83*('Financial Overview'!X277+'Financial Overview'!X271)+'Financial Overview'!W303</f>
        <v>70348365.15562886</v>
      </c>
      <c r="Y83" s="360">
        <f ca="1">$E83*('Financial Overview'!Y277+'Financial Overview'!Y271)+'Financial Overview'!X303</f>
        <v>75550712.260764241</v>
      </c>
      <c r="Z83" s="360">
        <f ca="1">$E83*('Financial Overview'!Z277+'Financial Overview'!Z271)+'Financial Overview'!Y303</f>
        <v>81015913.641402051</v>
      </c>
      <c r="AA83" s="361">
        <f ca="1">$E83*('Financial Overview'!AA277+'Financial Overview'!AA271)+'Financial Overview'!Z303</f>
        <v>86755954.381977409</v>
      </c>
      <c r="AB83" s="284"/>
      <c r="AC83" s="284"/>
      <c r="AD83" s="284"/>
      <c r="AE83" s="284"/>
      <c r="AF83" s="284"/>
      <c r="AG83" s="284"/>
      <c r="AH83" s="284"/>
      <c r="AI83" s="284"/>
      <c r="AJ83" s="284"/>
      <c r="AK83" s="284"/>
    </row>
    <row r="84" spans="1:37" s="340" customFormat="1" ht="13.5" customHeight="1" x14ac:dyDescent="0.45">
      <c r="A84" s="336"/>
      <c r="B84" s="337"/>
      <c r="C84" s="284"/>
      <c r="D84" s="362"/>
      <c r="E84" s="363"/>
      <c r="F84" s="344"/>
      <c r="G84" s="364"/>
      <c r="H84" s="280"/>
      <c r="I84" s="365"/>
      <c r="J84" s="280"/>
      <c r="K84" s="280"/>
      <c r="L84" s="280"/>
      <c r="M84" s="280"/>
      <c r="N84" s="280"/>
      <c r="O84" s="280"/>
      <c r="P84" s="280"/>
      <c r="Q84" s="280"/>
      <c r="R84" s="280"/>
      <c r="S84" s="280"/>
      <c r="T84" s="280"/>
      <c r="U84" s="280"/>
      <c r="V84" s="280"/>
      <c r="W84" s="280"/>
      <c r="X84" s="280"/>
      <c r="Y84" s="280"/>
      <c r="Z84" s="280"/>
      <c r="AA84" s="280"/>
      <c r="AB84" s="284"/>
      <c r="AC84" s="284"/>
      <c r="AD84" s="284"/>
      <c r="AE84" s="284"/>
      <c r="AF84" s="284"/>
      <c r="AG84" s="284"/>
      <c r="AH84" s="284"/>
      <c r="AI84" s="284"/>
      <c r="AJ84" s="284"/>
      <c r="AK84" s="284"/>
    </row>
    <row r="85" spans="1:37" ht="12.75" customHeight="1" x14ac:dyDescent="0.45">
      <c r="A85" s="334" t="s">
        <v>420</v>
      </c>
      <c r="B85" s="335"/>
      <c r="C85" s="335"/>
      <c r="E85" s="335"/>
      <c r="F85" s="335"/>
      <c r="G85" s="335"/>
      <c r="H85" s="335"/>
      <c r="I85" s="335"/>
      <c r="J85" s="284"/>
      <c r="K85" s="284"/>
      <c r="L85" s="284"/>
      <c r="M85" s="284"/>
      <c r="N85" s="333"/>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row>
    <row r="86" spans="1:37" ht="12.75" customHeight="1" x14ac:dyDescent="0.45">
      <c r="A86" s="334"/>
      <c r="B86" s="335" t="s">
        <v>421</v>
      </c>
      <c r="C86" s="335"/>
      <c r="E86" s="335"/>
      <c r="F86" s="335"/>
      <c r="G86" s="366">
        <f t="shared" ref="G86:AA88" si="17">G37</f>
        <v>0</v>
      </c>
      <c r="H86" s="366">
        <f t="shared" si="17"/>
        <v>0</v>
      </c>
      <c r="I86" s="366">
        <f t="shared" si="17"/>
        <v>0</v>
      </c>
      <c r="J86" s="366">
        <f t="shared" si="17"/>
        <v>0</v>
      </c>
      <c r="K86" s="366">
        <f t="shared" si="17"/>
        <v>0</v>
      </c>
      <c r="L86" s="366">
        <f t="shared" si="17"/>
        <v>0</v>
      </c>
      <c r="M86" s="366">
        <f t="shared" si="17"/>
        <v>0</v>
      </c>
      <c r="N86" s="366">
        <f t="shared" si="17"/>
        <v>0</v>
      </c>
      <c r="O86" s="366">
        <f t="shared" si="17"/>
        <v>0</v>
      </c>
      <c r="P86" s="366">
        <f t="shared" si="17"/>
        <v>0</v>
      </c>
      <c r="Q86" s="366">
        <f t="shared" si="17"/>
        <v>0</v>
      </c>
      <c r="R86" s="366">
        <f t="shared" si="17"/>
        <v>0</v>
      </c>
      <c r="S86" s="366">
        <f t="shared" si="17"/>
        <v>0</v>
      </c>
      <c r="T86" s="366">
        <f t="shared" si="17"/>
        <v>0</v>
      </c>
      <c r="U86" s="366">
        <f t="shared" si="17"/>
        <v>0</v>
      </c>
      <c r="V86" s="366">
        <f t="shared" si="17"/>
        <v>0</v>
      </c>
      <c r="W86" s="366">
        <f t="shared" si="17"/>
        <v>0</v>
      </c>
      <c r="X86" s="366">
        <f t="shared" si="17"/>
        <v>0</v>
      </c>
      <c r="Y86" s="366">
        <f t="shared" si="17"/>
        <v>0</v>
      </c>
      <c r="Z86" s="366">
        <f t="shared" si="17"/>
        <v>0</v>
      </c>
      <c r="AA86" s="366">
        <f t="shared" si="17"/>
        <v>0</v>
      </c>
      <c r="AB86" s="284"/>
      <c r="AC86" s="284"/>
      <c r="AD86" s="284"/>
      <c r="AE86" s="284"/>
      <c r="AF86" s="284"/>
      <c r="AG86" s="284"/>
      <c r="AH86" s="284"/>
      <c r="AI86" s="284"/>
      <c r="AJ86" s="284"/>
      <c r="AK86" s="284"/>
    </row>
    <row r="87" spans="1:37" ht="12.75" customHeight="1" x14ac:dyDescent="0.45">
      <c r="A87" s="334"/>
      <c r="B87" s="335" t="s">
        <v>422</v>
      </c>
      <c r="C87" s="335"/>
      <c r="E87" s="335"/>
      <c r="F87" s="335"/>
      <c r="G87" s="366">
        <f t="shared" si="17"/>
        <v>0</v>
      </c>
      <c r="H87" s="366">
        <f t="shared" si="17"/>
        <v>0</v>
      </c>
      <c r="I87" s="366">
        <f t="shared" si="17"/>
        <v>0</v>
      </c>
      <c r="J87" s="366">
        <f t="shared" si="17"/>
        <v>0</v>
      </c>
      <c r="K87" s="366">
        <f t="shared" si="17"/>
        <v>0</v>
      </c>
      <c r="L87" s="366">
        <f t="shared" si="17"/>
        <v>0</v>
      </c>
      <c r="M87" s="366">
        <f t="shared" si="17"/>
        <v>0</v>
      </c>
      <c r="N87" s="366">
        <f t="shared" si="17"/>
        <v>0</v>
      </c>
      <c r="O87" s="366">
        <f t="shared" si="17"/>
        <v>0</v>
      </c>
      <c r="P87" s="366">
        <f t="shared" si="17"/>
        <v>0</v>
      </c>
      <c r="Q87" s="366">
        <f t="shared" si="17"/>
        <v>0</v>
      </c>
      <c r="R87" s="366">
        <f t="shared" si="17"/>
        <v>0</v>
      </c>
      <c r="S87" s="366">
        <f t="shared" si="17"/>
        <v>0</v>
      </c>
      <c r="T87" s="366">
        <f t="shared" si="17"/>
        <v>0</v>
      </c>
      <c r="U87" s="366">
        <f t="shared" si="17"/>
        <v>0</v>
      </c>
      <c r="V87" s="366">
        <f t="shared" si="17"/>
        <v>0</v>
      </c>
      <c r="W87" s="366">
        <f t="shared" si="17"/>
        <v>0</v>
      </c>
      <c r="X87" s="366">
        <f t="shared" si="17"/>
        <v>0</v>
      </c>
      <c r="Y87" s="366">
        <f t="shared" si="17"/>
        <v>0</v>
      </c>
      <c r="Z87" s="366">
        <f t="shared" si="17"/>
        <v>0</v>
      </c>
      <c r="AA87" s="366">
        <f t="shared" si="17"/>
        <v>0</v>
      </c>
      <c r="AB87" s="284"/>
      <c r="AC87" s="284"/>
      <c r="AD87" s="284"/>
      <c r="AE87" s="284"/>
      <c r="AF87" s="284"/>
      <c r="AG87" s="284"/>
      <c r="AH87" s="284"/>
      <c r="AI87" s="284"/>
      <c r="AJ87" s="284"/>
      <c r="AK87" s="284"/>
    </row>
    <row r="88" spans="1:37" ht="12.75" customHeight="1" x14ac:dyDescent="0.45">
      <c r="A88" s="334"/>
      <c r="B88" s="335" t="s">
        <v>423</v>
      </c>
      <c r="C88" s="335"/>
      <c r="E88" s="335"/>
      <c r="F88" s="335"/>
      <c r="G88" s="366">
        <f t="shared" si="17"/>
        <v>10000000</v>
      </c>
      <c r="H88" s="366">
        <f t="shared" si="17"/>
        <v>0</v>
      </c>
      <c r="I88" s="366">
        <f t="shared" si="17"/>
        <v>0</v>
      </c>
      <c r="J88" s="366">
        <f t="shared" si="17"/>
        <v>0</v>
      </c>
      <c r="K88" s="366">
        <f t="shared" si="17"/>
        <v>0</v>
      </c>
      <c r="L88" s="366">
        <f t="shared" si="17"/>
        <v>0</v>
      </c>
      <c r="M88" s="366">
        <f t="shared" si="17"/>
        <v>0</v>
      </c>
      <c r="N88" s="366">
        <f t="shared" si="17"/>
        <v>0</v>
      </c>
      <c r="O88" s="366">
        <f t="shared" si="17"/>
        <v>0</v>
      </c>
      <c r="P88" s="366">
        <f t="shared" si="17"/>
        <v>0</v>
      </c>
      <c r="Q88" s="366">
        <f t="shared" si="17"/>
        <v>0</v>
      </c>
      <c r="R88" s="366">
        <f t="shared" si="17"/>
        <v>0</v>
      </c>
      <c r="S88" s="366">
        <f t="shared" si="17"/>
        <v>0</v>
      </c>
      <c r="T88" s="366">
        <f t="shared" si="17"/>
        <v>0</v>
      </c>
      <c r="U88" s="366">
        <f t="shared" si="17"/>
        <v>0</v>
      </c>
      <c r="V88" s="366">
        <f t="shared" si="17"/>
        <v>0</v>
      </c>
      <c r="W88" s="366">
        <f t="shared" si="17"/>
        <v>0</v>
      </c>
      <c r="X88" s="366">
        <f t="shared" si="17"/>
        <v>0</v>
      </c>
      <c r="Y88" s="366">
        <f t="shared" si="17"/>
        <v>0</v>
      </c>
      <c r="Z88" s="366">
        <f t="shared" si="17"/>
        <v>0</v>
      </c>
      <c r="AA88" s="366">
        <f t="shared" si="17"/>
        <v>0</v>
      </c>
      <c r="AB88" s="284"/>
      <c r="AC88" s="284"/>
      <c r="AD88" s="284"/>
      <c r="AE88" s="284"/>
      <c r="AF88" s="284"/>
      <c r="AG88" s="284"/>
      <c r="AH88" s="284"/>
      <c r="AI88" s="284"/>
      <c r="AJ88" s="284"/>
      <c r="AK88" s="284"/>
    </row>
    <row r="89" spans="1:37" ht="12.75" customHeight="1" x14ac:dyDescent="0.45">
      <c r="A89" s="334"/>
      <c r="B89" s="335"/>
      <c r="C89" s="335"/>
      <c r="E89" s="335"/>
      <c r="F89" s="335"/>
      <c r="G89" s="367" t="s">
        <v>22</v>
      </c>
      <c r="H89" s="367" t="s">
        <v>22</v>
      </c>
      <c r="I89" s="367" t="s">
        <v>22</v>
      </c>
      <c r="J89" s="367" t="s">
        <v>22</v>
      </c>
      <c r="K89" s="367" t="s">
        <v>22</v>
      </c>
      <c r="L89" s="367" t="s">
        <v>22</v>
      </c>
      <c r="M89" s="367" t="s">
        <v>22</v>
      </c>
      <c r="N89" s="367" t="s">
        <v>22</v>
      </c>
      <c r="O89" s="367" t="s">
        <v>22</v>
      </c>
      <c r="P89" s="367" t="s">
        <v>22</v>
      </c>
      <c r="Q89" s="367" t="s">
        <v>22</v>
      </c>
      <c r="R89" s="367" t="s">
        <v>22</v>
      </c>
      <c r="S89" s="367" t="s">
        <v>22</v>
      </c>
      <c r="T89" s="367" t="s">
        <v>22</v>
      </c>
      <c r="U89" s="367" t="s">
        <v>22</v>
      </c>
      <c r="V89" s="367" t="s">
        <v>22</v>
      </c>
      <c r="W89" s="367" t="s">
        <v>22</v>
      </c>
      <c r="X89" s="367" t="s">
        <v>22</v>
      </c>
      <c r="Y89" s="367" t="s">
        <v>22</v>
      </c>
      <c r="Z89" s="367" t="s">
        <v>22</v>
      </c>
      <c r="AA89" s="367" t="s">
        <v>22</v>
      </c>
      <c r="AB89" s="284"/>
      <c r="AC89" s="284"/>
      <c r="AD89" s="284"/>
      <c r="AE89" s="284"/>
      <c r="AF89" s="284"/>
      <c r="AG89" s="284"/>
      <c r="AH89" s="284"/>
      <c r="AI89" s="284"/>
      <c r="AJ89" s="284"/>
      <c r="AK89" s="284"/>
    </row>
    <row r="90" spans="1:37" ht="12.75" customHeight="1" x14ac:dyDescent="0.45">
      <c r="A90" s="334"/>
      <c r="B90" s="335" t="s">
        <v>399</v>
      </c>
      <c r="C90" s="335"/>
      <c r="E90" s="335"/>
      <c r="F90" s="335"/>
      <c r="G90" s="366">
        <f>SUM(G86:G89)</f>
        <v>10000000</v>
      </c>
      <c r="H90" s="366">
        <f t="shared" ref="H90:AA90" si="18">SUM(H86:H89)</f>
        <v>0</v>
      </c>
      <c r="I90" s="366">
        <f t="shared" si="18"/>
        <v>0</v>
      </c>
      <c r="J90" s="366">
        <f t="shared" si="18"/>
        <v>0</v>
      </c>
      <c r="K90" s="366">
        <f t="shared" si="18"/>
        <v>0</v>
      </c>
      <c r="L90" s="366">
        <f t="shared" si="18"/>
        <v>0</v>
      </c>
      <c r="M90" s="366">
        <f t="shared" si="18"/>
        <v>0</v>
      </c>
      <c r="N90" s="366">
        <f t="shared" si="18"/>
        <v>0</v>
      </c>
      <c r="O90" s="366">
        <f t="shared" si="18"/>
        <v>0</v>
      </c>
      <c r="P90" s="366">
        <f t="shared" si="18"/>
        <v>0</v>
      </c>
      <c r="Q90" s="366">
        <f t="shared" si="18"/>
        <v>0</v>
      </c>
      <c r="R90" s="366">
        <f t="shared" si="18"/>
        <v>0</v>
      </c>
      <c r="S90" s="366">
        <f t="shared" si="18"/>
        <v>0</v>
      </c>
      <c r="T90" s="366">
        <f t="shared" si="18"/>
        <v>0</v>
      </c>
      <c r="U90" s="366">
        <f t="shared" si="18"/>
        <v>0</v>
      </c>
      <c r="V90" s="366">
        <f t="shared" si="18"/>
        <v>0</v>
      </c>
      <c r="W90" s="366">
        <f t="shared" si="18"/>
        <v>0</v>
      </c>
      <c r="X90" s="366">
        <f t="shared" si="18"/>
        <v>0</v>
      </c>
      <c r="Y90" s="366">
        <f t="shared" si="18"/>
        <v>0</v>
      </c>
      <c r="Z90" s="366">
        <f t="shared" si="18"/>
        <v>0</v>
      </c>
      <c r="AA90" s="366">
        <f t="shared" si="18"/>
        <v>0</v>
      </c>
      <c r="AB90" s="284"/>
      <c r="AC90" s="284"/>
      <c r="AD90" s="284"/>
      <c r="AE90" s="284"/>
      <c r="AF90" s="284"/>
      <c r="AG90" s="284"/>
      <c r="AH90" s="284"/>
      <c r="AI90" s="284"/>
      <c r="AJ90" s="284"/>
      <c r="AK90" s="284"/>
    </row>
    <row r="91" spans="1:37" ht="12.75" customHeight="1" x14ac:dyDescent="0.45">
      <c r="A91" s="334"/>
      <c r="B91" s="335"/>
      <c r="C91" s="335"/>
      <c r="E91" s="335"/>
      <c r="F91" s="335"/>
      <c r="G91" s="335"/>
      <c r="H91" s="335"/>
      <c r="I91" s="335"/>
      <c r="J91" s="284"/>
      <c r="K91" s="284"/>
      <c r="L91" s="284"/>
      <c r="M91" s="284"/>
      <c r="N91" s="333"/>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row>
    <row r="92" spans="1:37" s="340" customFormat="1" ht="13.5" customHeight="1" x14ac:dyDescent="0.45">
      <c r="A92" s="337" t="s">
        <v>424</v>
      </c>
      <c r="B92" s="284"/>
      <c r="D92" s="362"/>
      <c r="F92" s="344"/>
      <c r="G92" s="364">
        <f ca="1">G82-'Financial Overview'!F317</f>
        <v>3729500.6341616581</v>
      </c>
      <c r="H92" s="364">
        <f ca="1">H82-'Financial Overview'!G317</f>
        <v>15187569.098808438</v>
      </c>
      <c r="I92" s="364">
        <f ca="1">I82-'Financial Overview'!H317</f>
        <v>17118868.952049337</v>
      </c>
      <c r="J92" s="364">
        <f ca="1">J82-'Financial Overview'!I317</f>
        <v>19293580.85188923</v>
      </c>
      <c r="K92" s="364">
        <f ca="1">K82-'Financial Overview'!J317</f>
        <v>21550187.147243135</v>
      </c>
      <c r="L92" s="364">
        <f ca="1">L82-'Financial Overview'!K317</f>
        <v>23894583.538815647</v>
      </c>
      <c r="M92" s="364">
        <f ca="1">M82-'Financial Overview'!L317</f>
        <v>26332196.789757431</v>
      </c>
      <c r="N92" s="364">
        <f ca="1">N82-'Financial Overview'!M317</f>
        <v>28861932.711336426</v>
      </c>
      <c r="O92" s="364">
        <f ca="1">O82-'Financial Overview'!N317</f>
        <v>31481750.70061877</v>
      </c>
      <c r="P92" s="364">
        <f ca="1">P82-'Financial Overview'!O317</f>
        <v>34188546.23547411</v>
      </c>
      <c r="Q92" s="364">
        <f ca="1">Q82-'Financial Overview'!P317</f>
        <v>36977957.983801886</v>
      </c>
      <c r="R92" s="364">
        <f ca="1">R82-'Financial Overview'!Q317</f>
        <v>39844144.026695736</v>
      </c>
      <c r="S92" s="364">
        <f ca="1">S82-'Financial Overview'!R317</f>
        <v>42779522.982224502</v>
      </c>
      <c r="T92" s="364">
        <f ca="1">T82-'Financial Overview'!S317</f>
        <v>45774474.703627497</v>
      </c>
      <c r="U92" s="364">
        <f ca="1">U82-'Financial Overview'!T317</f>
        <v>48816994.419874877</v>
      </c>
      <c r="V92" s="364">
        <f ca="1">V82-'Financial Overview'!U317</f>
        <v>51892293.263795666</v>
      </c>
      <c r="W92" s="364">
        <f ca="1">W82-'Financial Overview'!V317</f>
        <v>54982337.071726933</v>
      </c>
      <c r="X92" s="364">
        <f ca="1">X82-'Financial Overview'!W317</f>
        <v>58065314.118073009</v>
      </c>
      <c r="Y92" s="364">
        <f ca="1">Y82-'Financial Overview'!X317</f>
        <v>61115021.04438068</v>
      </c>
      <c r="Z92" s="364">
        <f ca="1">Z82-'Financial Overview'!Y317</f>
        <v>64100154.628045395</v>
      </c>
      <c r="AA92" s="364">
        <f ca="1">AA82-'Financial Overview'!Z317</f>
        <v>66983495.178953998</v>
      </c>
      <c r="AB92" s="284"/>
      <c r="AC92" s="284"/>
      <c r="AD92" s="284"/>
      <c r="AE92" s="284"/>
      <c r="AF92" s="284"/>
      <c r="AG92" s="284"/>
      <c r="AH92" s="284"/>
      <c r="AI92" s="284"/>
      <c r="AJ92" s="284"/>
      <c r="AK92" s="284"/>
    </row>
    <row r="93" spans="1:37" s="340" customFormat="1" ht="13.5" customHeight="1" x14ac:dyDescent="0.45">
      <c r="A93" s="337"/>
      <c r="B93" s="284" t="s">
        <v>425</v>
      </c>
      <c r="D93" s="362"/>
      <c r="F93" s="344"/>
      <c r="G93" s="368">
        <f ca="1">G90/(G90+G92)</f>
        <v>0.72835861015353043</v>
      </c>
      <c r="H93" s="368">
        <f t="shared" ref="H93:AA93" ca="1" si="19">H90/(H90+H92)</f>
        <v>0</v>
      </c>
      <c r="I93" s="368">
        <f t="shared" ca="1" si="19"/>
        <v>0</v>
      </c>
      <c r="J93" s="368">
        <f t="shared" ca="1" si="19"/>
        <v>0</v>
      </c>
      <c r="K93" s="368">
        <f t="shared" ca="1" si="19"/>
        <v>0</v>
      </c>
      <c r="L93" s="368">
        <f t="shared" ca="1" si="19"/>
        <v>0</v>
      </c>
      <c r="M93" s="368">
        <f t="shared" ca="1" si="19"/>
        <v>0</v>
      </c>
      <c r="N93" s="368">
        <f t="shared" ca="1" si="19"/>
        <v>0</v>
      </c>
      <c r="O93" s="368">
        <f t="shared" ca="1" si="19"/>
        <v>0</v>
      </c>
      <c r="P93" s="368">
        <f t="shared" ca="1" si="19"/>
        <v>0</v>
      </c>
      <c r="Q93" s="368">
        <f t="shared" ca="1" si="19"/>
        <v>0</v>
      </c>
      <c r="R93" s="368">
        <f t="shared" ca="1" si="19"/>
        <v>0</v>
      </c>
      <c r="S93" s="368">
        <f t="shared" ca="1" si="19"/>
        <v>0</v>
      </c>
      <c r="T93" s="368">
        <f t="shared" ca="1" si="19"/>
        <v>0</v>
      </c>
      <c r="U93" s="368">
        <f t="shared" ca="1" si="19"/>
        <v>0</v>
      </c>
      <c r="V93" s="368">
        <f t="shared" ca="1" si="19"/>
        <v>0</v>
      </c>
      <c r="W93" s="368">
        <f t="shared" ca="1" si="19"/>
        <v>0</v>
      </c>
      <c r="X93" s="368">
        <f t="shared" ca="1" si="19"/>
        <v>0</v>
      </c>
      <c r="Y93" s="368">
        <f t="shared" ca="1" si="19"/>
        <v>0</v>
      </c>
      <c r="Z93" s="368">
        <f t="shared" ca="1" si="19"/>
        <v>0</v>
      </c>
      <c r="AA93" s="368">
        <f t="shared" ca="1" si="19"/>
        <v>0</v>
      </c>
      <c r="AB93" s="284"/>
      <c r="AC93" s="284"/>
      <c r="AD93" s="284"/>
      <c r="AE93" s="284"/>
      <c r="AF93" s="284"/>
      <c r="AG93" s="284"/>
      <c r="AH93" s="284"/>
      <c r="AI93" s="284"/>
      <c r="AJ93" s="284"/>
      <c r="AK93" s="284"/>
    </row>
    <row r="94" spans="1:37" s="340" customFormat="1" ht="13.5" customHeight="1" x14ac:dyDescent="0.45">
      <c r="A94" s="337"/>
      <c r="B94" s="284" t="s">
        <v>426</v>
      </c>
      <c r="D94" s="362"/>
      <c r="F94" s="344"/>
      <c r="G94" s="369">
        <v>0.5</v>
      </c>
      <c r="H94" s="369"/>
      <c r="I94" s="369"/>
      <c r="J94" s="369"/>
      <c r="K94" s="369"/>
      <c r="L94" s="369"/>
      <c r="M94" s="369"/>
      <c r="N94" s="369"/>
      <c r="O94" s="369"/>
      <c r="P94" s="369"/>
      <c r="Q94" s="369"/>
      <c r="R94" s="369"/>
      <c r="S94" s="369"/>
      <c r="T94" s="369"/>
      <c r="U94" s="369"/>
      <c r="V94" s="369"/>
      <c r="W94" s="369"/>
      <c r="X94" s="369"/>
      <c r="Y94" s="369"/>
      <c r="Z94" s="369"/>
      <c r="AA94" s="369"/>
      <c r="AB94" s="284"/>
      <c r="AC94" s="284"/>
      <c r="AD94" s="284"/>
      <c r="AE94" s="284"/>
      <c r="AF94" s="284"/>
      <c r="AG94" s="284"/>
      <c r="AH94" s="284"/>
      <c r="AI94" s="284"/>
      <c r="AJ94" s="284"/>
      <c r="AK94" s="284"/>
    </row>
    <row r="95" spans="1:37" s="340" customFormat="1" ht="13.5" customHeight="1" x14ac:dyDescent="0.45">
      <c r="A95" s="336"/>
      <c r="B95" s="337"/>
      <c r="C95" s="284"/>
      <c r="D95" s="362"/>
      <c r="E95" s="363"/>
      <c r="F95" s="344"/>
      <c r="G95" s="364"/>
      <c r="H95" s="280"/>
      <c r="I95" s="365"/>
      <c r="J95" s="280"/>
      <c r="K95" s="280"/>
      <c r="L95" s="280"/>
      <c r="M95" s="280"/>
      <c r="N95" s="280"/>
      <c r="O95" s="280"/>
      <c r="P95" s="280"/>
      <c r="Q95" s="280"/>
      <c r="R95" s="280"/>
      <c r="S95" s="280"/>
      <c r="T95" s="280"/>
      <c r="U95" s="280"/>
      <c r="V95" s="280"/>
      <c r="W95" s="280"/>
      <c r="X95" s="280"/>
      <c r="Y95" s="280"/>
      <c r="Z95" s="280"/>
      <c r="AA95" s="280"/>
      <c r="AB95" s="284"/>
      <c r="AC95" s="284"/>
      <c r="AD95" s="284"/>
      <c r="AE95" s="284"/>
      <c r="AF95" s="284"/>
      <c r="AG95" s="284"/>
      <c r="AH95" s="284"/>
      <c r="AI95" s="284"/>
      <c r="AJ95" s="284"/>
      <c r="AK95" s="284"/>
    </row>
    <row r="96" spans="1:37" s="340" customFormat="1" ht="13.5" customHeight="1" x14ac:dyDescent="0.45">
      <c r="A96" s="336"/>
      <c r="B96" s="337"/>
      <c r="C96" s="284"/>
      <c r="D96" s="362"/>
      <c r="E96" s="363"/>
      <c r="F96" s="344"/>
      <c r="G96" s="364"/>
      <c r="H96" s="280"/>
      <c r="I96" s="365"/>
      <c r="J96" s="280"/>
      <c r="K96" s="280"/>
      <c r="L96" s="280"/>
      <c r="M96" s="280"/>
      <c r="N96" s="280"/>
      <c r="O96" s="280"/>
      <c r="P96" s="280"/>
      <c r="Q96" s="280"/>
      <c r="R96" s="280"/>
      <c r="S96" s="280"/>
      <c r="T96" s="280"/>
      <c r="U96" s="280"/>
      <c r="V96" s="280"/>
      <c r="W96" s="280"/>
      <c r="X96" s="280"/>
      <c r="Y96" s="280"/>
      <c r="Z96" s="280"/>
      <c r="AA96" s="280"/>
      <c r="AB96" s="284"/>
      <c r="AC96" s="284"/>
      <c r="AD96" s="284"/>
      <c r="AE96" s="284"/>
      <c r="AF96" s="284"/>
      <c r="AG96" s="284"/>
      <c r="AH96" s="284"/>
      <c r="AI96" s="284"/>
      <c r="AJ96" s="284"/>
      <c r="AK96" s="284"/>
    </row>
    <row r="97" spans="1:37" s="340" customFormat="1" ht="13.5" customHeight="1" x14ac:dyDescent="0.45">
      <c r="A97" s="337" t="s">
        <v>427</v>
      </c>
      <c r="B97" s="337"/>
      <c r="C97" s="284"/>
      <c r="D97" s="362"/>
      <c r="E97" s="363"/>
      <c r="F97" s="344"/>
      <c r="G97" s="364"/>
      <c r="H97" s="280"/>
      <c r="I97" s="365"/>
      <c r="J97" s="280"/>
      <c r="K97" s="280"/>
      <c r="L97" s="280"/>
      <c r="M97" s="280"/>
      <c r="N97" s="280"/>
      <c r="O97" s="280"/>
      <c r="P97" s="280"/>
      <c r="Q97" s="280"/>
      <c r="R97" s="280"/>
      <c r="S97" s="280"/>
      <c r="T97" s="280"/>
      <c r="U97" s="280"/>
      <c r="V97" s="280"/>
      <c r="W97" s="280"/>
      <c r="X97" s="280"/>
      <c r="Y97" s="280"/>
      <c r="Z97" s="280"/>
      <c r="AA97" s="280"/>
      <c r="AB97" s="284"/>
      <c r="AC97" s="284"/>
      <c r="AD97" s="284"/>
      <c r="AE97" s="284"/>
      <c r="AF97" s="284"/>
      <c r="AG97" s="284"/>
      <c r="AH97" s="284"/>
      <c r="AI97" s="284"/>
      <c r="AJ97" s="284"/>
      <c r="AK97" s="284"/>
    </row>
    <row r="98" spans="1:37" s="340" customFormat="1" ht="13.5" customHeight="1" x14ac:dyDescent="0.45">
      <c r="A98" s="336"/>
      <c r="B98" s="370" t="s">
        <v>428</v>
      </c>
      <c r="C98" s="284"/>
      <c r="D98" s="362"/>
      <c r="E98" s="363"/>
      <c r="F98" s="344"/>
      <c r="G98" s="371">
        <f>1-IF(G94=0,G93,G94)</f>
        <v>0.5</v>
      </c>
      <c r="H98" s="371">
        <f ca="1">G98*(1-IF(H$94=0,H$93,H$94))</f>
        <v>0.5</v>
      </c>
      <c r="I98" s="371">
        <f t="shared" ref="I98:AA98" ca="1" si="20">H98*(1-IF(I$94=0,I$93,I$94))</f>
        <v>0.5</v>
      </c>
      <c r="J98" s="371">
        <f t="shared" ca="1" si="20"/>
        <v>0.5</v>
      </c>
      <c r="K98" s="371">
        <f t="shared" ca="1" si="20"/>
        <v>0.5</v>
      </c>
      <c r="L98" s="371">
        <f t="shared" ca="1" si="20"/>
        <v>0.5</v>
      </c>
      <c r="M98" s="371">
        <f t="shared" ca="1" si="20"/>
        <v>0.5</v>
      </c>
      <c r="N98" s="371">
        <f t="shared" ca="1" si="20"/>
        <v>0.5</v>
      </c>
      <c r="O98" s="371">
        <f t="shared" ca="1" si="20"/>
        <v>0.5</v>
      </c>
      <c r="P98" s="371">
        <f t="shared" ca="1" si="20"/>
        <v>0.5</v>
      </c>
      <c r="Q98" s="371">
        <f t="shared" ca="1" si="20"/>
        <v>0.5</v>
      </c>
      <c r="R98" s="371">
        <f t="shared" ca="1" si="20"/>
        <v>0.5</v>
      </c>
      <c r="S98" s="371">
        <f t="shared" ca="1" si="20"/>
        <v>0.5</v>
      </c>
      <c r="T98" s="371">
        <f t="shared" ca="1" si="20"/>
        <v>0.5</v>
      </c>
      <c r="U98" s="371">
        <f t="shared" ca="1" si="20"/>
        <v>0.5</v>
      </c>
      <c r="V98" s="371">
        <f t="shared" ca="1" si="20"/>
        <v>0.5</v>
      </c>
      <c r="W98" s="371">
        <f t="shared" ca="1" si="20"/>
        <v>0.5</v>
      </c>
      <c r="X98" s="371">
        <f t="shared" ca="1" si="20"/>
        <v>0.5</v>
      </c>
      <c r="Y98" s="371">
        <f t="shared" ca="1" si="20"/>
        <v>0.5</v>
      </c>
      <c r="Z98" s="371">
        <f t="shared" ca="1" si="20"/>
        <v>0.5</v>
      </c>
      <c r="AA98" s="371">
        <f t="shared" ca="1" si="20"/>
        <v>0.5</v>
      </c>
      <c r="AB98" s="284"/>
      <c r="AC98" s="284"/>
      <c r="AD98" s="284"/>
      <c r="AE98" s="284"/>
      <c r="AF98" s="284"/>
      <c r="AG98" s="284"/>
      <c r="AH98" s="284"/>
      <c r="AI98" s="284"/>
      <c r="AJ98" s="284"/>
      <c r="AK98" s="284"/>
    </row>
    <row r="99" spans="1:37" s="340" customFormat="1" ht="13.5" customHeight="1" x14ac:dyDescent="0.45">
      <c r="A99" s="336"/>
      <c r="B99" s="335" t="s">
        <v>421</v>
      </c>
      <c r="C99" s="335"/>
      <c r="D99" s="277"/>
      <c r="E99" s="335"/>
      <c r="F99" s="335"/>
      <c r="G99" s="372">
        <f>G86/G$90*IF(G$94=0,G$93,G$94)</f>
        <v>0</v>
      </c>
      <c r="H99" s="371">
        <f t="shared" ref="H99:AA100" ca="1" si="21">G99*(1-IF(H$94=0,H$93,H$94))+IF(H$90&gt;0,(H86/H$90)*IF(H$94=0,H$93,H$94))</f>
        <v>0</v>
      </c>
      <c r="I99" s="371">
        <f t="shared" ca="1" si="21"/>
        <v>0</v>
      </c>
      <c r="J99" s="371">
        <f t="shared" ca="1" si="21"/>
        <v>0</v>
      </c>
      <c r="K99" s="371">
        <f t="shared" ca="1" si="21"/>
        <v>0</v>
      </c>
      <c r="L99" s="371">
        <f t="shared" ca="1" si="21"/>
        <v>0</v>
      </c>
      <c r="M99" s="371">
        <f t="shared" ca="1" si="21"/>
        <v>0</v>
      </c>
      <c r="N99" s="371">
        <f t="shared" ca="1" si="21"/>
        <v>0</v>
      </c>
      <c r="O99" s="371">
        <f t="shared" ca="1" si="21"/>
        <v>0</v>
      </c>
      <c r="P99" s="371">
        <f t="shared" ca="1" si="21"/>
        <v>0</v>
      </c>
      <c r="Q99" s="371">
        <f t="shared" ca="1" si="21"/>
        <v>0</v>
      </c>
      <c r="R99" s="371">
        <f t="shared" ca="1" si="21"/>
        <v>0</v>
      </c>
      <c r="S99" s="371">
        <f t="shared" ca="1" si="21"/>
        <v>0</v>
      </c>
      <c r="T99" s="371">
        <f t="shared" ca="1" si="21"/>
        <v>0</v>
      </c>
      <c r="U99" s="371">
        <f t="shared" ca="1" si="21"/>
        <v>0</v>
      </c>
      <c r="V99" s="371">
        <f t="shared" ca="1" si="21"/>
        <v>0</v>
      </c>
      <c r="W99" s="371">
        <f t="shared" ca="1" si="21"/>
        <v>0</v>
      </c>
      <c r="X99" s="371">
        <f t="shared" ca="1" si="21"/>
        <v>0</v>
      </c>
      <c r="Y99" s="371">
        <f t="shared" ca="1" si="21"/>
        <v>0</v>
      </c>
      <c r="Z99" s="371">
        <f t="shared" ca="1" si="21"/>
        <v>0</v>
      </c>
      <c r="AA99" s="371">
        <f t="shared" ca="1" si="21"/>
        <v>0</v>
      </c>
      <c r="AB99" s="284"/>
      <c r="AC99" s="284"/>
      <c r="AD99" s="284"/>
      <c r="AE99" s="284"/>
      <c r="AF99" s="284"/>
      <c r="AG99" s="284"/>
      <c r="AH99" s="284"/>
      <c r="AI99" s="284"/>
      <c r="AJ99" s="284"/>
      <c r="AK99" s="284"/>
    </row>
    <row r="100" spans="1:37" s="340" customFormat="1" ht="13.5" customHeight="1" x14ac:dyDescent="0.45">
      <c r="A100" s="336"/>
      <c r="B100" s="335" t="s">
        <v>422</v>
      </c>
      <c r="C100" s="335"/>
      <c r="D100" s="277"/>
      <c r="E100" s="335"/>
      <c r="F100" s="335"/>
      <c r="G100" s="372">
        <f>G87/G$90*IF(G$94=0,G$93,G$94)</f>
        <v>0</v>
      </c>
      <c r="H100" s="371">
        <f t="shared" ca="1" si="21"/>
        <v>0</v>
      </c>
      <c r="I100" s="371">
        <f t="shared" ca="1" si="21"/>
        <v>0</v>
      </c>
      <c r="J100" s="371">
        <f t="shared" ca="1" si="21"/>
        <v>0</v>
      </c>
      <c r="K100" s="371">
        <f t="shared" ca="1" si="21"/>
        <v>0</v>
      </c>
      <c r="L100" s="371">
        <f t="shared" ca="1" si="21"/>
        <v>0</v>
      </c>
      <c r="M100" s="371">
        <f t="shared" ca="1" si="21"/>
        <v>0</v>
      </c>
      <c r="N100" s="371">
        <f t="shared" ca="1" si="21"/>
        <v>0</v>
      </c>
      <c r="O100" s="371">
        <f t="shared" ca="1" si="21"/>
        <v>0</v>
      </c>
      <c r="P100" s="371">
        <f t="shared" ca="1" si="21"/>
        <v>0</v>
      </c>
      <c r="Q100" s="371">
        <f t="shared" ca="1" si="21"/>
        <v>0</v>
      </c>
      <c r="R100" s="371">
        <f t="shared" ca="1" si="21"/>
        <v>0</v>
      </c>
      <c r="S100" s="371">
        <f t="shared" ca="1" si="21"/>
        <v>0</v>
      </c>
      <c r="T100" s="371">
        <f t="shared" ca="1" si="21"/>
        <v>0</v>
      </c>
      <c r="U100" s="371">
        <f t="shared" ca="1" si="21"/>
        <v>0</v>
      </c>
      <c r="V100" s="371">
        <f t="shared" ca="1" si="21"/>
        <v>0</v>
      </c>
      <c r="W100" s="371">
        <f t="shared" ca="1" si="21"/>
        <v>0</v>
      </c>
      <c r="X100" s="371">
        <f t="shared" ca="1" si="21"/>
        <v>0</v>
      </c>
      <c r="Y100" s="371">
        <f t="shared" ca="1" si="21"/>
        <v>0</v>
      </c>
      <c r="Z100" s="371">
        <f t="shared" ca="1" si="21"/>
        <v>0</v>
      </c>
      <c r="AA100" s="371">
        <f t="shared" ca="1" si="21"/>
        <v>0</v>
      </c>
      <c r="AB100" s="284"/>
      <c r="AC100" s="284"/>
      <c r="AD100" s="284"/>
      <c r="AE100" s="284"/>
      <c r="AF100" s="284"/>
      <c r="AG100" s="284"/>
      <c r="AH100" s="284"/>
      <c r="AI100" s="284"/>
      <c r="AJ100" s="284"/>
      <c r="AK100" s="284"/>
    </row>
    <row r="101" spans="1:37" s="340" customFormat="1" ht="13.5" customHeight="1" x14ac:dyDescent="0.45">
      <c r="A101" s="336"/>
      <c r="B101" s="335" t="s">
        <v>423</v>
      </c>
      <c r="C101" s="335"/>
      <c r="D101" s="277"/>
      <c r="E101" s="335"/>
      <c r="F101" s="335"/>
      <c r="AB101" s="284"/>
      <c r="AC101" s="284"/>
      <c r="AD101" s="284"/>
      <c r="AE101" s="284"/>
      <c r="AF101" s="284"/>
      <c r="AG101" s="284"/>
      <c r="AH101" s="284"/>
      <c r="AI101" s="284"/>
      <c r="AJ101" s="284"/>
      <c r="AK101" s="284"/>
    </row>
    <row r="102" spans="1:37" s="340" customFormat="1" ht="13.5" customHeight="1" x14ac:dyDescent="0.45">
      <c r="A102" s="336"/>
      <c r="B102" s="335"/>
      <c r="C102" s="335" t="s">
        <v>429</v>
      </c>
      <c r="D102" s="277"/>
      <c r="E102" s="335"/>
      <c r="F102" s="335"/>
      <c r="G102" s="372">
        <f>G88/G$90*IF(G$94=0,G$93,G$94)</f>
        <v>0.5</v>
      </c>
      <c r="H102" s="373">
        <f ca="1">G102*(1-IF(H$94=0,H$93,H$94))</f>
        <v>0.5</v>
      </c>
      <c r="I102" s="373">
        <f ca="1">H102*(1-IF(I$94=0,I$93,I$94))</f>
        <v>0.5</v>
      </c>
      <c r="J102" s="373">
        <f ca="1">I102*(1-IF(J$94=0,J$93,J$94))</f>
        <v>0.5</v>
      </c>
      <c r="K102" s="373">
        <f t="shared" ref="K102:AA102" ca="1" si="22">J102*(1-IF(K$94=0,K$93,K$94))</f>
        <v>0.5</v>
      </c>
      <c r="L102" s="373">
        <f t="shared" ca="1" si="22"/>
        <v>0.5</v>
      </c>
      <c r="M102" s="373">
        <f t="shared" ca="1" si="22"/>
        <v>0.5</v>
      </c>
      <c r="N102" s="373">
        <f t="shared" ca="1" si="22"/>
        <v>0.5</v>
      </c>
      <c r="O102" s="373">
        <f t="shared" ca="1" si="22"/>
        <v>0.5</v>
      </c>
      <c r="P102" s="373">
        <f t="shared" ca="1" si="22"/>
        <v>0.5</v>
      </c>
      <c r="Q102" s="373">
        <f t="shared" ca="1" si="22"/>
        <v>0.5</v>
      </c>
      <c r="R102" s="373">
        <f t="shared" ca="1" si="22"/>
        <v>0.5</v>
      </c>
      <c r="S102" s="373">
        <f t="shared" ca="1" si="22"/>
        <v>0.5</v>
      </c>
      <c r="T102" s="373">
        <f t="shared" ca="1" si="22"/>
        <v>0.5</v>
      </c>
      <c r="U102" s="373">
        <f t="shared" ca="1" si="22"/>
        <v>0.5</v>
      </c>
      <c r="V102" s="373">
        <f t="shared" ca="1" si="22"/>
        <v>0.5</v>
      </c>
      <c r="W102" s="373">
        <f t="shared" ca="1" si="22"/>
        <v>0.5</v>
      </c>
      <c r="X102" s="373">
        <f t="shared" ca="1" si="22"/>
        <v>0.5</v>
      </c>
      <c r="Y102" s="373">
        <f t="shared" ca="1" si="22"/>
        <v>0.5</v>
      </c>
      <c r="Z102" s="373">
        <f t="shared" ca="1" si="22"/>
        <v>0.5</v>
      </c>
      <c r="AA102" s="373">
        <f t="shared" ca="1" si="22"/>
        <v>0.5</v>
      </c>
      <c r="AB102" s="284"/>
      <c r="AC102" s="284"/>
      <c r="AD102" s="284"/>
      <c r="AE102" s="284"/>
      <c r="AF102" s="284"/>
      <c r="AG102" s="284"/>
      <c r="AH102" s="284"/>
      <c r="AI102" s="284"/>
      <c r="AJ102" s="284"/>
      <c r="AK102" s="284"/>
    </row>
    <row r="103" spans="1:37" s="340" customFormat="1" ht="13.5" customHeight="1" x14ac:dyDescent="0.45">
      <c r="A103" s="336"/>
      <c r="B103" s="335"/>
      <c r="C103" s="335" t="s">
        <v>430</v>
      </c>
      <c r="D103" s="277"/>
      <c r="E103" s="335"/>
      <c r="F103" s="335"/>
      <c r="G103" s="373">
        <f>IF(F102=0,0,F103*(1-IF(G$94=0,G$93,G$94))+IF(F103&gt;0,0,IF(G$90&gt;0,(G$88/G$90)*IF(G$94=0,G$93,G$94))))</f>
        <v>0</v>
      </c>
      <c r="H103" s="373">
        <f t="shared" ref="H103:AA103" ca="1" si="23">IF(G102=0,0,G103*(1-IF(H$94=0,H$93,H$94))+IF(G103&gt;0,0,IF(H$90&gt;0,(H$88/H$90)*IF(H$94=0,H$93,H$94))))</f>
        <v>0</v>
      </c>
      <c r="I103" s="373">
        <f t="shared" ca="1" si="23"/>
        <v>0</v>
      </c>
      <c r="J103" s="373">
        <f t="shared" ca="1" si="23"/>
        <v>0</v>
      </c>
      <c r="K103" s="373">
        <f t="shared" ca="1" si="23"/>
        <v>0</v>
      </c>
      <c r="L103" s="373">
        <f t="shared" ca="1" si="23"/>
        <v>0</v>
      </c>
      <c r="M103" s="373">
        <f t="shared" ca="1" si="23"/>
        <v>0</v>
      </c>
      <c r="N103" s="373">
        <f t="shared" ca="1" si="23"/>
        <v>0</v>
      </c>
      <c r="O103" s="373">
        <f t="shared" ca="1" si="23"/>
        <v>0</v>
      </c>
      <c r="P103" s="373">
        <f t="shared" ca="1" si="23"/>
        <v>0</v>
      </c>
      <c r="Q103" s="373">
        <f t="shared" ca="1" si="23"/>
        <v>0</v>
      </c>
      <c r="R103" s="373">
        <f t="shared" ca="1" si="23"/>
        <v>0</v>
      </c>
      <c r="S103" s="373">
        <f t="shared" ca="1" si="23"/>
        <v>0</v>
      </c>
      <c r="T103" s="373">
        <f t="shared" ca="1" si="23"/>
        <v>0</v>
      </c>
      <c r="U103" s="373">
        <f t="shared" ca="1" si="23"/>
        <v>0</v>
      </c>
      <c r="V103" s="373">
        <f t="shared" ca="1" si="23"/>
        <v>0</v>
      </c>
      <c r="W103" s="373">
        <f t="shared" ca="1" si="23"/>
        <v>0</v>
      </c>
      <c r="X103" s="373">
        <f t="shared" ca="1" si="23"/>
        <v>0</v>
      </c>
      <c r="Y103" s="373">
        <f t="shared" ca="1" si="23"/>
        <v>0</v>
      </c>
      <c r="Z103" s="373">
        <f t="shared" ca="1" si="23"/>
        <v>0</v>
      </c>
      <c r="AA103" s="373">
        <f t="shared" ca="1" si="23"/>
        <v>0</v>
      </c>
      <c r="AB103" s="284"/>
      <c r="AC103" s="284"/>
      <c r="AD103" s="284"/>
      <c r="AE103" s="284"/>
      <c r="AF103" s="284"/>
      <c r="AG103" s="284"/>
      <c r="AH103" s="284"/>
      <c r="AI103" s="284"/>
      <c r="AJ103" s="284"/>
      <c r="AK103" s="284"/>
    </row>
    <row r="104" spans="1:37" s="340" customFormat="1" ht="13.5" customHeight="1" x14ac:dyDescent="0.45">
      <c r="A104" s="336"/>
      <c r="B104" s="335"/>
      <c r="C104" s="335" t="s">
        <v>431</v>
      </c>
      <c r="D104" s="277"/>
      <c r="E104" s="335"/>
      <c r="F104" s="335"/>
      <c r="G104" s="373">
        <f t="shared" ref="G104:AA104" si="24">IF(F103=0,0,F104*(1-IF(G$94=0,G$93,G$94))+IF(F104&gt;0,0,IF(G$90&gt;0,(G$88/G$90)*IF(G$94=0,G$93,G$94))))</f>
        <v>0</v>
      </c>
      <c r="H104" s="373">
        <f t="shared" si="24"/>
        <v>0</v>
      </c>
      <c r="I104" s="373">
        <f t="shared" ca="1" si="24"/>
        <v>0</v>
      </c>
      <c r="J104" s="373">
        <f t="shared" ca="1" si="24"/>
        <v>0</v>
      </c>
      <c r="K104" s="373">
        <f t="shared" ca="1" si="24"/>
        <v>0</v>
      </c>
      <c r="L104" s="373">
        <f t="shared" ca="1" si="24"/>
        <v>0</v>
      </c>
      <c r="M104" s="373">
        <f t="shared" ca="1" si="24"/>
        <v>0</v>
      </c>
      <c r="N104" s="373">
        <f t="shared" ca="1" si="24"/>
        <v>0</v>
      </c>
      <c r="O104" s="373">
        <f t="shared" ca="1" si="24"/>
        <v>0</v>
      </c>
      <c r="P104" s="373">
        <f t="shared" ca="1" si="24"/>
        <v>0</v>
      </c>
      <c r="Q104" s="373">
        <f t="shared" ca="1" si="24"/>
        <v>0</v>
      </c>
      <c r="R104" s="373">
        <f t="shared" ca="1" si="24"/>
        <v>0</v>
      </c>
      <c r="S104" s="373">
        <f t="shared" ca="1" si="24"/>
        <v>0</v>
      </c>
      <c r="T104" s="373">
        <f t="shared" ca="1" si="24"/>
        <v>0</v>
      </c>
      <c r="U104" s="373">
        <f t="shared" ca="1" si="24"/>
        <v>0</v>
      </c>
      <c r="V104" s="373">
        <f t="shared" ca="1" si="24"/>
        <v>0</v>
      </c>
      <c r="W104" s="373">
        <f t="shared" ca="1" si="24"/>
        <v>0</v>
      </c>
      <c r="X104" s="373">
        <f t="shared" ca="1" si="24"/>
        <v>0</v>
      </c>
      <c r="Y104" s="373">
        <f t="shared" ca="1" si="24"/>
        <v>0</v>
      </c>
      <c r="Z104" s="373">
        <f t="shared" ca="1" si="24"/>
        <v>0</v>
      </c>
      <c r="AA104" s="373">
        <f t="shared" ca="1" si="24"/>
        <v>0</v>
      </c>
      <c r="AB104" s="284"/>
      <c r="AC104" s="284"/>
      <c r="AD104" s="284"/>
      <c r="AE104" s="284"/>
      <c r="AF104" s="284"/>
      <c r="AG104" s="284"/>
      <c r="AH104" s="284"/>
      <c r="AI104" s="284"/>
      <c r="AJ104" s="284"/>
      <c r="AK104" s="284"/>
    </row>
    <row r="105" spans="1:37" s="340" customFormat="1" ht="13.5" customHeight="1" x14ac:dyDescent="0.45">
      <c r="A105" s="336"/>
      <c r="B105" s="335"/>
      <c r="C105" s="335" t="s">
        <v>388</v>
      </c>
      <c r="D105" s="277"/>
      <c r="E105" s="335"/>
      <c r="F105" s="335"/>
      <c r="G105" s="373">
        <f t="shared" ref="G105:M105" si="25">IF(F104=0,0,F105*(1-IF(G$94=0,G$93,G$94))+IF(G$90&gt;0,(G$88/G$90)*IF(G$94=0,G$93,G$94)))</f>
        <v>0</v>
      </c>
      <c r="H105" s="373">
        <f t="shared" si="25"/>
        <v>0</v>
      </c>
      <c r="I105" s="373">
        <f t="shared" si="25"/>
        <v>0</v>
      </c>
      <c r="J105" s="373">
        <f t="shared" ca="1" si="25"/>
        <v>0</v>
      </c>
      <c r="K105" s="373">
        <f t="shared" ca="1" si="25"/>
        <v>0</v>
      </c>
      <c r="L105" s="373">
        <f t="shared" ca="1" si="25"/>
        <v>0</v>
      </c>
      <c r="M105" s="373">
        <f t="shared" ca="1" si="25"/>
        <v>0</v>
      </c>
      <c r="N105" s="373">
        <f ca="1">IF(M104=0,0,M105*(1-IF(N$94=0,N$93,N$94))+IF(N$90&gt;0,(N$88/N$90)*IF(N$94=0,N$93,N$94)))</f>
        <v>0</v>
      </c>
      <c r="O105" s="373">
        <f t="shared" ref="O105:AA105" ca="1" si="26">IF(N104=0,0,N105*(1-IF(O$94=0,O$93,O$94))+IF(O$90&gt;0,(O$88/O$90)*IF(O$94=0,O$93,O$94)))</f>
        <v>0</v>
      </c>
      <c r="P105" s="373">
        <f t="shared" ca="1" si="26"/>
        <v>0</v>
      </c>
      <c r="Q105" s="373">
        <f t="shared" ca="1" si="26"/>
        <v>0</v>
      </c>
      <c r="R105" s="373">
        <f t="shared" ca="1" si="26"/>
        <v>0</v>
      </c>
      <c r="S105" s="373">
        <f t="shared" ca="1" si="26"/>
        <v>0</v>
      </c>
      <c r="T105" s="373">
        <f t="shared" ca="1" si="26"/>
        <v>0</v>
      </c>
      <c r="U105" s="373">
        <f t="shared" ca="1" si="26"/>
        <v>0</v>
      </c>
      <c r="V105" s="373">
        <f t="shared" ca="1" si="26"/>
        <v>0</v>
      </c>
      <c r="W105" s="373">
        <f t="shared" ca="1" si="26"/>
        <v>0</v>
      </c>
      <c r="X105" s="373">
        <f t="shared" ca="1" si="26"/>
        <v>0</v>
      </c>
      <c r="Y105" s="373">
        <f t="shared" ca="1" si="26"/>
        <v>0</v>
      </c>
      <c r="Z105" s="373">
        <f t="shared" ca="1" si="26"/>
        <v>0</v>
      </c>
      <c r="AA105" s="373">
        <f t="shared" ca="1" si="26"/>
        <v>0</v>
      </c>
      <c r="AB105" s="284"/>
      <c r="AC105" s="284"/>
      <c r="AD105" s="284"/>
      <c r="AE105" s="284"/>
      <c r="AF105" s="284"/>
      <c r="AG105" s="284"/>
      <c r="AH105" s="284"/>
      <c r="AI105" s="284"/>
      <c r="AJ105" s="284"/>
      <c r="AK105" s="284"/>
    </row>
    <row r="106" spans="1:37" s="340" customFormat="1" ht="13.5" customHeight="1" x14ac:dyDescent="0.45">
      <c r="A106" s="336"/>
      <c r="B106" s="335"/>
      <c r="C106" s="335"/>
      <c r="D106" s="277"/>
      <c r="E106" s="335"/>
      <c r="F106" s="335"/>
      <c r="G106" s="374" t="s">
        <v>22</v>
      </c>
      <c r="H106" s="374" t="s">
        <v>22</v>
      </c>
      <c r="I106" s="374" t="s">
        <v>22</v>
      </c>
      <c r="J106" s="374" t="s">
        <v>22</v>
      </c>
      <c r="K106" s="374" t="s">
        <v>22</v>
      </c>
      <c r="L106" s="374" t="s">
        <v>22</v>
      </c>
      <c r="M106" s="374" t="s">
        <v>22</v>
      </c>
      <c r="N106" s="374" t="s">
        <v>22</v>
      </c>
      <c r="O106" s="374" t="s">
        <v>22</v>
      </c>
      <c r="P106" s="374" t="s">
        <v>22</v>
      </c>
      <c r="Q106" s="374" t="s">
        <v>22</v>
      </c>
      <c r="R106" s="374" t="s">
        <v>22</v>
      </c>
      <c r="S106" s="374" t="s">
        <v>22</v>
      </c>
      <c r="T106" s="374" t="s">
        <v>22</v>
      </c>
      <c r="U106" s="374" t="s">
        <v>22</v>
      </c>
      <c r="V106" s="374" t="s">
        <v>22</v>
      </c>
      <c r="W106" s="374" t="s">
        <v>22</v>
      </c>
      <c r="X106" s="374" t="s">
        <v>22</v>
      </c>
      <c r="Y106" s="374" t="s">
        <v>22</v>
      </c>
      <c r="Z106" s="374" t="s">
        <v>22</v>
      </c>
      <c r="AA106" s="374" t="s">
        <v>22</v>
      </c>
      <c r="AB106" s="284"/>
      <c r="AC106" s="284"/>
      <c r="AD106" s="284"/>
      <c r="AE106" s="284"/>
      <c r="AF106" s="284"/>
      <c r="AG106" s="284"/>
      <c r="AH106" s="284"/>
      <c r="AI106" s="284"/>
      <c r="AJ106" s="284"/>
      <c r="AK106" s="284"/>
    </row>
    <row r="107" spans="1:37" s="340" customFormat="1" ht="13.5" customHeight="1" x14ac:dyDescent="0.45">
      <c r="A107" s="336"/>
      <c r="B107" s="335" t="s">
        <v>399</v>
      </c>
      <c r="C107" s="335"/>
      <c r="D107" s="277"/>
      <c r="E107" s="335"/>
      <c r="F107" s="335"/>
      <c r="G107" s="372">
        <f>SUM(G98:G106)</f>
        <v>1</v>
      </c>
      <c r="H107" s="372">
        <f ca="1">SUM(H98:H106)</f>
        <v>1</v>
      </c>
      <c r="I107" s="372">
        <f t="shared" ref="I107:AA107" ca="1" si="27">SUM(I98:I106)</f>
        <v>1</v>
      </c>
      <c r="J107" s="372">
        <f t="shared" ca="1" si="27"/>
        <v>1</v>
      </c>
      <c r="K107" s="372">
        <f t="shared" ca="1" si="27"/>
        <v>1</v>
      </c>
      <c r="L107" s="372">
        <f t="shared" ca="1" si="27"/>
        <v>1</v>
      </c>
      <c r="M107" s="372">
        <f t="shared" ca="1" si="27"/>
        <v>1</v>
      </c>
      <c r="N107" s="372">
        <f t="shared" ca="1" si="27"/>
        <v>1</v>
      </c>
      <c r="O107" s="372">
        <f t="shared" ca="1" si="27"/>
        <v>1</v>
      </c>
      <c r="P107" s="372">
        <f t="shared" ca="1" si="27"/>
        <v>1</v>
      </c>
      <c r="Q107" s="372">
        <f t="shared" ca="1" si="27"/>
        <v>1</v>
      </c>
      <c r="R107" s="372">
        <f t="shared" ca="1" si="27"/>
        <v>1</v>
      </c>
      <c r="S107" s="372">
        <f t="shared" ca="1" si="27"/>
        <v>1</v>
      </c>
      <c r="T107" s="372">
        <f t="shared" ca="1" si="27"/>
        <v>1</v>
      </c>
      <c r="U107" s="372">
        <f t="shared" ca="1" si="27"/>
        <v>1</v>
      </c>
      <c r="V107" s="372">
        <f t="shared" ca="1" si="27"/>
        <v>1</v>
      </c>
      <c r="W107" s="372">
        <f t="shared" ca="1" si="27"/>
        <v>1</v>
      </c>
      <c r="X107" s="372">
        <f t="shared" ca="1" si="27"/>
        <v>1</v>
      </c>
      <c r="Y107" s="372">
        <f t="shared" ca="1" si="27"/>
        <v>1</v>
      </c>
      <c r="Z107" s="372">
        <f t="shared" ca="1" si="27"/>
        <v>1</v>
      </c>
      <c r="AA107" s="372">
        <f t="shared" ca="1" si="27"/>
        <v>1</v>
      </c>
      <c r="AB107" s="284"/>
      <c r="AC107" s="284"/>
      <c r="AD107" s="284"/>
      <c r="AE107" s="284"/>
      <c r="AF107" s="284"/>
      <c r="AG107" s="284"/>
      <c r="AH107" s="284"/>
      <c r="AI107" s="284"/>
      <c r="AJ107" s="284"/>
      <c r="AK107" s="284"/>
    </row>
    <row r="108" spans="1:37" s="340" customFormat="1" ht="13.5" customHeight="1" x14ac:dyDescent="0.45">
      <c r="A108" s="336"/>
      <c r="B108" s="335" t="s">
        <v>432</v>
      </c>
      <c r="C108" s="335"/>
      <c r="D108" s="277"/>
      <c r="E108" s="335"/>
      <c r="F108" s="335"/>
      <c r="G108" s="375">
        <f>G88/G$90*IF(G$94=0,G$93,G$94)</f>
        <v>0.5</v>
      </c>
      <c r="H108" s="373">
        <f t="shared" ref="H108:AA108" ca="1" si="28">G108*(1-IF(H$94=0,H$93,H$94))+IF(H$90&gt;0,(H88/H$90)*IF(H$94=0,H$93,H$94))</f>
        <v>0.5</v>
      </c>
      <c r="I108" s="371">
        <f t="shared" ca="1" si="28"/>
        <v>0.5</v>
      </c>
      <c r="J108" s="371">
        <f t="shared" ca="1" si="28"/>
        <v>0.5</v>
      </c>
      <c r="K108" s="371">
        <f t="shared" ca="1" si="28"/>
        <v>0.5</v>
      </c>
      <c r="L108" s="371">
        <f t="shared" ca="1" si="28"/>
        <v>0.5</v>
      </c>
      <c r="M108" s="371">
        <f t="shared" ca="1" si="28"/>
        <v>0.5</v>
      </c>
      <c r="N108" s="371">
        <f t="shared" ca="1" si="28"/>
        <v>0.5</v>
      </c>
      <c r="O108" s="371">
        <f t="shared" ca="1" si="28"/>
        <v>0.5</v>
      </c>
      <c r="P108" s="371">
        <f t="shared" ca="1" si="28"/>
        <v>0.5</v>
      </c>
      <c r="Q108" s="371">
        <f t="shared" ca="1" si="28"/>
        <v>0.5</v>
      </c>
      <c r="R108" s="371">
        <f t="shared" ca="1" si="28"/>
        <v>0.5</v>
      </c>
      <c r="S108" s="371">
        <f t="shared" ca="1" si="28"/>
        <v>0.5</v>
      </c>
      <c r="T108" s="371">
        <f t="shared" ca="1" si="28"/>
        <v>0.5</v>
      </c>
      <c r="U108" s="371">
        <f t="shared" ca="1" si="28"/>
        <v>0.5</v>
      </c>
      <c r="V108" s="371">
        <f t="shared" ca="1" si="28"/>
        <v>0.5</v>
      </c>
      <c r="W108" s="371">
        <f t="shared" ca="1" si="28"/>
        <v>0.5</v>
      </c>
      <c r="X108" s="371">
        <f t="shared" ca="1" si="28"/>
        <v>0.5</v>
      </c>
      <c r="Y108" s="371">
        <f t="shared" ca="1" si="28"/>
        <v>0.5</v>
      </c>
      <c r="Z108" s="371">
        <f t="shared" ca="1" si="28"/>
        <v>0.5</v>
      </c>
      <c r="AA108" s="371">
        <f t="shared" ca="1" si="28"/>
        <v>0.5</v>
      </c>
      <c r="AB108" s="284"/>
      <c r="AC108" s="284"/>
      <c r="AD108" s="284"/>
      <c r="AE108" s="284"/>
      <c r="AF108" s="284"/>
      <c r="AG108" s="284"/>
      <c r="AH108" s="284"/>
      <c r="AI108" s="284"/>
      <c r="AJ108" s="284"/>
      <c r="AK108" s="284"/>
    </row>
    <row r="109" spans="1:37" s="340" customFormat="1" ht="13.5" customHeight="1" x14ac:dyDescent="0.45">
      <c r="A109" s="336"/>
      <c r="B109" s="335" t="s">
        <v>52</v>
      </c>
      <c r="C109" s="335"/>
      <c r="D109" s="277"/>
      <c r="E109" s="335"/>
      <c r="F109" s="335"/>
      <c r="G109" s="372">
        <f t="shared" ref="G109:L109" si="29">G108-SUM(G101:G106)</f>
        <v>0</v>
      </c>
      <c r="H109" s="372">
        <f t="shared" ca="1" si="29"/>
        <v>0</v>
      </c>
      <c r="I109" s="372">
        <f t="shared" ca="1" si="29"/>
        <v>0</v>
      </c>
      <c r="J109" s="372">
        <f t="shared" ca="1" si="29"/>
        <v>0</v>
      </c>
      <c r="K109" s="372">
        <f t="shared" ca="1" si="29"/>
        <v>0</v>
      </c>
      <c r="L109" s="372">
        <f t="shared" ca="1" si="29"/>
        <v>0</v>
      </c>
      <c r="M109" s="372">
        <f ca="1">M108-SUM(M101:M106)</f>
        <v>0</v>
      </c>
      <c r="N109" s="372">
        <f t="shared" ref="N109:AA109" ca="1" si="30">N108-SUM(N101:N106)</f>
        <v>0</v>
      </c>
      <c r="O109" s="372">
        <f t="shared" ca="1" si="30"/>
        <v>0</v>
      </c>
      <c r="P109" s="372">
        <f t="shared" ca="1" si="30"/>
        <v>0</v>
      </c>
      <c r="Q109" s="372">
        <f t="shared" ca="1" si="30"/>
        <v>0</v>
      </c>
      <c r="R109" s="372">
        <f t="shared" ca="1" si="30"/>
        <v>0</v>
      </c>
      <c r="S109" s="372">
        <f t="shared" ca="1" si="30"/>
        <v>0</v>
      </c>
      <c r="T109" s="372">
        <f t="shared" ca="1" si="30"/>
        <v>0</v>
      </c>
      <c r="U109" s="372">
        <f t="shared" ca="1" si="30"/>
        <v>0</v>
      </c>
      <c r="V109" s="372">
        <f t="shared" ca="1" si="30"/>
        <v>0</v>
      </c>
      <c r="W109" s="372">
        <f t="shared" ca="1" si="30"/>
        <v>0</v>
      </c>
      <c r="X109" s="372">
        <f t="shared" ca="1" si="30"/>
        <v>0</v>
      </c>
      <c r="Y109" s="372">
        <f t="shared" ca="1" si="30"/>
        <v>0</v>
      </c>
      <c r="Z109" s="372">
        <f t="shared" ca="1" si="30"/>
        <v>0</v>
      </c>
      <c r="AA109" s="372">
        <f t="shared" ca="1" si="30"/>
        <v>0</v>
      </c>
      <c r="AB109" s="284"/>
      <c r="AC109" s="284"/>
      <c r="AD109" s="284"/>
      <c r="AE109" s="284"/>
      <c r="AF109" s="284"/>
      <c r="AG109" s="284"/>
      <c r="AH109" s="284"/>
      <c r="AI109" s="284"/>
      <c r="AJ109" s="284"/>
      <c r="AK109" s="284"/>
    </row>
    <row r="110" spans="1:37" s="340" customFormat="1" ht="13.5" customHeight="1" x14ac:dyDescent="0.45">
      <c r="A110" s="336"/>
      <c r="B110" s="335"/>
      <c r="C110" s="335"/>
      <c r="D110" s="277"/>
      <c r="E110" s="335"/>
      <c r="F110" s="335"/>
      <c r="G110" s="372"/>
      <c r="H110" s="372"/>
      <c r="I110" s="372"/>
      <c r="J110" s="372"/>
      <c r="K110" s="372"/>
      <c r="L110" s="372"/>
      <c r="M110" s="372"/>
      <c r="N110" s="372"/>
      <c r="O110" s="372"/>
      <c r="P110" s="372"/>
      <c r="Q110" s="372"/>
      <c r="R110" s="372"/>
      <c r="S110" s="372"/>
      <c r="T110" s="372"/>
      <c r="U110" s="372"/>
      <c r="V110" s="372"/>
      <c r="W110" s="372"/>
      <c r="X110" s="372"/>
      <c r="Y110" s="372"/>
      <c r="Z110" s="372"/>
      <c r="AA110" s="372"/>
      <c r="AB110" s="284"/>
      <c r="AC110" s="284"/>
      <c r="AD110" s="284"/>
      <c r="AE110" s="284"/>
      <c r="AF110" s="284"/>
      <c r="AG110" s="284"/>
      <c r="AH110" s="284"/>
      <c r="AI110" s="284"/>
      <c r="AJ110" s="284"/>
      <c r="AK110" s="284"/>
    </row>
    <row r="111" spans="1:37" s="340" customFormat="1" ht="13.5" customHeight="1" x14ac:dyDescent="0.45">
      <c r="A111" s="337" t="s">
        <v>433</v>
      </c>
      <c r="B111" s="335"/>
      <c r="C111" s="335"/>
      <c r="D111" s="277"/>
      <c r="E111" s="376"/>
      <c r="F111" s="335"/>
      <c r="G111" s="372"/>
      <c r="H111" s="372"/>
      <c r="I111" s="372"/>
      <c r="J111" s="372"/>
      <c r="K111" s="372"/>
      <c r="L111" s="372"/>
      <c r="M111" s="372"/>
      <c r="N111" s="372"/>
      <c r="O111" s="372"/>
      <c r="P111" s="372"/>
      <c r="Q111" s="372"/>
      <c r="R111" s="372"/>
      <c r="S111" s="372"/>
      <c r="T111" s="372"/>
      <c r="U111" s="372"/>
      <c r="V111" s="372"/>
      <c r="W111" s="372"/>
      <c r="X111" s="372"/>
      <c r="Y111" s="372"/>
      <c r="Z111" s="372"/>
      <c r="AA111" s="372"/>
      <c r="AB111" s="284"/>
      <c r="AC111" s="284"/>
      <c r="AD111" s="284"/>
      <c r="AE111" s="284"/>
      <c r="AF111" s="284"/>
      <c r="AG111" s="284"/>
      <c r="AH111" s="284"/>
      <c r="AI111" s="284"/>
      <c r="AJ111" s="284"/>
      <c r="AK111" s="284"/>
    </row>
    <row r="112" spans="1:37" s="340" customFormat="1" ht="13.5" customHeight="1" x14ac:dyDescent="0.45">
      <c r="A112" s="336"/>
      <c r="B112" s="335"/>
      <c r="C112" s="335"/>
      <c r="D112" s="377"/>
      <c r="E112" s="378" t="s">
        <v>99</v>
      </c>
      <c r="F112" s="379" t="s">
        <v>434</v>
      </c>
      <c r="H112" s="280"/>
      <c r="I112" s="372"/>
      <c r="J112" s="372"/>
      <c r="K112" s="372"/>
      <c r="L112" s="372"/>
      <c r="M112" s="372"/>
      <c r="N112" s="372"/>
      <c r="O112" s="372"/>
      <c r="P112" s="372"/>
      <c r="Q112" s="372"/>
      <c r="R112" s="372"/>
      <c r="S112" s="372"/>
      <c r="T112" s="372"/>
      <c r="U112" s="372"/>
      <c r="V112" s="372"/>
      <c r="W112" s="372"/>
      <c r="X112" s="372"/>
      <c r="Y112" s="372"/>
      <c r="Z112" s="372"/>
      <c r="AA112" s="372"/>
      <c r="AB112" s="284"/>
      <c r="AC112" s="284"/>
      <c r="AD112" s="284"/>
      <c r="AE112" s="284"/>
      <c r="AF112" s="284"/>
      <c r="AG112" s="284"/>
      <c r="AH112" s="284"/>
      <c r="AI112" s="284"/>
      <c r="AJ112" s="284"/>
      <c r="AK112" s="284"/>
    </row>
    <row r="113" spans="1:37" s="340" customFormat="1" ht="13.5" customHeight="1" x14ac:dyDescent="0.45">
      <c r="A113" s="362" t="s">
        <v>435</v>
      </c>
      <c r="B113" s="335"/>
      <c r="D113" s="377"/>
      <c r="E113" s="380">
        <f ca="1">F82</f>
        <v>23894583.538815647</v>
      </c>
      <c r="F113" s="379">
        <f ca="1">F83</f>
        <v>24688677.667729184</v>
      </c>
      <c r="H113" s="280"/>
      <c r="I113" s="372"/>
      <c r="J113" s="372"/>
      <c r="K113" s="372"/>
      <c r="L113" s="372"/>
      <c r="M113" s="372"/>
      <c r="N113" s="372"/>
      <c r="O113" s="372"/>
      <c r="P113" s="372"/>
      <c r="Q113" s="372"/>
      <c r="R113" s="372"/>
      <c r="S113" s="372"/>
      <c r="T113" s="372"/>
      <c r="U113" s="372"/>
      <c r="V113" s="372"/>
      <c r="W113" s="372"/>
      <c r="X113" s="372"/>
      <c r="Y113" s="372"/>
      <c r="Z113" s="372"/>
      <c r="AA113" s="372"/>
      <c r="AB113" s="284"/>
      <c r="AC113" s="284"/>
      <c r="AD113" s="284"/>
      <c r="AE113" s="284"/>
      <c r="AF113" s="284"/>
      <c r="AG113" s="284"/>
      <c r="AH113" s="284"/>
      <c r="AI113" s="284"/>
      <c r="AJ113" s="284"/>
      <c r="AK113" s="284"/>
    </row>
    <row r="114" spans="1:37" s="340" customFormat="1" ht="13.5" customHeight="1" x14ac:dyDescent="0.45">
      <c r="A114" s="370"/>
      <c r="B114" s="335"/>
      <c r="D114" s="377"/>
      <c r="E114" s="380"/>
      <c r="F114" s="379"/>
      <c r="H114" s="280"/>
      <c r="I114" s="372"/>
      <c r="J114" s="372"/>
      <c r="K114" s="372"/>
      <c r="L114" s="372"/>
      <c r="M114" s="372"/>
      <c r="N114" s="372"/>
      <c r="O114" s="372"/>
      <c r="P114" s="372"/>
      <c r="Q114" s="372"/>
      <c r="R114" s="372"/>
      <c r="S114" s="372"/>
      <c r="T114" s="372"/>
      <c r="U114" s="372"/>
      <c r="V114" s="372"/>
      <c r="W114" s="372"/>
      <c r="X114" s="372"/>
      <c r="Y114" s="372"/>
      <c r="Z114" s="372"/>
      <c r="AA114" s="372"/>
      <c r="AB114" s="284"/>
      <c r="AC114" s="284"/>
      <c r="AD114" s="284"/>
      <c r="AE114" s="284"/>
      <c r="AF114" s="284"/>
      <c r="AG114" s="284"/>
      <c r="AH114" s="284"/>
      <c r="AI114" s="284"/>
      <c r="AJ114" s="284"/>
      <c r="AK114" s="284"/>
    </row>
    <row r="115" spans="1:37" s="340" customFormat="1" ht="13.5" customHeight="1" x14ac:dyDescent="0.45">
      <c r="A115" s="433" t="s">
        <v>101</v>
      </c>
      <c r="B115" s="277"/>
      <c r="D115" s="377"/>
      <c r="E115" s="381">
        <f ca="1">OFFSET('Financial Overview'!G317,,$F$73)-OFFSET('Financial Overview'!G303,,$F$73)</f>
        <v>-10371977.065185256</v>
      </c>
      <c r="F115" s="381">
        <f ca="1">OFFSET('Financial Overview'!G317,,$F$73)-OFFSET('Financial Overview'!G303,,$F$73)</f>
        <v>-10371977.065185256</v>
      </c>
      <c r="H115" s="280"/>
      <c r="I115" s="372"/>
      <c r="J115" s="372"/>
      <c r="K115" s="372"/>
      <c r="L115" s="372"/>
      <c r="M115" s="372"/>
      <c r="N115" s="372"/>
      <c r="O115" s="372"/>
      <c r="P115" s="372"/>
      <c r="Q115" s="372"/>
      <c r="R115" s="372"/>
      <c r="S115" s="372"/>
      <c r="T115" s="372"/>
      <c r="U115" s="372"/>
      <c r="V115" s="372"/>
      <c r="W115" s="372"/>
      <c r="X115" s="372"/>
      <c r="Y115" s="372"/>
      <c r="Z115" s="372"/>
      <c r="AA115" s="372"/>
      <c r="AB115" s="284"/>
      <c r="AC115" s="284"/>
      <c r="AD115" s="284"/>
      <c r="AE115" s="284"/>
      <c r="AF115" s="284"/>
      <c r="AG115" s="284"/>
      <c r="AH115" s="284"/>
      <c r="AI115" s="284"/>
      <c r="AJ115" s="284"/>
      <c r="AK115" s="284"/>
    </row>
    <row r="116" spans="1:37" s="340" customFormat="1" ht="13.5" customHeight="1" x14ac:dyDescent="0.45">
      <c r="A116" s="362" t="s">
        <v>436</v>
      </c>
      <c r="B116" s="335"/>
      <c r="D116" s="377"/>
      <c r="E116" s="382"/>
      <c r="F116" s="381"/>
      <c r="H116" s="280"/>
      <c r="I116" s="372"/>
      <c r="J116" s="372"/>
      <c r="K116" s="372"/>
      <c r="L116" s="372"/>
      <c r="M116" s="372"/>
      <c r="N116" s="372"/>
      <c r="O116" s="372"/>
      <c r="P116" s="372"/>
      <c r="Q116" s="372"/>
      <c r="R116" s="372"/>
      <c r="S116" s="372"/>
      <c r="T116" s="372"/>
      <c r="U116" s="372"/>
      <c r="V116" s="372"/>
      <c r="W116" s="372"/>
      <c r="X116" s="372"/>
      <c r="Y116" s="372"/>
      <c r="Z116" s="372"/>
      <c r="AA116" s="372"/>
      <c r="AB116" s="284"/>
      <c r="AC116" s="284"/>
      <c r="AD116" s="284"/>
      <c r="AE116" s="284"/>
      <c r="AF116" s="284"/>
      <c r="AG116" s="284"/>
      <c r="AH116" s="284"/>
      <c r="AI116" s="284"/>
      <c r="AJ116" s="284"/>
      <c r="AK116" s="284"/>
    </row>
    <row r="117" spans="1:37" s="340" customFormat="1" ht="13.5" customHeight="1" x14ac:dyDescent="0.45">
      <c r="B117" s="362" t="s">
        <v>428</v>
      </c>
      <c r="D117" s="383">
        <f ca="1">OFFSET(G98,,$F$73)</f>
        <v>0.5</v>
      </c>
      <c r="E117" s="382">
        <f ca="1">$D117*(E$113-E$115)</f>
        <v>17133280.302000452</v>
      </c>
      <c r="F117" s="382">
        <f t="shared" ref="E117:F120" ca="1" si="31">$D117*(F$113-F$115)</f>
        <v>17530327.36645722</v>
      </c>
      <c r="H117" s="280"/>
      <c r="I117" s="372"/>
      <c r="J117" s="372"/>
      <c r="K117" s="372"/>
      <c r="L117" s="372"/>
      <c r="M117" s="372"/>
      <c r="N117" s="372"/>
      <c r="O117" s="372"/>
      <c r="P117" s="372"/>
      <c r="Q117" s="372"/>
      <c r="R117" s="372"/>
      <c r="S117" s="372"/>
      <c r="T117" s="372"/>
      <c r="U117" s="372"/>
      <c r="V117" s="372"/>
      <c r="W117" s="372"/>
      <c r="X117" s="372"/>
      <c r="Y117" s="372"/>
      <c r="Z117" s="372"/>
      <c r="AA117" s="372"/>
      <c r="AB117" s="284"/>
      <c r="AC117" s="284"/>
      <c r="AD117" s="284"/>
      <c r="AE117" s="284"/>
      <c r="AF117" s="284"/>
      <c r="AG117" s="284"/>
      <c r="AH117" s="284"/>
      <c r="AI117" s="284"/>
      <c r="AJ117" s="284"/>
      <c r="AK117" s="284"/>
    </row>
    <row r="118" spans="1:37" s="340" customFormat="1" ht="13.5" customHeight="1" x14ac:dyDescent="0.45">
      <c r="B118" s="335" t="s">
        <v>421</v>
      </c>
      <c r="D118" s="383">
        <f ca="1">OFFSET(G99,,$F$73)</f>
        <v>0</v>
      </c>
      <c r="E118" s="382">
        <f t="shared" ca="1" si="31"/>
        <v>0</v>
      </c>
      <c r="F118" s="382">
        <f t="shared" ca="1" si="31"/>
        <v>0</v>
      </c>
      <c r="H118" s="280"/>
      <c r="I118" s="372"/>
      <c r="J118" s="372"/>
      <c r="K118" s="372"/>
      <c r="L118" s="372"/>
      <c r="M118" s="372"/>
      <c r="N118" s="372"/>
      <c r="O118" s="372"/>
      <c r="P118" s="372"/>
      <c r="Q118" s="372"/>
      <c r="R118" s="372"/>
      <c r="S118" s="372"/>
      <c r="T118" s="372"/>
      <c r="U118" s="372"/>
      <c r="V118" s="372"/>
      <c r="W118" s="372"/>
      <c r="X118" s="372"/>
      <c r="Y118" s="372"/>
      <c r="Z118" s="372"/>
      <c r="AA118" s="372"/>
      <c r="AB118" s="284"/>
      <c r="AC118" s="284"/>
      <c r="AD118" s="284"/>
      <c r="AE118" s="284"/>
      <c r="AF118" s="284"/>
      <c r="AG118" s="284"/>
      <c r="AH118" s="284"/>
      <c r="AI118" s="284"/>
      <c r="AJ118" s="284"/>
      <c r="AK118" s="284"/>
    </row>
    <row r="119" spans="1:37" s="340" customFormat="1" ht="13.5" customHeight="1" x14ac:dyDescent="0.45">
      <c r="B119" s="335" t="s">
        <v>422</v>
      </c>
      <c r="D119" s="383">
        <f ca="1">OFFSET(G100,,$F$73)</f>
        <v>0</v>
      </c>
      <c r="E119" s="382">
        <f t="shared" ca="1" si="31"/>
        <v>0</v>
      </c>
      <c r="F119" s="382">
        <f t="shared" ca="1" si="31"/>
        <v>0</v>
      </c>
      <c r="H119" s="280"/>
      <c r="I119" s="372"/>
      <c r="J119" s="372"/>
      <c r="K119" s="372"/>
      <c r="L119" s="372"/>
      <c r="M119" s="372"/>
      <c r="N119" s="372"/>
      <c r="O119" s="372"/>
      <c r="P119" s="372"/>
      <c r="Q119" s="372"/>
      <c r="R119" s="372"/>
      <c r="S119" s="372"/>
      <c r="T119" s="372"/>
      <c r="U119" s="372"/>
      <c r="V119" s="372"/>
      <c r="W119" s="372"/>
      <c r="X119" s="372"/>
      <c r="Y119" s="372"/>
      <c r="Z119" s="372"/>
      <c r="AA119" s="372"/>
      <c r="AB119" s="284"/>
      <c r="AC119" s="284"/>
      <c r="AD119" s="284"/>
      <c r="AE119" s="284"/>
      <c r="AF119" s="284"/>
      <c r="AG119" s="284"/>
      <c r="AH119" s="284"/>
      <c r="AI119" s="284"/>
      <c r="AJ119" s="284"/>
      <c r="AK119" s="284"/>
    </row>
    <row r="120" spans="1:37" s="340" customFormat="1" ht="13.5" customHeight="1" x14ac:dyDescent="0.45">
      <c r="B120" s="362" t="s">
        <v>423</v>
      </c>
      <c r="D120" s="383">
        <f ca="1">OFFSET(G108,,$F$73)</f>
        <v>0.5</v>
      </c>
      <c r="E120" s="382">
        <f t="shared" ca="1" si="31"/>
        <v>17133280.302000452</v>
      </c>
      <c r="F120" s="382">
        <f t="shared" ca="1" si="31"/>
        <v>17530327.36645722</v>
      </c>
      <c r="H120" s="280"/>
      <c r="I120" s="372"/>
      <c r="J120" s="372"/>
      <c r="K120" s="372"/>
      <c r="L120" s="372"/>
      <c r="M120" s="372"/>
      <c r="N120" s="372"/>
      <c r="O120" s="372"/>
      <c r="P120" s="372"/>
      <c r="Q120" s="372"/>
      <c r="R120" s="372"/>
      <c r="S120" s="372"/>
      <c r="T120" s="372"/>
      <c r="U120" s="372"/>
      <c r="V120" s="372"/>
      <c r="W120" s="372"/>
      <c r="X120" s="372"/>
      <c r="Y120" s="372"/>
      <c r="Z120" s="372"/>
      <c r="AA120" s="372"/>
      <c r="AB120" s="284"/>
      <c r="AC120" s="284"/>
      <c r="AD120" s="284"/>
      <c r="AE120" s="284"/>
      <c r="AF120" s="284"/>
      <c r="AG120" s="284"/>
      <c r="AH120" s="284"/>
      <c r="AI120" s="284"/>
      <c r="AJ120" s="284"/>
      <c r="AK120" s="284"/>
    </row>
    <row r="121" spans="1:37" s="340" customFormat="1" ht="13.5" customHeight="1" x14ac:dyDescent="0.45">
      <c r="A121" s="362"/>
      <c r="B121" s="335"/>
      <c r="D121" s="384"/>
      <c r="E121" s="385" t="s">
        <v>390</v>
      </c>
      <c r="F121" s="386" t="s">
        <v>390</v>
      </c>
      <c r="H121" s="280"/>
      <c r="I121" s="372"/>
      <c r="J121" s="372"/>
      <c r="K121" s="372"/>
      <c r="L121" s="372"/>
      <c r="M121" s="372"/>
      <c r="N121" s="372"/>
      <c r="O121" s="372"/>
      <c r="P121" s="372"/>
      <c r="Q121" s="372"/>
      <c r="R121" s="372"/>
      <c r="S121" s="372"/>
      <c r="T121" s="372"/>
      <c r="U121" s="372"/>
      <c r="V121" s="372"/>
      <c r="W121" s="372"/>
      <c r="X121" s="372"/>
      <c r="Y121" s="372"/>
      <c r="Z121" s="372"/>
      <c r="AA121" s="372"/>
      <c r="AB121" s="284"/>
      <c r="AC121" s="284"/>
      <c r="AD121" s="284"/>
      <c r="AE121" s="284"/>
      <c r="AF121" s="284"/>
      <c r="AG121" s="284"/>
      <c r="AH121" s="284"/>
      <c r="AI121" s="284"/>
      <c r="AJ121" s="284"/>
      <c r="AK121" s="284"/>
    </row>
    <row r="122" spans="1:37" s="340" customFormat="1" ht="13.5" customHeight="1" x14ac:dyDescent="0.45">
      <c r="A122" s="362"/>
      <c r="B122" s="335" t="s">
        <v>437</v>
      </c>
      <c r="D122" s="383">
        <f ca="1">SUM(D116:D121)</f>
        <v>1</v>
      </c>
      <c r="E122" s="382">
        <f ca="1">SUM(E116:E121)</f>
        <v>34266560.604000904</v>
      </c>
      <c r="F122" s="382">
        <f ca="1">SUM(F116:F121)</f>
        <v>35060654.73291444</v>
      </c>
      <c r="H122" s="280"/>
      <c r="I122" s="372"/>
      <c r="J122" s="372"/>
      <c r="K122" s="372"/>
      <c r="L122" s="372"/>
      <c r="M122" s="372"/>
      <c r="N122" s="372"/>
      <c r="O122" s="372"/>
      <c r="P122" s="372"/>
      <c r="Q122" s="372"/>
      <c r="R122" s="372"/>
      <c r="S122" s="372"/>
      <c r="T122" s="372"/>
      <c r="U122" s="372"/>
      <c r="V122" s="372"/>
      <c r="W122" s="372"/>
      <c r="X122" s="372"/>
      <c r="Y122" s="372"/>
      <c r="Z122" s="372"/>
      <c r="AA122" s="372"/>
      <c r="AB122" s="284"/>
      <c r="AC122" s="284"/>
      <c r="AD122" s="284"/>
      <c r="AE122" s="284"/>
      <c r="AF122" s="284"/>
      <c r="AG122" s="284"/>
      <c r="AH122" s="284"/>
      <c r="AI122" s="284"/>
      <c r="AJ122" s="284"/>
      <c r="AK122" s="284"/>
    </row>
    <row r="123" spans="1:37" s="340" customFormat="1" ht="13.5" customHeight="1" x14ac:dyDescent="0.45">
      <c r="A123" s="362" t="s">
        <v>52</v>
      </c>
      <c r="B123" s="335"/>
      <c r="E123" s="387">
        <f ca="1">E113-E115-E122</f>
        <v>0</v>
      </c>
      <c r="F123" s="387">
        <f ca="1">F113-F115-F122</f>
        <v>0</v>
      </c>
      <c r="G123" s="344"/>
      <c r="H123" s="280"/>
      <c r="I123" s="372"/>
      <c r="J123" s="372"/>
      <c r="K123" s="372"/>
      <c r="L123" s="372"/>
      <c r="M123" s="372"/>
      <c r="N123" s="372"/>
      <c r="O123" s="372"/>
      <c r="P123" s="372"/>
      <c r="Q123" s="372"/>
      <c r="R123" s="372"/>
      <c r="S123" s="372"/>
      <c r="T123" s="372"/>
      <c r="U123" s="372"/>
      <c r="V123" s="372"/>
      <c r="W123" s="372"/>
      <c r="X123" s="372"/>
      <c r="Y123" s="372"/>
      <c r="Z123" s="372"/>
      <c r="AA123" s="372"/>
      <c r="AB123" s="284"/>
      <c r="AC123" s="284"/>
      <c r="AD123" s="284"/>
      <c r="AE123" s="284"/>
      <c r="AF123" s="284"/>
      <c r="AG123" s="284"/>
      <c r="AH123" s="284"/>
      <c r="AI123" s="284"/>
      <c r="AJ123" s="284"/>
      <c r="AK123" s="284"/>
    </row>
    <row r="124" spans="1:37" s="340" customFormat="1" ht="13.5" customHeight="1" x14ac:dyDescent="0.45">
      <c r="A124" s="336"/>
      <c r="B124" s="335"/>
      <c r="C124" s="335"/>
      <c r="D124" s="277"/>
      <c r="E124" s="335"/>
      <c r="F124" s="335"/>
      <c r="G124" s="372"/>
      <c r="H124" s="372"/>
      <c r="I124" s="372"/>
      <c r="J124" s="372"/>
      <c r="K124" s="372"/>
      <c r="L124" s="372"/>
      <c r="M124" s="372"/>
      <c r="N124" s="372"/>
      <c r="O124" s="372"/>
      <c r="P124" s="372"/>
      <c r="Q124" s="372"/>
      <c r="R124" s="372"/>
      <c r="S124" s="372"/>
      <c r="T124" s="372"/>
      <c r="U124" s="372"/>
      <c r="V124" s="372"/>
      <c r="W124" s="372"/>
      <c r="X124" s="372"/>
      <c r="Y124" s="372"/>
      <c r="Z124" s="372"/>
      <c r="AA124" s="372"/>
      <c r="AB124" s="284"/>
      <c r="AC124" s="284"/>
      <c r="AD124" s="284"/>
      <c r="AE124" s="284"/>
      <c r="AF124" s="284"/>
      <c r="AG124" s="284"/>
      <c r="AH124" s="284"/>
      <c r="AI124" s="284"/>
      <c r="AJ124" s="284"/>
      <c r="AK124" s="284"/>
    </row>
    <row r="125" spans="1:37" s="340" customFormat="1" ht="13.5" customHeight="1" x14ac:dyDescent="0.45">
      <c r="A125" s="388" t="s">
        <v>438</v>
      </c>
      <c r="B125" s="335"/>
      <c r="C125" s="335"/>
      <c r="D125" s="277"/>
      <c r="E125" s="335"/>
      <c r="F125" s="335"/>
      <c r="G125" s="372"/>
      <c r="H125" s="372"/>
      <c r="I125" s="372"/>
      <c r="J125" s="372"/>
      <c r="K125" s="372"/>
      <c r="L125" s="372"/>
      <c r="M125" s="372"/>
      <c r="N125" s="372"/>
      <c r="O125" s="372"/>
      <c r="P125" s="372"/>
      <c r="Q125" s="372"/>
      <c r="R125" s="372"/>
      <c r="S125" s="372"/>
      <c r="T125" s="372"/>
      <c r="U125" s="372"/>
      <c r="V125" s="372"/>
      <c r="W125" s="372"/>
      <c r="X125" s="372"/>
      <c r="Y125" s="372"/>
      <c r="Z125" s="372"/>
      <c r="AA125" s="372"/>
      <c r="AB125" s="284"/>
      <c r="AC125" s="284"/>
      <c r="AD125" s="284"/>
      <c r="AE125" s="284"/>
      <c r="AF125" s="284"/>
      <c r="AG125" s="284"/>
      <c r="AH125" s="284"/>
      <c r="AI125" s="284"/>
      <c r="AJ125" s="284"/>
      <c r="AK125" s="284"/>
    </row>
    <row r="126" spans="1:37" s="340" customFormat="1" ht="13.5" customHeight="1" x14ac:dyDescent="0.45">
      <c r="A126" s="336"/>
      <c r="B126" s="335" t="s">
        <v>439</v>
      </c>
      <c r="C126" s="335"/>
      <c r="D126" s="277"/>
      <c r="E126" s="335"/>
      <c r="F126" s="389">
        <f ca="1">IF(MIN(G126:AA126)=0,"NA",IRR(G126:AA126))</f>
        <v>0.27930501728010215</v>
      </c>
      <c r="G126" s="381">
        <f t="shared" ref="G126:AA126" si="32">IF(G$2&lt;$G$2+$F$73,-G41,IF(G$2=$G$2+$F$73,(G82-$E$115),0))</f>
        <v>-10000000</v>
      </c>
      <c r="H126" s="381">
        <f t="shared" si="32"/>
        <v>0</v>
      </c>
      <c r="I126" s="381">
        <f t="shared" si="32"/>
        <v>0</v>
      </c>
      <c r="J126" s="381">
        <f t="shared" si="32"/>
        <v>0</v>
      </c>
      <c r="K126" s="381">
        <f t="shared" si="32"/>
        <v>0</v>
      </c>
      <c r="L126" s="381">
        <f ca="1">IF(L$2&lt;$G$2+$F$73,-L41,IF(L$2=$G$2+$F$73,(L82-$E$115),0))</f>
        <v>34266560.604000904</v>
      </c>
      <c r="M126" s="381">
        <f t="shared" si="32"/>
        <v>0</v>
      </c>
      <c r="N126" s="381">
        <f t="shared" si="32"/>
        <v>0</v>
      </c>
      <c r="O126" s="381">
        <f>IF(O$2&lt;$G$2+$F$73,-O41,IF(O$2=$G$2+$F$73,(O82-$E$115),0))</f>
        <v>0</v>
      </c>
      <c r="P126" s="381">
        <f t="shared" si="32"/>
        <v>0</v>
      </c>
      <c r="Q126" s="381">
        <f t="shared" si="32"/>
        <v>0</v>
      </c>
      <c r="R126" s="381">
        <f t="shared" si="32"/>
        <v>0</v>
      </c>
      <c r="S126" s="381">
        <f t="shared" si="32"/>
        <v>0</v>
      </c>
      <c r="T126" s="381">
        <f t="shared" si="32"/>
        <v>0</v>
      </c>
      <c r="U126" s="381">
        <f t="shared" si="32"/>
        <v>0</v>
      </c>
      <c r="V126" s="381">
        <f t="shared" si="32"/>
        <v>0</v>
      </c>
      <c r="W126" s="381">
        <f t="shared" si="32"/>
        <v>0</v>
      </c>
      <c r="X126" s="381">
        <f t="shared" si="32"/>
        <v>0</v>
      </c>
      <c r="Y126" s="381">
        <f t="shared" si="32"/>
        <v>0</v>
      </c>
      <c r="Z126" s="381">
        <f t="shared" si="32"/>
        <v>0</v>
      </c>
      <c r="AA126" s="381">
        <f t="shared" si="32"/>
        <v>0</v>
      </c>
      <c r="AB126" s="284"/>
      <c r="AC126" s="284"/>
      <c r="AD126" s="284"/>
      <c r="AE126" s="284"/>
      <c r="AF126" s="284"/>
      <c r="AG126" s="284"/>
      <c r="AH126" s="284"/>
      <c r="AI126" s="284"/>
      <c r="AJ126" s="284"/>
      <c r="AK126" s="284"/>
    </row>
    <row r="127" spans="1:37" s="340" customFormat="1" ht="13.5" customHeight="1" x14ac:dyDescent="0.45">
      <c r="A127" s="336"/>
      <c r="B127" s="335" t="s">
        <v>421</v>
      </c>
      <c r="C127" s="335"/>
      <c r="D127" s="277"/>
      <c r="E127" s="335"/>
      <c r="F127" s="389" t="str">
        <f t="shared" ref="F127:F134" ca="1" si="33">IF(MIN(G127:AA127)=0,"NA",IRR(G127:AA127))</f>
        <v>NA</v>
      </c>
      <c r="G127" s="381">
        <f t="shared" ref="G127:AA127" si="34">IF(G$2&lt;$G$2+$F$73,-G86,IF(G$2=$G$2+$F$73,(G$82-$E$115)*$D118,0))</f>
        <v>0</v>
      </c>
      <c r="H127" s="381">
        <f t="shared" si="34"/>
        <v>0</v>
      </c>
      <c r="I127" s="381">
        <f t="shared" si="34"/>
        <v>0</v>
      </c>
      <c r="J127" s="381">
        <f t="shared" si="34"/>
        <v>0</v>
      </c>
      <c r="K127" s="381">
        <f t="shared" si="34"/>
        <v>0</v>
      </c>
      <c r="L127" s="381">
        <f t="shared" ca="1" si="34"/>
        <v>0</v>
      </c>
      <c r="M127" s="381">
        <f t="shared" si="34"/>
        <v>0</v>
      </c>
      <c r="N127" s="381">
        <f t="shared" si="34"/>
        <v>0</v>
      </c>
      <c r="O127" s="381">
        <f>IF(O$2&lt;$G$2+$F$73,-O86,IF(O$2=$G$2+$F$73,(O$82-$E$115)*$D118,0))</f>
        <v>0</v>
      </c>
      <c r="P127" s="381">
        <f t="shared" si="34"/>
        <v>0</v>
      </c>
      <c r="Q127" s="381">
        <f t="shared" si="34"/>
        <v>0</v>
      </c>
      <c r="R127" s="381">
        <f t="shared" si="34"/>
        <v>0</v>
      </c>
      <c r="S127" s="381">
        <f t="shared" si="34"/>
        <v>0</v>
      </c>
      <c r="T127" s="381">
        <f t="shared" si="34"/>
        <v>0</v>
      </c>
      <c r="U127" s="381">
        <f t="shared" si="34"/>
        <v>0</v>
      </c>
      <c r="V127" s="381">
        <f t="shared" si="34"/>
        <v>0</v>
      </c>
      <c r="W127" s="381">
        <f t="shared" si="34"/>
        <v>0</v>
      </c>
      <c r="X127" s="381">
        <f t="shared" si="34"/>
        <v>0</v>
      </c>
      <c r="Y127" s="381">
        <f t="shared" si="34"/>
        <v>0</v>
      </c>
      <c r="Z127" s="381">
        <f t="shared" si="34"/>
        <v>0</v>
      </c>
      <c r="AA127" s="381">
        <f t="shared" si="34"/>
        <v>0</v>
      </c>
      <c r="AB127" s="284"/>
      <c r="AC127" s="284"/>
      <c r="AD127" s="284"/>
      <c r="AE127" s="284"/>
      <c r="AF127" s="284"/>
      <c r="AG127" s="284"/>
      <c r="AH127" s="284"/>
      <c r="AI127" s="284"/>
      <c r="AJ127" s="284"/>
      <c r="AK127" s="284"/>
    </row>
    <row r="128" spans="1:37" s="340" customFormat="1" ht="13.5" customHeight="1" x14ac:dyDescent="0.45">
      <c r="A128" s="336"/>
      <c r="B128" s="335" t="s">
        <v>422</v>
      </c>
      <c r="C128" s="335"/>
      <c r="D128" s="277"/>
      <c r="E128" s="335"/>
      <c r="F128" s="389" t="str">
        <f t="shared" ca="1" si="33"/>
        <v>NA</v>
      </c>
      <c r="G128" s="381">
        <f t="shared" ref="G128:AA128" si="35">IF(G$2&lt;$G$2+$F$73,-G87,IF(G$2=$G$2+$F$73,G$82*$D119,0))</f>
        <v>0</v>
      </c>
      <c r="H128" s="381">
        <f t="shared" si="35"/>
        <v>0</v>
      </c>
      <c r="I128" s="381">
        <f t="shared" si="35"/>
        <v>0</v>
      </c>
      <c r="J128" s="381">
        <f t="shared" si="35"/>
        <v>0</v>
      </c>
      <c r="K128" s="381">
        <f t="shared" si="35"/>
        <v>0</v>
      </c>
      <c r="L128" s="381">
        <f t="shared" ca="1" si="35"/>
        <v>0</v>
      </c>
      <c r="M128" s="381">
        <f t="shared" si="35"/>
        <v>0</v>
      </c>
      <c r="N128" s="381">
        <f t="shared" si="35"/>
        <v>0</v>
      </c>
      <c r="O128" s="381">
        <f t="shared" si="35"/>
        <v>0</v>
      </c>
      <c r="P128" s="381">
        <f t="shared" si="35"/>
        <v>0</v>
      </c>
      <c r="Q128" s="381">
        <f t="shared" si="35"/>
        <v>0</v>
      </c>
      <c r="R128" s="381">
        <f t="shared" si="35"/>
        <v>0</v>
      </c>
      <c r="S128" s="381">
        <f t="shared" si="35"/>
        <v>0</v>
      </c>
      <c r="T128" s="381">
        <f t="shared" si="35"/>
        <v>0</v>
      </c>
      <c r="U128" s="381">
        <f t="shared" si="35"/>
        <v>0</v>
      </c>
      <c r="V128" s="381">
        <f t="shared" si="35"/>
        <v>0</v>
      </c>
      <c r="W128" s="381">
        <f t="shared" si="35"/>
        <v>0</v>
      </c>
      <c r="X128" s="381">
        <f t="shared" si="35"/>
        <v>0</v>
      </c>
      <c r="Y128" s="381">
        <f t="shared" si="35"/>
        <v>0</v>
      </c>
      <c r="Z128" s="381">
        <f t="shared" si="35"/>
        <v>0</v>
      </c>
      <c r="AA128" s="381">
        <f t="shared" si="35"/>
        <v>0</v>
      </c>
      <c r="AB128" s="284"/>
      <c r="AC128" s="284"/>
      <c r="AD128" s="284"/>
      <c r="AE128" s="284"/>
      <c r="AF128" s="284"/>
      <c r="AG128" s="284"/>
      <c r="AH128" s="284"/>
      <c r="AI128" s="284"/>
      <c r="AJ128" s="284"/>
      <c r="AK128" s="284"/>
    </row>
    <row r="129" spans="1:37" s="340" customFormat="1" ht="13.5" customHeight="1" x14ac:dyDescent="0.45">
      <c r="A129" s="336"/>
      <c r="B129" s="362" t="s">
        <v>423</v>
      </c>
      <c r="C129" s="335"/>
      <c r="D129" s="277"/>
      <c r="E129" s="335"/>
      <c r="F129" s="389">
        <f t="shared" ca="1" si="33"/>
        <v>0.11369970342075053</v>
      </c>
      <c r="G129" s="381">
        <f t="shared" ref="G129:AA129" si="36">IF(G$2&lt;$G$2+$F$73,-G88,IF(G$2=$G$2+$F$73,(G$82-$E$115)*$D120,0))</f>
        <v>-10000000</v>
      </c>
      <c r="H129" s="381">
        <f t="shared" si="36"/>
        <v>0</v>
      </c>
      <c r="I129" s="381">
        <f t="shared" si="36"/>
        <v>0</v>
      </c>
      <c r="J129" s="381">
        <f t="shared" si="36"/>
        <v>0</v>
      </c>
      <c r="K129" s="381">
        <f t="shared" si="36"/>
        <v>0</v>
      </c>
      <c r="L129" s="381">
        <f t="shared" ca="1" si="36"/>
        <v>17133280.302000452</v>
      </c>
      <c r="M129" s="381">
        <f t="shared" si="36"/>
        <v>0</v>
      </c>
      <c r="N129" s="381">
        <f t="shared" si="36"/>
        <v>0</v>
      </c>
      <c r="O129" s="381">
        <f t="shared" si="36"/>
        <v>0</v>
      </c>
      <c r="P129" s="381">
        <f t="shared" si="36"/>
        <v>0</v>
      </c>
      <c r="Q129" s="381">
        <f t="shared" si="36"/>
        <v>0</v>
      </c>
      <c r="R129" s="381">
        <f t="shared" si="36"/>
        <v>0</v>
      </c>
      <c r="S129" s="381">
        <f t="shared" si="36"/>
        <v>0</v>
      </c>
      <c r="T129" s="381">
        <f t="shared" si="36"/>
        <v>0</v>
      </c>
      <c r="U129" s="381">
        <f t="shared" si="36"/>
        <v>0</v>
      </c>
      <c r="V129" s="381">
        <f t="shared" si="36"/>
        <v>0</v>
      </c>
      <c r="W129" s="381">
        <f t="shared" si="36"/>
        <v>0</v>
      </c>
      <c r="X129" s="381">
        <f t="shared" si="36"/>
        <v>0</v>
      </c>
      <c r="Y129" s="381">
        <f t="shared" si="36"/>
        <v>0</v>
      </c>
      <c r="Z129" s="381">
        <f t="shared" si="36"/>
        <v>0</v>
      </c>
      <c r="AA129" s="381">
        <f t="shared" si="36"/>
        <v>0</v>
      </c>
      <c r="AB129" s="284"/>
      <c r="AC129" s="284"/>
      <c r="AD129" s="284"/>
      <c r="AE129" s="284"/>
      <c r="AF129" s="284"/>
      <c r="AG129" s="284"/>
      <c r="AH129" s="284"/>
      <c r="AI129" s="284"/>
      <c r="AJ129" s="284"/>
      <c r="AK129" s="284"/>
    </row>
    <row r="130" spans="1:37" s="340" customFormat="1" ht="13.5" customHeight="1" x14ac:dyDescent="0.45">
      <c r="A130" s="336"/>
      <c r="B130" s="335" t="s">
        <v>440</v>
      </c>
      <c r="C130" s="335"/>
      <c r="D130" s="277"/>
      <c r="E130" s="335"/>
      <c r="F130" s="390"/>
      <c r="G130" s="372"/>
      <c r="H130" s="372"/>
      <c r="I130" s="372"/>
      <c r="J130" s="372"/>
      <c r="K130" s="372"/>
      <c r="L130" s="372"/>
      <c r="M130" s="372"/>
      <c r="N130" s="372"/>
      <c r="O130" s="372"/>
      <c r="P130" s="372"/>
      <c r="Q130" s="372"/>
      <c r="R130" s="372"/>
      <c r="S130" s="372"/>
      <c r="T130" s="372"/>
      <c r="U130" s="372"/>
      <c r="V130" s="372"/>
      <c r="W130" s="372"/>
      <c r="X130" s="372"/>
      <c r="Y130" s="372"/>
      <c r="Z130" s="372"/>
      <c r="AA130" s="372"/>
      <c r="AB130" s="284"/>
      <c r="AC130" s="284"/>
      <c r="AD130" s="284"/>
      <c r="AE130" s="284"/>
      <c r="AF130" s="284"/>
      <c r="AG130" s="284"/>
      <c r="AH130" s="284"/>
      <c r="AI130" s="284"/>
      <c r="AJ130" s="284"/>
      <c r="AK130" s="284"/>
    </row>
    <row r="131" spans="1:37" s="340" customFormat="1" ht="13.5" customHeight="1" x14ac:dyDescent="0.45">
      <c r="A131" s="336"/>
      <c r="B131" s="335"/>
      <c r="C131" s="335" t="s">
        <v>429</v>
      </c>
      <c r="D131" s="277"/>
      <c r="E131" s="335"/>
      <c r="F131" s="389">
        <f t="shared" ca="1" si="33"/>
        <v>0.11369970342075053</v>
      </c>
      <c r="G131" s="381">
        <f>IF(G$2&lt;$G$2+$F$73,IF(COUNTIF($G$129:G$129,"&lt;0")=1,-G$88,0),IF(G$2=$G$2+$F$73,(G$82-$E$115)*G102,0))</f>
        <v>-10000000</v>
      </c>
      <c r="H131" s="381">
        <f>IF(H$2&lt;$G$2+$F$73,IF(COUNTIF($G$129:H$129,"&lt;0")=1,-H$88,0),IF(H$2=$G$2+$F$73,(H$82-$E$115)*H102,0))</f>
        <v>0</v>
      </c>
      <c r="I131" s="381">
        <f>IF(I$2&lt;$G$2+$F$73,IF(COUNTIF($G$129:I$129,"&lt;0")=1,-I$88,0),IF(I$2=$G$2+$F$73,(I$82-$E$115)*I102,0))</f>
        <v>0</v>
      </c>
      <c r="J131" s="381">
        <f>IF(J$2&lt;$G$2+$F$73,IF(COUNTIF($G$129:J$129,"&lt;0")=1,-J$88,0),IF(J$2=$G$2+$F$73,(J$82-$E$115)*J102,0))</f>
        <v>0</v>
      </c>
      <c r="K131" s="381">
        <f>IF(K$2&lt;$G$2+$F$73,IF(COUNTIF($G$129:K$129,"&lt;0")=1,-K$88,0),IF(K$2=$G$2+$F$73,(K$82-$E$115)*K102,0))</f>
        <v>0</v>
      </c>
      <c r="L131" s="381">
        <f ca="1">IF(L$2&lt;$G$2+$F$73,IF(COUNTIF($G$129:L$129,"&lt;0")=1,-L$88,0),IF(L$2=$G$2+$F$73,(L$82-$E$115)*L102,0))</f>
        <v>17133280.302000452</v>
      </c>
      <c r="M131" s="381">
        <f>IF(M$2&lt;$G$2+$F$73,IF(COUNTIF($G$129:M$129,"&lt;0")=1,-M$88,0),IF(M$2=$G$2+$F$73,(M$82-$E$115)*M102,0))</f>
        <v>0</v>
      </c>
      <c r="N131" s="381">
        <f>IF(N$2&lt;$G$2+$F$73,IF(COUNTIF($G$129:N$129,"&lt;0")=1,-N$88,0),IF(N$2=$G$2+$F$73,(N$82-$E$115)*N102,0))</f>
        <v>0</v>
      </c>
      <c r="O131" s="381">
        <f>IF(O$2&lt;$G$2+$F$73,IF(COUNTIF($G$129:O$129,"&lt;0")=1,-O$88,0),IF(O$2=$G$2+$F$73,(O$82-$E$115)*O102,0))</f>
        <v>0</v>
      </c>
      <c r="P131" s="381">
        <f>IF(P$2&lt;$G$2+$F$73,IF(COUNTIF($G$129:P$129,"&lt;0")=1,-P$88,0),IF(P$2=$G$2+$F$73,(P$82-$E$115)*P102,0))</f>
        <v>0</v>
      </c>
      <c r="Q131" s="381">
        <f>IF(Q$2&lt;$G$2+$F$73,IF(COUNTIF($G$129:Q$129,"&lt;0")=1,-Q$88,0),IF(Q$2=$G$2+$F$73,(Q$82-$E$115)*Q102,0))</f>
        <v>0</v>
      </c>
      <c r="R131" s="381">
        <f>IF(R$2&lt;$G$2+$F$73,IF(COUNTIF($G$129:R$129,"&lt;0")=1,-R$88,0),IF(R$2=$G$2+$F$73,(R$82-$E$115)*R102,0))</f>
        <v>0</v>
      </c>
      <c r="S131" s="381">
        <f>IF(S$2&lt;$G$2+$F$73,IF(COUNTIF($G$129:S$129,"&lt;0")=1,-S$88,0),IF(S$2=$G$2+$F$73,(S$82-$E$115)*S102,0))</f>
        <v>0</v>
      </c>
      <c r="T131" s="381">
        <f>IF(T$2&lt;$G$2+$F$73,IF(COUNTIF($G$129:T$129,"&lt;0")=1,-T$88,0),IF(T$2=$G$2+$F$73,(T$82-$E$115)*T102,0))</f>
        <v>0</v>
      </c>
      <c r="U131" s="381">
        <f>IF(U$2&lt;$G$2+$F$73,IF(COUNTIF($G$129:U$129,"&lt;0")=1,-U$88,0),IF(U$2=$G$2+$F$73,(U$82-$E$115)*U102,0))</f>
        <v>0</v>
      </c>
      <c r="V131" s="381">
        <f>IF(V$2&lt;$G$2+$F$73,IF(COUNTIF($G$129:V$129,"&lt;0")=1,-V$88,0),IF(V$2=$G$2+$F$73,(V$82-$E$115)*V102,0))</f>
        <v>0</v>
      </c>
      <c r="W131" s="381">
        <f>IF(W$2&lt;$G$2+$F$73,IF(COUNTIF($G$129:W$129,"&lt;0")=1,-W$88,0),IF(W$2=$G$2+$F$73,(W$82-$E$115)*W102,0))</f>
        <v>0</v>
      </c>
      <c r="X131" s="381">
        <f>IF(X$2&lt;$G$2+$F$73,IF(COUNTIF($G$129:X$129,"&lt;0")=1,-X$88,0),IF(X$2=$G$2+$F$73,(X$82-$E$115)*X102,0))</f>
        <v>0</v>
      </c>
      <c r="Y131" s="381">
        <f>IF(Y$2&lt;$G$2+$F$73,IF(COUNTIF($G$129:Y$129,"&lt;0")=1,-Y$88,0),IF(Y$2=$G$2+$F$73,(Y$82-$E$115)*Y102,0))</f>
        <v>0</v>
      </c>
      <c r="Z131" s="381">
        <f>IF(Z$2&lt;$G$2+$F$73,IF(COUNTIF($G$129:Z$129,"&lt;0")=1,-Z$88,0),IF(Z$2=$G$2+$F$73,(Z$82-$E$115)*Z102,0))</f>
        <v>0</v>
      </c>
      <c r="AA131" s="381">
        <f>IF(AA$2&lt;$G$2+$F$73,IF(COUNTIF($G$129:AA$129,"&lt;0")=1,-AA$88,0),IF(AA$2=$G$2+$F$73,(AA$82-$E$115)*AA102,0))</f>
        <v>0</v>
      </c>
      <c r="AB131" s="284"/>
      <c r="AC131" s="284"/>
      <c r="AD131" s="284"/>
      <c r="AE131" s="284"/>
      <c r="AF131" s="284"/>
      <c r="AG131" s="284"/>
      <c r="AH131" s="284"/>
      <c r="AI131" s="284"/>
      <c r="AJ131" s="284"/>
      <c r="AK131" s="284"/>
    </row>
    <row r="132" spans="1:37" s="340" customFormat="1" ht="13.5" customHeight="1" x14ac:dyDescent="0.45">
      <c r="A132" s="336"/>
      <c r="B132" s="337"/>
      <c r="C132" s="284" t="s">
        <v>430</v>
      </c>
      <c r="D132" s="362"/>
      <c r="E132" s="363"/>
      <c r="F132" s="389" t="str">
        <f t="shared" ca="1" si="33"/>
        <v>NA</v>
      </c>
      <c r="G132" s="381">
        <f>IF(G$2&lt;$G$2+$F$73,IF(COUNTIF($G$129:G$129,"&lt;0")=2,-G$88,0),IF(G$2=$G$2+$F$73,(G$82-$E$115)*G103,0))</f>
        <v>0</v>
      </c>
      <c r="H132" s="381">
        <f>IF(H$2&lt;$G$2+$F$73,IF(COUNTIF($G$129:H$129,"&lt;0")=2,-H$88,0),IF(H$2=$G$2+$F$73,(H$82-$E$115)*H103,0))</f>
        <v>0</v>
      </c>
      <c r="I132" s="381">
        <f>IF(I$2&lt;$G$2+$F$73,IF(COUNTIF($G$129:I$129,"&lt;0")=2,-I$88,0),IF(I$2=$G$2+$F$73,(I$82-$E$115)*I103,0))</f>
        <v>0</v>
      </c>
      <c r="J132" s="381">
        <f>IF(J$2&lt;$G$2+$F$73,IF(COUNTIF($G$129:J$129,"&lt;0")=2,-J$88,0),IF(J$2=$G$2+$F$73,(J$82-$E$115)*J103,0))</f>
        <v>0</v>
      </c>
      <c r="K132" s="381">
        <f>IF(K$2&lt;$G$2+$F$73,IF(COUNTIF($G$129:K$129,"&lt;0")=2,-K$88,0),IF(K$2=$G$2+$F$73,(K$82-$E$115)*K103,0))</f>
        <v>0</v>
      </c>
      <c r="L132" s="381">
        <f ca="1">IF(L$2&lt;$G$2+$F$73,IF(COUNTIF($G$129:L$129,"&lt;0")=2,-L$88,0),IF(L$2=$G$2+$F$73,(L$82-$E$115)*L103,0))</f>
        <v>0</v>
      </c>
      <c r="M132" s="381">
        <f>IF(M$2&lt;$G$2+$F$73,IF(COUNTIF($G$129:M$129,"&lt;0")=2,-M$88,0),IF(M$2=$G$2+$F$73,(M$82-$E$115)*M103,0))</f>
        <v>0</v>
      </c>
      <c r="N132" s="381">
        <f>IF(N$2&lt;$G$2+$F$73,IF(COUNTIF($G$129:N$129,"&lt;0")=2,-N$88,0),IF(N$2=$G$2+$F$73,(N$82-$E$115)*N103,0))</f>
        <v>0</v>
      </c>
      <c r="O132" s="381">
        <f>IF(O$2&lt;$G$2+$F$73,IF(COUNTIF($G$129:O$129,"&lt;0")=2,-O$88,0),IF(O$2=$G$2+$F$73,(O$82-$E$115)*O103,0))</f>
        <v>0</v>
      </c>
      <c r="P132" s="381">
        <f>IF(P$2&lt;$G$2+$F$73,IF(COUNTIF($G$129:P$129,"&lt;0")=2,-P$88,0),IF(P$2=$G$2+$F$73,(P$82-$E$115)*P103,0))</f>
        <v>0</v>
      </c>
      <c r="Q132" s="381">
        <f>IF(Q$2&lt;$G$2+$F$73,IF(COUNTIF($G$129:Q$129,"&lt;0")=2,-Q$88,0),IF(Q$2=$G$2+$F$73,(Q$82-$E$115)*Q103,0))</f>
        <v>0</v>
      </c>
      <c r="R132" s="381">
        <f>IF(R$2&lt;$G$2+$F$73,IF(COUNTIF($G$129:R$129,"&lt;0")=2,-R$88,0),IF(R$2=$G$2+$F$73,(R$82-$E$115)*R103,0))</f>
        <v>0</v>
      </c>
      <c r="S132" s="381">
        <f>IF(S$2&lt;$G$2+$F$73,IF(COUNTIF($G$129:S$129,"&lt;0")=2,-S$88,0),IF(S$2=$G$2+$F$73,(S$82-$E$115)*S103,0))</f>
        <v>0</v>
      </c>
      <c r="T132" s="381">
        <f>IF(T$2&lt;$G$2+$F$73,IF(COUNTIF($G$129:T$129,"&lt;0")=2,-T$88,0),IF(T$2=$G$2+$F$73,(T$82-$E$115)*T103,0))</f>
        <v>0</v>
      </c>
      <c r="U132" s="381">
        <f>IF(U$2&lt;$G$2+$F$73,IF(COUNTIF($G$129:U$129,"&lt;0")=2,-U$88,0),IF(U$2=$G$2+$F$73,(U$82-$E$115)*U103,0))</f>
        <v>0</v>
      </c>
      <c r="V132" s="381">
        <f>IF(V$2&lt;$G$2+$F$73,IF(COUNTIF($G$129:V$129,"&lt;0")=2,-V$88,0),IF(V$2=$G$2+$F$73,(V$82-$E$115)*V103,0))</f>
        <v>0</v>
      </c>
      <c r="W132" s="381">
        <f>IF(W$2&lt;$G$2+$F$73,IF(COUNTIF($G$129:W$129,"&lt;0")=2,-W$88,0),IF(W$2=$G$2+$F$73,(W$82-$E$115)*W103,0))</f>
        <v>0</v>
      </c>
      <c r="X132" s="381">
        <f>IF(X$2&lt;$G$2+$F$73,IF(COUNTIF($G$129:X$129,"&lt;0")=2,-X$88,0),IF(X$2=$G$2+$F$73,(X$82-$E$115)*X103,0))</f>
        <v>0</v>
      </c>
      <c r="Y132" s="381">
        <f>IF(Y$2&lt;$G$2+$F$73,IF(COUNTIF($G$129:Y$129,"&lt;0")=2,-Y$88,0),IF(Y$2=$G$2+$F$73,(Y$82-$E$115)*Y103,0))</f>
        <v>0</v>
      </c>
      <c r="Z132" s="381">
        <f>IF(Z$2&lt;$G$2+$F$73,IF(COUNTIF($G$129:Z$129,"&lt;0")=2,-Z$88,0),IF(Z$2=$G$2+$F$73,(Z$82-$E$115)*Z103,0))</f>
        <v>0</v>
      </c>
      <c r="AA132" s="381">
        <f>IF(AA$2&lt;$G$2+$F$73,IF(COUNTIF($G$129:AA$129,"&lt;0")=2,-AA$88,0),IF(AA$2=$G$2+$F$73,(AA$82-$E$115)*AA103,0))</f>
        <v>0</v>
      </c>
      <c r="AB132" s="284"/>
      <c r="AC132" s="284"/>
      <c r="AD132" s="284"/>
      <c r="AE132" s="284"/>
      <c r="AF132" s="284"/>
      <c r="AG132" s="284"/>
      <c r="AH132" s="284"/>
      <c r="AI132" s="284"/>
      <c r="AJ132" s="284"/>
      <c r="AK132" s="284"/>
    </row>
    <row r="133" spans="1:37" s="340" customFormat="1" ht="13.5" customHeight="1" x14ac:dyDescent="0.45">
      <c r="A133" s="336"/>
      <c r="B133" s="337"/>
      <c r="C133" s="284" t="s">
        <v>431</v>
      </c>
      <c r="D133" s="362"/>
      <c r="E133" s="363"/>
      <c r="F133" s="389" t="str">
        <f ca="1">IF(MIN(G133:AA133)=0,"NA",IRR(G133:AA133))</f>
        <v>NA</v>
      </c>
      <c r="G133" s="381">
        <f>IF(G$2&lt;$G$2+$F$73,IF(COUNTIF($G$129:G$129,"&lt;0")=3,-G$88,0),IF(G$2=$G$2+$F$73,(G$82-$E$115)*G104,0))</f>
        <v>0</v>
      </c>
      <c r="H133" s="381">
        <f>IF(H$2&lt;$G$2+$F$73,IF(COUNTIF($G$129:H$129,"&lt;0")=3,-H$88,0),IF(H$2=$G$2+$F$73,(H$82-$E$115)*H104,0))</f>
        <v>0</v>
      </c>
      <c r="I133" s="381">
        <f>IF(I$2&lt;$G$2+$F$73,IF(COUNTIF($G$129:I$129,"&lt;0")=3,-I$88,0),IF(I$2=$G$2+$F$73,(I$82-$E$115)*I104,0))</f>
        <v>0</v>
      </c>
      <c r="J133" s="381">
        <f>IF(J$2&lt;$G$2+$F$73,IF(COUNTIF($G$129:J$129,"&lt;0")=3,-J$88,0),IF(J$2=$G$2+$F$73,(J$82-$E$115)*J104,0))</f>
        <v>0</v>
      </c>
      <c r="K133" s="381">
        <f>IF(K$2&lt;$G$2+$F$73,IF(COUNTIF($G$129:K$129,"&lt;0")=3,-K$88,0),IF(K$2=$G$2+$F$73,(K$82-$E$115)*K104,0))</f>
        <v>0</v>
      </c>
      <c r="L133" s="381">
        <f ca="1">IF(L$2&lt;$G$2+$F$73,IF(COUNTIF($G$129:L$129,"&lt;0")=3,-L$88,0),IF(L$2=$G$2+$F$73,(L$82-$E$115)*L104,0))</f>
        <v>0</v>
      </c>
      <c r="M133" s="381">
        <f>IF(M$2&lt;$G$2+$F$73,IF(COUNTIF($G$129:M$129,"&lt;0")=3,-M$88,0),IF(M$2=$G$2+$F$73,(M$82-$E$115)*M104,0))</f>
        <v>0</v>
      </c>
      <c r="N133" s="381">
        <f>IF(N$2&lt;$G$2+$F$73,IF(COUNTIF($G$129:N$129,"&lt;0")=3,-N$88,0),IF(N$2=$G$2+$F$73,(N$82-$E$115)*N104,0))</f>
        <v>0</v>
      </c>
      <c r="O133" s="381">
        <f>IF(O$2&lt;$G$2+$F$73,IF(COUNTIF($G$129:O$129,"&lt;0")=3,-O$88,0),IF(O$2=$G$2+$F$73,(O$82-$E$115)*O104,0))</f>
        <v>0</v>
      </c>
      <c r="P133" s="381">
        <f>IF(P$2&lt;$G$2+$F$73,IF(COUNTIF($G$129:P$129,"&lt;0")=3,-P$88,0),IF(P$2=$G$2+$F$73,(P$82-$E$115)*P104,0))</f>
        <v>0</v>
      </c>
      <c r="Q133" s="381">
        <f>IF(Q$2&lt;$G$2+$F$73,IF(COUNTIF($G$129:Q$129,"&lt;0")=3,-Q$88,0),IF(Q$2=$G$2+$F$73,(Q$82-$E$115)*Q104,0))</f>
        <v>0</v>
      </c>
      <c r="R133" s="381">
        <f>IF(R$2&lt;$G$2+$F$73,IF(COUNTIF($G$129:R$129,"&lt;0")=3,-R$88,0),IF(R$2=$G$2+$F$73,(R$82-$E$115)*R104,0))</f>
        <v>0</v>
      </c>
      <c r="S133" s="381">
        <f>IF(S$2&lt;$G$2+$F$73,IF(COUNTIF($G$129:S$129,"&lt;0")=3,-S$88,0),IF(S$2=$G$2+$F$73,(S$82-$E$115)*S104,0))</f>
        <v>0</v>
      </c>
      <c r="T133" s="381">
        <f>IF(T$2&lt;$G$2+$F$73,IF(COUNTIF($G$129:T$129,"&lt;0")=3,-T$88,0),IF(T$2=$G$2+$F$73,(T$82-$E$115)*T104,0))</f>
        <v>0</v>
      </c>
      <c r="U133" s="381">
        <f>IF(U$2&lt;$G$2+$F$73,IF(COUNTIF($G$129:U$129,"&lt;0")=3,-U$88,0),IF(U$2=$G$2+$F$73,(U$82-$E$115)*U104,0))</f>
        <v>0</v>
      </c>
      <c r="V133" s="381">
        <f>IF(V$2&lt;$G$2+$F$73,IF(COUNTIF($G$129:V$129,"&lt;0")=3,-V$88,0),IF(V$2=$G$2+$F$73,(V$82-$E$115)*V104,0))</f>
        <v>0</v>
      </c>
      <c r="W133" s="381">
        <f>IF(W$2&lt;$G$2+$F$73,IF(COUNTIF($G$129:W$129,"&lt;0")=3,-W$88,0),IF(W$2=$G$2+$F$73,(W$82-$E$115)*W104,0))</f>
        <v>0</v>
      </c>
      <c r="X133" s="381">
        <f>IF(X$2&lt;$G$2+$F$73,IF(COUNTIF($G$129:X$129,"&lt;0")=3,-X$88,0),IF(X$2=$G$2+$F$73,(X$82-$E$115)*X104,0))</f>
        <v>0</v>
      </c>
      <c r="Y133" s="381">
        <f>IF(Y$2&lt;$G$2+$F$73,IF(COUNTIF($G$129:Y$129,"&lt;0")=3,-Y$88,0),IF(Y$2=$G$2+$F$73,(Y$82-$E$115)*Y104,0))</f>
        <v>0</v>
      </c>
      <c r="Z133" s="381">
        <f>IF(Z$2&lt;$G$2+$F$73,IF(COUNTIF($G$129:Z$129,"&lt;0")=3,-Z$88,0),IF(Z$2=$G$2+$F$73,(Z$82-$E$115)*Z104,0))</f>
        <v>0</v>
      </c>
      <c r="AA133" s="381">
        <f>IF(AA$2&lt;$G$2+$F$73,IF(COUNTIF($G$129:AA$129,"&lt;0")=3,-AA$88,0),IF(AA$2=$G$2+$F$73,(AA$82-$E$115)*AA104,0))</f>
        <v>0</v>
      </c>
      <c r="AB133" s="284"/>
      <c r="AC133" s="284"/>
      <c r="AD133" s="284"/>
      <c r="AE133" s="284"/>
      <c r="AF133" s="284"/>
      <c r="AG133" s="284"/>
      <c r="AH133" s="284"/>
      <c r="AI133" s="284"/>
      <c r="AJ133" s="284"/>
      <c r="AK133" s="284"/>
    </row>
    <row r="134" spans="1:37" s="340" customFormat="1" ht="13.5" customHeight="1" x14ac:dyDescent="0.45">
      <c r="A134" s="336"/>
      <c r="B134" s="337"/>
      <c r="C134" s="284" t="s">
        <v>388</v>
      </c>
      <c r="D134" s="362"/>
      <c r="E134" s="363"/>
      <c r="F134" s="389" t="str">
        <f t="shared" ca="1" si="33"/>
        <v>NA</v>
      </c>
      <c r="G134" s="381">
        <f>IF(G$2&lt;$G$2+$F$73,IF(COUNTIF($G$129:G$129,"&lt;0")&gt;3,-G$88,0),IF(G$2=$G$2+$F$73,(G$82-$E$115)*G105,0))</f>
        <v>0</v>
      </c>
      <c r="H134" s="381">
        <f>IF(H$2&lt;$G$2+$F$73,IF(COUNTIF($G$129:H$129,"&lt;0")&gt;3,-H$88,0),IF(H$2=$G$2+$F$73,(H$82-$E$115)*H105,0))</f>
        <v>0</v>
      </c>
      <c r="I134" s="381">
        <f>IF(I$2&lt;$G$2+$F$73,IF(COUNTIF($G$129:I$129,"&lt;0")&gt;3,-I$88,0),IF(I$2=$G$2+$F$73,(I$82-$E$115)*I105,0))</f>
        <v>0</v>
      </c>
      <c r="J134" s="381">
        <f>IF(J$2&lt;$G$2+$F$73,IF(COUNTIF($G$129:J$129,"&lt;0")&gt;3,-J$88,0),IF(J$2=$G$2+$F$73,(J$82-$E$115)*J105,0))</f>
        <v>0</v>
      </c>
      <c r="K134" s="381">
        <f>IF(K$2&lt;$G$2+$F$73,IF(COUNTIF($G$129:K$129,"&lt;0")&gt;3,-K$88,0),IF(K$2=$G$2+$F$73,(K$82-$E$115)*K105,0))</f>
        <v>0</v>
      </c>
      <c r="L134" s="381">
        <f ca="1">IF(L$2&lt;$G$2+$F$73,IF(COUNTIF($G$129:L$129,"&lt;0")&gt;3,-L$88,0),IF(L$2=$G$2+$F$73,(L$82-$E$115)*L105,0))</f>
        <v>0</v>
      </c>
      <c r="M134" s="381">
        <f>IF(M$2&lt;$G$2+$F$73,IF(COUNTIF($G$129:M$129,"&lt;0")&gt;3,-M$88,0),IF(M$2=$G$2+$F$73,(M$82-$E$115)*M105,0))</f>
        <v>0</v>
      </c>
      <c r="N134" s="381">
        <f>IF(N$2&lt;$G$2+$F$73,IF(COUNTIF($G$129:N$129,"&lt;0")&gt;3,-N$88,0),IF(N$2=$G$2+$F$73,(N$82-$E$115)*N105,0))</f>
        <v>0</v>
      </c>
      <c r="O134" s="381">
        <f>IF(O$2&lt;$G$2+$F$73,IF(COUNTIF($G$129:O$129,"&lt;0")&gt;3,-O$88,0),IF(O$2=$G$2+$F$73,(O$82-$E$115)*O105,0))</f>
        <v>0</v>
      </c>
      <c r="P134" s="381">
        <f>IF(P$2&lt;$G$2+$F$73,IF(COUNTIF($G$129:P$129,"&lt;0")&gt;3,-P$88,0),IF(P$2=$G$2+$F$73,(P$82-$E$115)*P105,0))</f>
        <v>0</v>
      </c>
      <c r="Q134" s="381">
        <f>IF(Q$2&lt;$G$2+$F$73,IF(COUNTIF($G$129:Q$129,"&lt;0")&gt;3,-Q$88,0),IF(Q$2=$G$2+$F$73,(Q$82-$E$115)*Q105,0))</f>
        <v>0</v>
      </c>
      <c r="R134" s="381">
        <f>IF(R$2&lt;$G$2+$F$73,IF(COUNTIF($G$129:R$129,"&lt;0")&gt;3,-R$88,0),IF(R$2=$G$2+$F$73,(R$82-$E$115)*R105,0))</f>
        <v>0</v>
      </c>
      <c r="S134" s="381">
        <f>IF(S$2&lt;$G$2+$F$73,IF(COUNTIF($G$129:S$129,"&lt;0")&gt;3,-S$88,0),IF(S$2=$G$2+$F$73,(S$82-$E$115)*S105,0))</f>
        <v>0</v>
      </c>
      <c r="T134" s="381">
        <f>IF(T$2&lt;$G$2+$F$73,IF(COUNTIF($G$129:T$129,"&lt;0")&gt;3,-T$88,0),IF(T$2=$G$2+$F$73,(T$82-$E$115)*T105,0))</f>
        <v>0</v>
      </c>
      <c r="U134" s="381">
        <f>IF(U$2&lt;$G$2+$F$73,IF(COUNTIF($G$129:U$129,"&lt;0")&gt;3,-U$88,0),IF(U$2=$G$2+$F$73,(U$82-$E$115)*U105,0))</f>
        <v>0</v>
      </c>
      <c r="V134" s="381">
        <f>IF(V$2&lt;$G$2+$F$73,IF(COUNTIF($G$129:V$129,"&lt;0")&gt;3,-V$88,0),IF(V$2=$G$2+$F$73,(V$82-$E$115)*V105,0))</f>
        <v>0</v>
      </c>
      <c r="W134" s="381">
        <f>IF(W$2&lt;$G$2+$F$73,IF(COUNTIF($G$129:W$129,"&lt;0")&gt;3,-W$88,0),IF(W$2=$G$2+$F$73,(W$82-$E$115)*W105,0))</f>
        <v>0</v>
      </c>
      <c r="X134" s="381">
        <f>IF(X$2&lt;$G$2+$F$73,IF(COUNTIF($G$129:X$129,"&lt;0")&gt;3,-X$88,0),IF(X$2=$G$2+$F$73,(X$82-$E$115)*X105,0))</f>
        <v>0</v>
      </c>
      <c r="Y134" s="381">
        <f>IF(Y$2&lt;$G$2+$F$73,IF(COUNTIF($G$129:Y$129,"&lt;0")&gt;3,-Y$88,0),IF(Y$2=$G$2+$F$73,(Y$82-$E$115)*Y105,0))</f>
        <v>0</v>
      </c>
      <c r="Z134" s="381">
        <f>IF(Z$2&lt;$G$2+$F$73,IF(COUNTIF($G$129:Z$129,"&lt;0")&gt;3,-Z$88,0),IF(Z$2=$G$2+$F$73,(Z$82-$E$115)*Z105,0))</f>
        <v>0</v>
      </c>
      <c r="AA134" s="381">
        <f>IF(AA$2&lt;$G$2+$F$73,IF(COUNTIF($G$129:AA$129,"&lt;0")&gt;3,-AA$88,0),IF(AA$2=$G$2+$F$73,(AA$82-$E$115)*AA105,0))</f>
        <v>0</v>
      </c>
      <c r="AB134" s="284"/>
      <c r="AC134" s="284"/>
      <c r="AD134" s="284"/>
      <c r="AE134" s="284"/>
      <c r="AF134" s="284"/>
      <c r="AG134" s="284"/>
      <c r="AH134" s="284"/>
      <c r="AI134" s="284"/>
      <c r="AJ134" s="284"/>
      <c r="AK134" s="284"/>
    </row>
    <row r="135" spans="1:37" s="340" customFormat="1" ht="13.5" customHeight="1" x14ac:dyDescent="0.45">
      <c r="A135" s="336"/>
      <c r="B135" s="337"/>
      <c r="C135" s="284"/>
      <c r="D135" s="362"/>
      <c r="E135" s="363"/>
      <c r="F135" s="391"/>
      <c r="G135" s="381"/>
      <c r="H135" s="381"/>
      <c r="I135" s="381"/>
      <c r="J135" s="381"/>
      <c r="K135" s="381"/>
      <c r="L135" s="381"/>
      <c r="M135" s="381"/>
      <c r="N135" s="381"/>
      <c r="O135" s="381"/>
      <c r="P135" s="381"/>
      <c r="Q135" s="381"/>
      <c r="R135" s="381"/>
      <c r="S135" s="381"/>
      <c r="T135" s="381"/>
      <c r="U135" s="381"/>
      <c r="V135" s="381"/>
      <c r="W135" s="381"/>
      <c r="X135" s="381"/>
      <c r="Y135" s="381"/>
      <c r="Z135" s="381"/>
      <c r="AA135" s="381"/>
      <c r="AB135" s="284"/>
      <c r="AC135" s="284"/>
      <c r="AD135" s="284"/>
      <c r="AE135" s="284"/>
      <c r="AF135" s="284"/>
      <c r="AG135" s="284"/>
      <c r="AH135" s="284"/>
      <c r="AI135" s="284"/>
      <c r="AJ135" s="284"/>
      <c r="AK135" s="284"/>
    </row>
    <row r="136" spans="1:37" ht="12.75" customHeight="1" x14ac:dyDescent="0.45">
      <c r="A136" s="334" t="s">
        <v>393</v>
      </c>
      <c r="B136" s="335"/>
      <c r="C136" s="335"/>
      <c r="D136" s="335"/>
      <c r="E136" s="335"/>
      <c r="F136" s="335"/>
      <c r="G136" s="335"/>
      <c r="H136" s="335"/>
      <c r="I136" s="284"/>
      <c r="J136" s="284"/>
      <c r="K136" s="284"/>
      <c r="L136" s="284"/>
      <c r="M136" s="284"/>
      <c r="N136" s="333"/>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row>
    <row r="137" spans="1:37" ht="12.75" customHeight="1" x14ac:dyDescent="0.45">
      <c r="A137" s="334"/>
      <c r="B137" s="334" t="s">
        <v>441</v>
      </c>
      <c r="C137" s="335"/>
      <c r="D137" s="335"/>
      <c r="E137" s="335"/>
      <c r="F137" s="335"/>
      <c r="G137" s="335"/>
      <c r="H137" s="335"/>
      <c r="I137" s="284"/>
      <c r="J137" s="284"/>
      <c r="K137" s="284"/>
      <c r="L137" s="284"/>
      <c r="M137" s="284"/>
      <c r="N137" s="333"/>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row>
    <row r="138" spans="1:37" ht="12.75" customHeight="1" x14ac:dyDescent="0.45">
      <c r="A138" s="335"/>
      <c r="B138" s="335"/>
      <c r="C138" s="335" t="s">
        <v>442</v>
      </c>
      <c r="E138" s="392" t="s">
        <v>814</v>
      </c>
      <c r="F138" s="335"/>
      <c r="G138" s="304">
        <f>G23</f>
        <v>0</v>
      </c>
      <c r="H138" s="304">
        <f t="shared" ref="H138:AA138" si="37">SUMIF($F$283:$F$296,$A136,H$283:H$296)</f>
        <v>0</v>
      </c>
      <c r="I138" s="304">
        <f t="shared" si="37"/>
        <v>0</v>
      </c>
      <c r="J138" s="304">
        <f t="shared" si="37"/>
        <v>0</v>
      </c>
      <c r="K138" s="304">
        <f t="shared" si="37"/>
        <v>0</v>
      </c>
      <c r="L138" s="304">
        <f t="shared" si="37"/>
        <v>0</v>
      </c>
      <c r="M138" s="304">
        <f t="shared" si="37"/>
        <v>0</v>
      </c>
      <c r="N138" s="304">
        <f t="shared" si="37"/>
        <v>0</v>
      </c>
      <c r="O138" s="304">
        <f t="shared" si="37"/>
        <v>0</v>
      </c>
      <c r="P138" s="304">
        <f t="shared" si="37"/>
        <v>0</v>
      </c>
      <c r="Q138" s="304">
        <f t="shared" si="37"/>
        <v>0</v>
      </c>
      <c r="R138" s="304">
        <f t="shared" si="37"/>
        <v>0</v>
      </c>
      <c r="S138" s="304">
        <f t="shared" si="37"/>
        <v>0</v>
      </c>
      <c r="T138" s="304">
        <f t="shared" si="37"/>
        <v>0</v>
      </c>
      <c r="U138" s="304">
        <f t="shared" si="37"/>
        <v>0</v>
      </c>
      <c r="V138" s="304">
        <f t="shared" si="37"/>
        <v>0</v>
      </c>
      <c r="W138" s="304">
        <f t="shared" si="37"/>
        <v>0</v>
      </c>
      <c r="X138" s="304">
        <f t="shared" si="37"/>
        <v>0</v>
      </c>
      <c r="Y138" s="304">
        <f t="shared" si="37"/>
        <v>0</v>
      </c>
      <c r="Z138" s="304">
        <f t="shared" si="37"/>
        <v>0</v>
      </c>
      <c r="AA138" s="304">
        <f t="shared" si="37"/>
        <v>0</v>
      </c>
      <c r="AB138" s="284"/>
      <c r="AC138" s="284"/>
      <c r="AD138" s="284"/>
      <c r="AE138" s="284"/>
      <c r="AF138" s="284"/>
      <c r="AG138" s="284"/>
      <c r="AH138" s="284"/>
      <c r="AI138" s="284"/>
      <c r="AJ138" s="284"/>
      <c r="AK138" s="284"/>
    </row>
    <row r="139" spans="1:37" ht="12.75" customHeight="1" x14ac:dyDescent="0.45">
      <c r="A139" s="335"/>
      <c r="B139" s="335"/>
      <c r="C139" s="335" t="s">
        <v>443</v>
      </c>
      <c r="E139" s="392" t="s">
        <v>814</v>
      </c>
      <c r="F139" s="335"/>
      <c r="G139" s="393"/>
      <c r="H139" s="393"/>
      <c r="I139" s="393"/>
      <c r="J139" s="393"/>
      <c r="K139" s="393"/>
      <c r="L139" s="393"/>
      <c r="M139" s="393"/>
      <c r="N139" s="393"/>
      <c r="O139" s="393"/>
      <c r="P139" s="393"/>
      <c r="Q139" s="393"/>
      <c r="R139" s="393"/>
      <c r="S139" s="393"/>
      <c r="T139" s="393"/>
      <c r="U139" s="393"/>
      <c r="V139" s="393"/>
      <c r="W139" s="393"/>
      <c r="X139" s="393"/>
      <c r="Y139" s="393"/>
      <c r="Z139" s="393"/>
      <c r="AA139" s="393"/>
      <c r="AB139" s="284"/>
      <c r="AC139" s="284"/>
      <c r="AD139" s="284"/>
      <c r="AE139" s="284"/>
      <c r="AF139" s="284"/>
      <c r="AG139" s="284"/>
      <c r="AH139" s="284"/>
      <c r="AI139" s="284"/>
      <c r="AJ139" s="284"/>
      <c r="AK139" s="284"/>
    </row>
    <row r="140" spans="1:37" ht="12.75" customHeight="1" x14ac:dyDescent="0.45">
      <c r="A140" s="335"/>
      <c r="B140" s="335"/>
      <c r="C140" s="335" t="s">
        <v>444</v>
      </c>
      <c r="E140" s="394">
        <v>0</v>
      </c>
      <c r="G140" s="335"/>
      <c r="H140" s="335"/>
      <c r="I140" s="335"/>
      <c r="J140" s="284"/>
      <c r="K140" s="284"/>
      <c r="L140" s="284"/>
      <c r="M140" s="284"/>
      <c r="N140" s="333"/>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row>
    <row r="141" spans="1:37" ht="12.75" customHeight="1" x14ac:dyDescent="0.45">
      <c r="A141" s="335"/>
      <c r="B141" s="335"/>
      <c r="C141" s="335" t="s">
        <v>445</v>
      </c>
      <c r="E141" s="395">
        <v>2025</v>
      </c>
      <c r="F141" s="392"/>
      <c r="G141" s="335"/>
      <c r="H141" s="335"/>
      <c r="I141" s="335"/>
      <c r="J141" s="284"/>
      <c r="K141" s="284"/>
      <c r="L141" s="284"/>
      <c r="M141" s="284"/>
      <c r="N141" s="333"/>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row>
    <row r="142" spans="1:37" ht="12.75" customHeight="1" x14ac:dyDescent="0.45">
      <c r="A142" s="335"/>
      <c r="B142" s="335"/>
      <c r="C142" s="335" t="s">
        <v>446</v>
      </c>
      <c r="E142" s="395">
        <v>2023</v>
      </c>
      <c r="F142" s="392"/>
      <c r="G142" s="335"/>
      <c r="H142" s="335"/>
      <c r="I142" s="335"/>
      <c r="J142" s="284"/>
      <c r="K142" s="284"/>
      <c r="L142" s="284"/>
      <c r="M142" s="284"/>
      <c r="N142" s="333"/>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row>
    <row r="143" spans="1:37" ht="12.75" customHeight="1" x14ac:dyDescent="0.45">
      <c r="A143" s="335"/>
      <c r="B143" s="334" t="s">
        <v>447</v>
      </c>
      <c r="C143" s="335"/>
      <c r="E143" s="335"/>
      <c r="F143" s="335"/>
      <c r="G143" s="335"/>
      <c r="H143" s="335"/>
      <c r="I143" s="335"/>
      <c r="J143" s="284"/>
      <c r="K143" s="284"/>
      <c r="L143" s="284"/>
      <c r="M143" s="284"/>
      <c r="N143" s="333"/>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row>
    <row r="144" spans="1:37" ht="12.75" customHeight="1" x14ac:dyDescent="0.45">
      <c r="A144" s="335"/>
      <c r="B144" s="335"/>
      <c r="C144" s="335" t="s">
        <v>448</v>
      </c>
      <c r="E144" s="392" t="s">
        <v>814</v>
      </c>
      <c r="F144" s="335"/>
      <c r="G144" s="396">
        <f>F149</f>
        <v>0</v>
      </c>
      <c r="H144" s="396">
        <f>G149</f>
        <v>0</v>
      </c>
      <c r="I144" s="396">
        <f t="shared" ref="I144:AA144" si="38">H149</f>
        <v>0</v>
      </c>
      <c r="J144" s="396">
        <f t="shared" si="38"/>
        <v>0</v>
      </c>
      <c r="K144" s="396">
        <f t="shared" si="38"/>
        <v>0</v>
      </c>
      <c r="L144" s="396">
        <f t="shared" si="38"/>
        <v>0</v>
      </c>
      <c r="M144" s="396">
        <f t="shared" si="38"/>
        <v>0</v>
      </c>
      <c r="N144" s="396">
        <f t="shared" si="38"/>
        <v>0</v>
      </c>
      <c r="O144" s="396">
        <f t="shared" si="38"/>
        <v>0</v>
      </c>
      <c r="P144" s="396">
        <f t="shared" si="38"/>
        <v>0</v>
      </c>
      <c r="Q144" s="396">
        <f t="shared" si="38"/>
        <v>0</v>
      </c>
      <c r="R144" s="396">
        <f t="shared" si="38"/>
        <v>0</v>
      </c>
      <c r="S144" s="396">
        <f t="shared" si="38"/>
        <v>0</v>
      </c>
      <c r="T144" s="396">
        <f t="shared" si="38"/>
        <v>0</v>
      </c>
      <c r="U144" s="396">
        <f t="shared" si="38"/>
        <v>0</v>
      </c>
      <c r="V144" s="396">
        <f t="shared" si="38"/>
        <v>0</v>
      </c>
      <c r="W144" s="396">
        <f t="shared" si="38"/>
        <v>0</v>
      </c>
      <c r="X144" s="396">
        <f t="shared" si="38"/>
        <v>0</v>
      </c>
      <c r="Y144" s="396">
        <f t="shared" si="38"/>
        <v>0</v>
      </c>
      <c r="Z144" s="396">
        <f t="shared" si="38"/>
        <v>0</v>
      </c>
      <c r="AA144" s="396">
        <f t="shared" si="38"/>
        <v>0</v>
      </c>
      <c r="AB144" s="284"/>
      <c r="AC144" s="284"/>
      <c r="AD144" s="284"/>
      <c r="AE144" s="284"/>
      <c r="AF144" s="284"/>
      <c r="AG144" s="284"/>
      <c r="AH144" s="284"/>
      <c r="AI144" s="284"/>
      <c r="AJ144" s="284"/>
      <c r="AK144" s="284"/>
    </row>
    <row r="145" spans="1:37" ht="12.75" customHeight="1" x14ac:dyDescent="0.45">
      <c r="A145" s="335"/>
      <c r="B145" s="335"/>
      <c r="C145" s="335" t="s">
        <v>449</v>
      </c>
      <c r="E145" s="392" t="s">
        <v>814</v>
      </c>
      <c r="F145" s="335"/>
      <c r="G145" s="396">
        <f t="shared" ref="G145:AA145" si="39">G138</f>
        <v>0</v>
      </c>
      <c r="H145" s="396">
        <f t="shared" si="39"/>
        <v>0</v>
      </c>
      <c r="I145" s="396">
        <f t="shared" si="39"/>
        <v>0</v>
      </c>
      <c r="J145" s="396">
        <f t="shared" si="39"/>
        <v>0</v>
      </c>
      <c r="K145" s="396">
        <f t="shared" si="39"/>
        <v>0</v>
      </c>
      <c r="L145" s="396">
        <f t="shared" si="39"/>
        <v>0</v>
      </c>
      <c r="M145" s="396">
        <f t="shared" si="39"/>
        <v>0</v>
      </c>
      <c r="N145" s="396">
        <f t="shared" si="39"/>
        <v>0</v>
      </c>
      <c r="O145" s="396">
        <f t="shared" si="39"/>
        <v>0</v>
      </c>
      <c r="P145" s="396">
        <f t="shared" si="39"/>
        <v>0</v>
      </c>
      <c r="Q145" s="396">
        <f t="shared" si="39"/>
        <v>0</v>
      </c>
      <c r="R145" s="396">
        <f t="shared" si="39"/>
        <v>0</v>
      </c>
      <c r="S145" s="396">
        <f t="shared" si="39"/>
        <v>0</v>
      </c>
      <c r="T145" s="396">
        <f t="shared" si="39"/>
        <v>0</v>
      </c>
      <c r="U145" s="396">
        <f t="shared" si="39"/>
        <v>0</v>
      </c>
      <c r="V145" s="396">
        <f t="shared" si="39"/>
        <v>0</v>
      </c>
      <c r="W145" s="396">
        <f t="shared" si="39"/>
        <v>0</v>
      </c>
      <c r="X145" s="396">
        <f t="shared" si="39"/>
        <v>0</v>
      </c>
      <c r="Y145" s="396">
        <f t="shared" si="39"/>
        <v>0</v>
      </c>
      <c r="Z145" s="396">
        <f t="shared" si="39"/>
        <v>0</v>
      </c>
      <c r="AA145" s="396">
        <f t="shared" si="39"/>
        <v>0</v>
      </c>
      <c r="AB145" s="284"/>
      <c r="AC145" s="284"/>
      <c r="AD145" s="284"/>
      <c r="AE145" s="284"/>
      <c r="AF145" s="284"/>
      <c r="AG145" s="284"/>
      <c r="AH145" s="284"/>
      <c r="AI145" s="284"/>
      <c r="AJ145" s="284"/>
      <c r="AK145" s="284"/>
    </row>
    <row r="146" spans="1:37" ht="12.75" customHeight="1" x14ac:dyDescent="0.45">
      <c r="A146" s="335"/>
      <c r="B146" s="335"/>
      <c r="C146" s="335" t="s">
        <v>450</v>
      </c>
      <c r="E146" s="392" t="s">
        <v>814</v>
      </c>
      <c r="F146" s="335"/>
      <c r="G146" s="396">
        <f>IF(SUM($F145:G145)=0,0,IF(G$2&lt;=$E141,SLN(SUM($F138:G138)-SUM($F146:F146),MIN(SUM($F138:G138)-SUM($F146:F146),SUM($F139:$BM139)),$E141-G$2+1),0))</f>
        <v>0</v>
      </c>
      <c r="H146" s="396">
        <f>IF(SUM($F145:H145)=0,0,IF(H$2&lt;=$E141,SLN(SUM($F138:H138)-SUM($F146:G146),MIN(SUM($F138:H138)-SUM($F146:G146),SUM($F139:$BM139)),$E141-H$2+1),0))</f>
        <v>0</v>
      </c>
      <c r="I146" s="396">
        <f>IF(SUM($F145:I145)=0,0,IF(I$2&lt;=$E141,SLN(SUM($F138:I138)-SUM($F146:H146),MIN(SUM($F138:I138)-SUM($F146:H146),SUM($F139:$BM139)),$E141-I$2+1),0))</f>
        <v>0</v>
      </c>
      <c r="J146" s="396">
        <f>IF(SUM($F145:J145)=0,0,IF(J$2&lt;=$E141,SLN(SUM($F138:J138)-SUM($F146:I146),MIN(SUM($F138:J138)-SUM($F146:I146),SUM($F139:$BM139)),$E141-J$2+1),0))</f>
        <v>0</v>
      </c>
      <c r="K146" s="396">
        <f>IF(SUM($F145:K145)=0,0,IF(K$2&lt;=$E141,SLN(SUM($F138:K138)-SUM($F146:J146),MIN(SUM($F138:K138)-SUM($F146:J146),SUM($F139:$BM139)),$E141-K$2+1),0))</f>
        <v>0</v>
      </c>
      <c r="L146" s="396">
        <f>IF(SUM($F145:L145)=0,0,IF(L$2&lt;=$E141,SLN(SUM($F138:L138)-SUM($F146:K146),MIN(SUM($F138:L138)-SUM($F146:K146),SUM($F139:$BM139)),$E141-L$2+1),0))</f>
        <v>0</v>
      </c>
      <c r="M146" s="396">
        <f>IF(SUM($F145:M145)=0,0,IF(M$2&lt;=$E141,SLN(SUM($F138:M138)-SUM($F146:L146),MIN(SUM($F138:M138)-SUM($F146:L146),SUM($F139:$BM139)),$E141-M$2+1),0))</f>
        <v>0</v>
      </c>
      <c r="N146" s="396">
        <f>IF(SUM($F145:N145)=0,0,IF(N$2&lt;=$E141,SLN(SUM($F138:N138)-SUM($F146:M146),MIN(SUM($F138:N138)-SUM($F146:M146),SUM($F139:$BM139)),$E141-N$2+1),0))</f>
        <v>0</v>
      </c>
      <c r="O146" s="396">
        <f>IF(SUM($F145:O145)=0,0,IF(O$2&lt;=$E141,SLN(SUM($F138:O138)-SUM($F146:N146),MIN(SUM($F138:O138)-SUM($F146:N146),SUM($F139:$BM139)),$E141-O$2+1),0))</f>
        <v>0</v>
      </c>
      <c r="P146" s="396">
        <f>IF(SUM($F145:P145)=0,0,IF(P$2&lt;=$E141,SLN(SUM($F138:P138)-SUM($F146:O146),MIN(SUM($F138:P138)-SUM($F146:O146),SUM($F139:$BM139)),$E141-P$2+1),0))</f>
        <v>0</v>
      </c>
      <c r="Q146" s="396">
        <f>IF(SUM($F145:Q145)=0,0,IF(Q$2&lt;=$E141,SLN(SUM($F138:Q138)-SUM($F146:P146),MIN(SUM($F138:Q138)-SUM($F146:P146),SUM($F139:$BM139)),$E141-Q$2+1),0))</f>
        <v>0</v>
      </c>
      <c r="R146" s="396">
        <f>IF(SUM($F145:R145)=0,0,IF(R$2&lt;=$E141,SLN(SUM($F138:R138)-SUM($F146:Q146),MIN(SUM($F138:R138)-SUM($F146:Q146),SUM($F139:$BM139)),$E141-R$2+1),0))</f>
        <v>0</v>
      </c>
      <c r="S146" s="396">
        <f>IF(SUM($F145:S145)=0,0,IF(S$2&lt;=$E141,SLN(SUM($F138:S138)-SUM($F146:R146),MIN(SUM($F138:S138)-SUM($F146:R146),SUM($F139:$BM139)),$E141-S$2+1),0))</f>
        <v>0</v>
      </c>
      <c r="T146" s="396">
        <f>IF(SUM($F145:T145)=0,0,IF(T$2&lt;=$E141,SLN(SUM($F138:T138)-SUM($F146:S146),MIN(SUM($F138:T138)-SUM($F146:S146),SUM($F139:$BM139)),$E141-T$2+1),0))</f>
        <v>0</v>
      </c>
      <c r="U146" s="396">
        <f>IF(SUM($F145:U145)=0,0,IF(U$2&lt;=$E141,SLN(SUM($F138:U138)-SUM($F146:T146),MIN(SUM($F138:U138)-SUM($F146:T146),SUM($F139:$BM139)),$E141-U$2+1),0))</f>
        <v>0</v>
      </c>
      <c r="V146" s="396">
        <f>IF(SUM($F145:V145)=0,0,IF(V$2&lt;=$E141,SLN(SUM($F138:V138)-SUM($F146:U146),MIN(SUM($F138:V138)-SUM($F146:U146),SUM($F139:$BM139)),$E141-V$2+1),0))</f>
        <v>0</v>
      </c>
      <c r="W146" s="396">
        <f>IF(SUM($F145:W145)=0,0,IF(W$2&lt;=$E141,SLN(SUM($F138:W138)-SUM($F146:V146),MIN(SUM($F138:W138)-SUM($F146:V146),SUM($F139:$BM139)),$E141-W$2+1),0))</f>
        <v>0</v>
      </c>
      <c r="X146" s="396">
        <f>IF(SUM($F145:X145)=0,0,IF(X$2&lt;=$E141,SLN(SUM($F138:X138)-SUM($F146:W146),MIN(SUM($F138:X138)-SUM($F146:W146),SUM($F139:$BM139)),$E141-X$2+1),0))</f>
        <v>0</v>
      </c>
      <c r="Y146" s="396">
        <f>IF(SUM($F145:Y145)=0,0,IF(Y$2&lt;=$E141,SLN(SUM($F138:Y138)-SUM($F146:X146),MIN(SUM($F138:Y138)-SUM($F146:X146),SUM($F139:$BM139)),$E141-Y$2+1),0))</f>
        <v>0</v>
      </c>
      <c r="Z146" s="396">
        <f>IF(SUM($F145:Z145)=0,0,IF(Z$2&lt;=$E141,SLN(SUM($F138:Z138)-SUM($F146:Y146),MIN(SUM($F138:Z138)-SUM($F146:Y146),SUM($F139:$BM139)),$E141-Z$2+1),0))</f>
        <v>0</v>
      </c>
      <c r="AA146" s="396">
        <f>IF(SUM($F145:AA145)=0,0,IF(AA$2&lt;=$E141,SLN(SUM($F138:AA138)-SUM($F146:Z146),MIN(SUM($F138:AA138)-SUM($F146:Z146),SUM($F139:$BM139)),$E141-AA$2+1),0))</f>
        <v>0</v>
      </c>
      <c r="AB146" s="284"/>
      <c r="AC146" s="284"/>
      <c r="AD146" s="284"/>
      <c r="AE146" s="284"/>
      <c r="AF146" s="284"/>
      <c r="AG146" s="284"/>
      <c r="AH146" s="284"/>
      <c r="AI146" s="284"/>
      <c r="AJ146" s="284"/>
      <c r="AK146" s="284"/>
    </row>
    <row r="147" spans="1:37" ht="12.75" customHeight="1" x14ac:dyDescent="0.45">
      <c r="A147" s="335"/>
      <c r="B147" s="335"/>
      <c r="C147" s="335" t="s">
        <v>451</v>
      </c>
      <c r="E147" s="392" t="s">
        <v>814</v>
      </c>
      <c r="F147" s="335"/>
      <c r="G147" s="396">
        <f>G153</f>
        <v>0</v>
      </c>
      <c r="H147" s="396">
        <f t="shared" ref="H147:AA147" si="40">H153</f>
        <v>0</v>
      </c>
      <c r="I147" s="396">
        <f t="shared" si="40"/>
        <v>0</v>
      </c>
      <c r="J147" s="396">
        <f t="shared" si="40"/>
        <v>0</v>
      </c>
      <c r="K147" s="396">
        <f t="shared" si="40"/>
        <v>0</v>
      </c>
      <c r="L147" s="396">
        <f t="shared" si="40"/>
        <v>0</v>
      </c>
      <c r="M147" s="396">
        <f t="shared" si="40"/>
        <v>0</v>
      </c>
      <c r="N147" s="396">
        <f t="shared" si="40"/>
        <v>0</v>
      </c>
      <c r="O147" s="396">
        <f t="shared" si="40"/>
        <v>0</v>
      </c>
      <c r="P147" s="396">
        <f t="shared" si="40"/>
        <v>0</v>
      </c>
      <c r="Q147" s="396">
        <f t="shared" si="40"/>
        <v>0</v>
      </c>
      <c r="R147" s="396">
        <f t="shared" si="40"/>
        <v>0</v>
      </c>
      <c r="S147" s="396">
        <f t="shared" si="40"/>
        <v>0</v>
      </c>
      <c r="T147" s="396">
        <f t="shared" si="40"/>
        <v>0</v>
      </c>
      <c r="U147" s="396">
        <f t="shared" si="40"/>
        <v>0</v>
      </c>
      <c r="V147" s="396">
        <f t="shared" si="40"/>
        <v>0</v>
      </c>
      <c r="W147" s="396">
        <f t="shared" si="40"/>
        <v>0</v>
      </c>
      <c r="X147" s="396">
        <f t="shared" si="40"/>
        <v>0</v>
      </c>
      <c r="Y147" s="396">
        <f t="shared" si="40"/>
        <v>0</v>
      </c>
      <c r="Z147" s="396">
        <f t="shared" si="40"/>
        <v>0</v>
      </c>
      <c r="AA147" s="396">
        <f t="shared" si="40"/>
        <v>0</v>
      </c>
      <c r="AB147" s="284"/>
      <c r="AC147" s="284"/>
      <c r="AD147" s="284"/>
      <c r="AE147" s="284"/>
      <c r="AF147" s="284"/>
      <c r="AG147" s="284"/>
      <c r="AH147" s="284"/>
      <c r="AI147" s="284"/>
      <c r="AJ147" s="284"/>
      <c r="AK147" s="284"/>
    </row>
    <row r="148" spans="1:37" ht="12.75" customHeight="1" x14ac:dyDescent="0.45">
      <c r="A148" s="335"/>
      <c r="B148" s="335"/>
      <c r="C148" s="335" t="s">
        <v>452</v>
      </c>
      <c r="E148" s="392" t="s">
        <v>814</v>
      </c>
      <c r="F148" s="335"/>
      <c r="G148" s="393"/>
      <c r="H148" s="393"/>
      <c r="I148" s="393"/>
      <c r="J148" s="393"/>
      <c r="K148" s="393"/>
      <c r="L148" s="393"/>
      <c r="M148" s="393"/>
      <c r="N148" s="393"/>
      <c r="O148" s="393"/>
      <c r="P148" s="393"/>
      <c r="Q148" s="393"/>
      <c r="R148" s="393"/>
      <c r="S148" s="393"/>
      <c r="T148" s="393"/>
      <c r="U148" s="393"/>
      <c r="V148" s="393"/>
      <c r="W148" s="393"/>
      <c r="X148" s="393"/>
      <c r="Y148" s="393"/>
      <c r="Z148" s="393"/>
      <c r="AA148" s="393"/>
      <c r="AB148" s="284"/>
      <c r="AC148" s="284"/>
      <c r="AD148" s="284"/>
      <c r="AE148" s="284"/>
      <c r="AF148" s="284"/>
      <c r="AG148" s="284"/>
      <c r="AH148" s="284"/>
      <c r="AI148" s="284"/>
      <c r="AJ148" s="284"/>
      <c r="AK148" s="284"/>
    </row>
    <row r="149" spans="1:37" ht="12.75" customHeight="1" x14ac:dyDescent="0.45">
      <c r="A149" s="335"/>
      <c r="B149" s="335"/>
      <c r="C149" s="335" t="s">
        <v>453</v>
      </c>
      <c r="E149" s="392" t="s">
        <v>814</v>
      </c>
      <c r="F149" s="393"/>
      <c r="G149" s="396">
        <f>G144+G145-G146+G147-G148</f>
        <v>0</v>
      </c>
      <c r="H149" s="396">
        <f t="shared" ref="H149:AA149" si="41">H144+H145-H146+H147-H148</f>
        <v>0</v>
      </c>
      <c r="I149" s="396">
        <f t="shared" si="41"/>
        <v>0</v>
      </c>
      <c r="J149" s="396">
        <f t="shared" si="41"/>
        <v>0</v>
      </c>
      <c r="K149" s="396">
        <f t="shared" si="41"/>
        <v>0</v>
      </c>
      <c r="L149" s="396">
        <f t="shared" si="41"/>
        <v>0</v>
      </c>
      <c r="M149" s="396">
        <f t="shared" si="41"/>
        <v>0</v>
      </c>
      <c r="N149" s="396">
        <f t="shared" si="41"/>
        <v>0</v>
      </c>
      <c r="O149" s="396">
        <f t="shared" si="41"/>
        <v>0</v>
      </c>
      <c r="P149" s="396">
        <f t="shared" si="41"/>
        <v>0</v>
      </c>
      <c r="Q149" s="396">
        <f t="shared" si="41"/>
        <v>0</v>
      </c>
      <c r="R149" s="396">
        <f t="shared" si="41"/>
        <v>0</v>
      </c>
      <c r="S149" s="396">
        <f t="shared" si="41"/>
        <v>0</v>
      </c>
      <c r="T149" s="396">
        <f t="shared" si="41"/>
        <v>0</v>
      </c>
      <c r="U149" s="396">
        <f t="shared" si="41"/>
        <v>0</v>
      </c>
      <c r="V149" s="396">
        <f t="shared" si="41"/>
        <v>0</v>
      </c>
      <c r="W149" s="396">
        <f t="shared" si="41"/>
        <v>0</v>
      </c>
      <c r="X149" s="396">
        <f t="shared" si="41"/>
        <v>0</v>
      </c>
      <c r="Y149" s="396">
        <f t="shared" si="41"/>
        <v>0</v>
      </c>
      <c r="Z149" s="396">
        <f t="shared" si="41"/>
        <v>0</v>
      </c>
      <c r="AA149" s="396">
        <f t="shared" si="41"/>
        <v>0</v>
      </c>
      <c r="AB149" s="284"/>
      <c r="AC149" s="284"/>
      <c r="AD149" s="284"/>
      <c r="AE149" s="284"/>
      <c r="AF149" s="284"/>
      <c r="AG149" s="284"/>
      <c r="AH149" s="284"/>
      <c r="AI149" s="284"/>
      <c r="AJ149" s="284"/>
      <c r="AK149" s="284"/>
    </row>
    <row r="150" spans="1:37" ht="12.75" customHeight="1" x14ac:dyDescent="0.45">
      <c r="A150" s="335"/>
      <c r="B150" s="334" t="s">
        <v>28</v>
      </c>
      <c r="C150" s="335"/>
      <c r="E150" s="335"/>
      <c r="F150" s="335"/>
      <c r="G150" s="396"/>
      <c r="H150" s="396"/>
      <c r="I150" s="396"/>
      <c r="J150" s="284"/>
      <c r="K150" s="284"/>
      <c r="L150" s="284"/>
      <c r="M150" s="284"/>
      <c r="N150" s="333"/>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row>
    <row r="151" spans="1:37" ht="12.75" customHeight="1" x14ac:dyDescent="0.45">
      <c r="A151" s="335"/>
      <c r="B151" s="335"/>
      <c r="C151" s="335" t="s">
        <v>454</v>
      </c>
      <c r="E151" s="335"/>
      <c r="F151" s="335"/>
      <c r="G151" s="396"/>
      <c r="H151" s="396"/>
      <c r="I151" s="396"/>
      <c r="J151" s="284"/>
      <c r="K151" s="284"/>
      <c r="L151" s="284"/>
      <c r="M151" s="284"/>
      <c r="N151" s="333"/>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row>
    <row r="152" spans="1:37" ht="12.75" customHeight="1" x14ac:dyDescent="0.45">
      <c r="A152" s="335"/>
      <c r="B152" s="335"/>
      <c r="C152" s="335" t="s">
        <v>455</v>
      </c>
      <c r="E152" s="392" t="s">
        <v>814</v>
      </c>
      <c r="F152" s="335"/>
      <c r="G152" s="396">
        <f t="shared" ref="G152:AA152" si="42">(G144+G145)*$E140</f>
        <v>0</v>
      </c>
      <c r="H152" s="396">
        <f t="shared" si="42"/>
        <v>0</v>
      </c>
      <c r="I152" s="396">
        <f t="shared" si="42"/>
        <v>0</v>
      </c>
      <c r="J152" s="396">
        <f t="shared" si="42"/>
        <v>0</v>
      </c>
      <c r="K152" s="396">
        <f t="shared" si="42"/>
        <v>0</v>
      </c>
      <c r="L152" s="396">
        <f t="shared" si="42"/>
        <v>0</v>
      </c>
      <c r="M152" s="396">
        <f t="shared" si="42"/>
        <v>0</v>
      </c>
      <c r="N152" s="396">
        <f t="shared" si="42"/>
        <v>0</v>
      </c>
      <c r="O152" s="396">
        <f t="shared" si="42"/>
        <v>0</v>
      </c>
      <c r="P152" s="396">
        <f t="shared" si="42"/>
        <v>0</v>
      </c>
      <c r="Q152" s="396">
        <f t="shared" si="42"/>
        <v>0</v>
      </c>
      <c r="R152" s="396">
        <f t="shared" si="42"/>
        <v>0</v>
      </c>
      <c r="S152" s="396">
        <f t="shared" si="42"/>
        <v>0</v>
      </c>
      <c r="T152" s="396">
        <f t="shared" si="42"/>
        <v>0</v>
      </c>
      <c r="U152" s="396">
        <f t="shared" si="42"/>
        <v>0</v>
      </c>
      <c r="V152" s="396">
        <f t="shared" si="42"/>
        <v>0</v>
      </c>
      <c r="W152" s="396">
        <f t="shared" si="42"/>
        <v>0</v>
      </c>
      <c r="X152" s="396">
        <f t="shared" si="42"/>
        <v>0</v>
      </c>
      <c r="Y152" s="396">
        <f t="shared" si="42"/>
        <v>0</v>
      </c>
      <c r="Z152" s="396">
        <f t="shared" si="42"/>
        <v>0</v>
      </c>
      <c r="AA152" s="396">
        <f t="shared" si="42"/>
        <v>0</v>
      </c>
      <c r="AB152" s="284"/>
      <c r="AC152" s="284"/>
      <c r="AD152" s="284"/>
      <c r="AE152" s="284"/>
      <c r="AF152" s="284"/>
      <c r="AG152" s="284"/>
      <c r="AH152" s="284"/>
      <c r="AI152" s="284"/>
      <c r="AJ152" s="284"/>
      <c r="AK152" s="284"/>
    </row>
    <row r="153" spans="1:37" ht="12.75" customHeight="1" x14ac:dyDescent="0.45">
      <c r="A153" s="335"/>
      <c r="B153" s="335"/>
      <c r="C153" s="397" t="s">
        <v>456</v>
      </c>
      <c r="E153" s="392" t="s">
        <v>814</v>
      </c>
      <c r="F153" s="335"/>
      <c r="G153" s="396">
        <f>IF(G$2&lt;=$E142, G152,0)</f>
        <v>0</v>
      </c>
      <c r="H153" s="396">
        <f t="shared" ref="H153:AA153" si="43">IF(H$2&lt;=$E142, H152,0)</f>
        <v>0</v>
      </c>
      <c r="I153" s="396">
        <f t="shared" si="43"/>
        <v>0</v>
      </c>
      <c r="J153" s="396">
        <f t="shared" si="43"/>
        <v>0</v>
      </c>
      <c r="K153" s="396">
        <f t="shared" si="43"/>
        <v>0</v>
      </c>
      <c r="L153" s="396">
        <f t="shared" si="43"/>
        <v>0</v>
      </c>
      <c r="M153" s="396">
        <f t="shared" si="43"/>
        <v>0</v>
      </c>
      <c r="N153" s="396">
        <f t="shared" si="43"/>
        <v>0</v>
      </c>
      <c r="O153" s="396">
        <f t="shared" si="43"/>
        <v>0</v>
      </c>
      <c r="P153" s="396">
        <f t="shared" si="43"/>
        <v>0</v>
      </c>
      <c r="Q153" s="396">
        <f t="shared" si="43"/>
        <v>0</v>
      </c>
      <c r="R153" s="396">
        <f t="shared" si="43"/>
        <v>0</v>
      </c>
      <c r="S153" s="396">
        <f t="shared" si="43"/>
        <v>0</v>
      </c>
      <c r="T153" s="396">
        <f t="shared" si="43"/>
        <v>0</v>
      </c>
      <c r="U153" s="396">
        <f t="shared" si="43"/>
        <v>0</v>
      </c>
      <c r="V153" s="396">
        <f t="shared" si="43"/>
        <v>0</v>
      </c>
      <c r="W153" s="396">
        <f t="shared" si="43"/>
        <v>0</v>
      </c>
      <c r="X153" s="396">
        <f t="shared" si="43"/>
        <v>0</v>
      </c>
      <c r="Y153" s="396">
        <f t="shared" si="43"/>
        <v>0</v>
      </c>
      <c r="Z153" s="396">
        <f t="shared" si="43"/>
        <v>0</v>
      </c>
      <c r="AA153" s="396">
        <f t="shared" si="43"/>
        <v>0</v>
      </c>
      <c r="AB153" s="284"/>
      <c r="AC153" s="284"/>
      <c r="AD153" s="284"/>
      <c r="AE153" s="284"/>
      <c r="AF153" s="284"/>
      <c r="AG153" s="284"/>
      <c r="AH153" s="284"/>
      <c r="AI153" s="284"/>
      <c r="AJ153" s="284"/>
      <c r="AK153" s="284"/>
    </row>
    <row r="154" spans="1:37" ht="12.75" customHeight="1" x14ac:dyDescent="0.45">
      <c r="A154" s="335"/>
      <c r="B154" s="335"/>
      <c r="C154" s="397" t="s">
        <v>457</v>
      </c>
      <c r="E154" s="392" t="s">
        <v>814</v>
      </c>
      <c r="F154" s="335"/>
      <c r="G154" s="396">
        <f t="shared" ref="G154:AA154" si="44">G152-G153</f>
        <v>0</v>
      </c>
      <c r="H154" s="396">
        <f t="shared" si="44"/>
        <v>0</v>
      </c>
      <c r="I154" s="396">
        <f t="shared" si="44"/>
        <v>0</v>
      </c>
      <c r="J154" s="396">
        <f t="shared" si="44"/>
        <v>0</v>
      </c>
      <c r="K154" s="396">
        <f t="shared" si="44"/>
        <v>0</v>
      </c>
      <c r="L154" s="396">
        <f t="shared" si="44"/>
        <v>0</v>
      </c>
      <c r="M154" s="396">
        <f t="shared" si="44"/>
        <v>0</v>
      </c>
      <c r="N154" s="396">
        <f t="shared" si="44"/>
        <v>0</v>
      </c>
      <c r="O154" s="396">
        <f t="shared" si="44"/>
        <v>0</v>
      </c>
      <c r="P154" s="396">
        <f t="shared" si="44"/>
        <v>0</v>
      </c>
      <c r="Q154" s="396">
        <f t="shared" si="44"/>
        <v>0</v>
      </c>
      <c r="R154" s="396">
        <f t="shared" si="44"/>
        <v>0</v>
      </c>
      <c r="S154" s="396">
        <f t="shared" si="44"/>
        <v>0</v>
      </c>
      <c r="T154" s="396">
        <f t="shared" si="44"/>
        <v>0</v>
      </c>
      <c r="U154" s="396">
        <f t="shared" si="44"/>
        <v>0</v>
      </c>
      <c r="V154" s="396">
        <f t="shared" si="44"/>
        <v>0</v>
      </c>
      <c r="W154" s="396">
        <f t="shared" si="44"/>
        <v>0</v>
      </c>
      <c r="X154" s="396">
        <f t="shared" si="44"/>
        <v>0</v>
      </c>
      <c r="Y154" s="396">
        <f t="shared" si="44"/>
        <v>0</v>
      </c>
      <c r="Z154" s="396">
        <f t="shared" si="44"/>
        <v>0</v>
      </c>
      <c r="AA154" s="396">
        <f t="shared" si="44"/>
        <v>0</v>
      </c>
      <c r="AB154" s="284"/>
      <c r="AC154" s="284"/>
      <c r="AD154" s="284"/>
      <c r="AE154" s="284"/>
      <c r="AF154" s="284"/>
      <c r="AG154" s="284"/>
      <c r="AH154" s="284"/>
      <c r="AI154" s="284"/>
      <c r="AJ154" s="284"/>
      <c r="AK154" s="284"/>
    </row>
    <row r="155" spans="1:37" ht="12.75" customHeight="1" x14ac:dyDescent="0.45">
      <c r="A155" s="335"/>
      <c r="B155" s="335"/>
      <c r="C155" s="335"/>
      <c r="E155" s="335"/>
      <c r="F155" s="335"/>
      <c r="G155" s="335"/>
      <c r="H155" s="335"/>
      <c r="I155" s="335"/>
      <c r="J155" s="284"/>
      <c r="K155" s="284"/>
      <c r="L155" s="284"/>
      <c r="M155" s="284"/>
      <c r="N155" s="333"/>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row>
    <row r="156" spans="1:37" ht="12.75" customHeight="1" x14ac:dyDescent="0.45">
      <c r="A156" s="334" t="s">
        <v>389</v>
      </c>
      <c r="B156" s="335"/>
      <c r="C156" s="335"/>
      <c r="D156" s="335"/>
      <c r="E156" s="335"/>
      <c r="F156" s="335"/>
      <c r="G156" s="335"/>
      <c r="H156" s="335"/>
      <c r="I156" s="284"/>
      <c r="J156" s="284"/>
      <c r="K156" s="284"/>
      <c r="L156" s="284"/>
      <c r="M156" s="284"/>
      <c r="N156" s="333"/>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row>
    <row r="157" spans="1:37" ht="12.75" customHeight="1" x14ac:dyDescent="0.45">
      <c r="A157" s="334"/>
      <c r="B157" s="334" t="s">
        <v>441</v>
      </c>
      <c r="C157" s="335"/>
      <c r="D157" s="335"/>
      <c r="E157" s="335"/>
      <c r="F157" s="335"/>
      <c r="G157" s="335"/>
      <c r="H157" s="335"/>
      <c r="I157" s="284"/>
      <c r="J157" s="284"/>
      <c r="K157" s="284"/>
      <c r="L157" s="284"/>
      <c r="M157" s="284"/>
      <c r="N157" s="333"/>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row>
    <row r="158" spans="1:37" ht="12.75" customHeight="1" x14ac:dyDescent="0.45">
      <c r="A158" s="335"/>
      <c r="B158" s="335"/>
      <c r="C158" s="335" t="s">
        <v>442</v>
      </c>
      <c r="E158" s="392" t="s">
        <v>814</v>
      </c>
      <c r="F158" s="335"/>
      <c r="G158" s="304">
        <f t="shared" ref="G158:AA158" si="45">SUMIF($F$283:$F$292,$A156,G$283:G$292)</f>
        <v>0</v>
      </c>
      <c r="H158" s="304">
        <f t="shared" si="45"/>
        <v>0</v>
      </c>
      <c r="I158" s="304">
        <f t="shared" si="45"/>
        <v>0</v>
      </c>
      <c r="J158" s="304">
        <f t="shared" si="45"/>
        <v>0</v>
      </c>
      <c r="K158" s="304">
        <f t="shared" si="45"/>
        <v>0</v>
      </c>
      <c r="L158" s="304">
        <f t="shared" si="45"/>
        <v>0</v>
      </c>
      <c r="M158" s="304">
        <f t="shared" si="45"/>
        <v>0</v>
      </c>
      <c r="N158" s="304">
        <f t="shared" si="45"/>
        <v>0</v>
      </c>
      <c r="O158" s="304">
        <f t="shared" si="45"/>
        <v>0</v>
      </c>
      <c r="P158" s="304">
        <f t="shared" si="45"/>
        <v>0</v>
      </c>
      <c r="Q158" s="304">
        <f t="shared" si="45"/>
        <v>0</v>
      </c>
      <c r="R158" s="304">
        <f t="shared" si="45"/>
        <v>0</v>
      </c>
      <c r="S158" s="304">
        <f t="shared" si="45"/>
        <v>0</v>
      </c>
      <c r="T158" s="304">
        <f t="shared" si="45"/>
        <v>0</v>
      </c>
      <c r="U158" s="304">
        <f t="shared" si="45"/>
        <v>0</v>
      </c>
      <c r="V158" s="304">
        <f t="shared" si="45"/>
        <v>0</v>
      </c>
      <c r="W158" s="304">
        <f t="shared" si="45"/>
        <v>0</v>
      </c>
      <c r="X158" s="304">
        <f t="shared" si="45"/>
        <v>0</v>
      </c>
      <c r="Y158" s="304">
        <f t="shared" si="45"/>
        <v>0</v>
      </c>
      <c r="Z158" s="304">
        <f t="shared" si="45"/>
        <v>0</v>
      </c>
      <c r="AA158" s="304">
        <f t="shared" si="45"/>
        <v>0</v>
      </c>
      <c r="AB158" s="284"/>
      <c r="AC158" s="284"/>
      <c r="AD158" s="284"/>
      <c r="AE158" s="284"/>
      <c r="AF158" s="284"/>
      <c r="AG158" s="284"/>
      <c r="AH158" s="284"/>
      <c r="AI158" s="284"/>
      <c r="AJ158" s="284"/>
      <c r="AK158" s="284"/>
    </row>
    <row r="159" spans="1:37" ht="12.75" customHeight="1" x14ac:dyDescent="0.45">
      <c r="A159" s="335"/>
      <c r="B159" s="335"/>
      <c r="C159" s="335" t="s">
        <v>443</v>
      </c>
      <c r="E159" s="392" t="s">
        <v>814</v>
      </c>
      <c r="F159" s="335"/>
      <c r="G159" s="398"/>
      <c r="H159" s="398"/>
      <c r="I159" s="398"/>
      <c r="J159" s="398"/>
      <c r="K159" s="398"/>
      <c r="L159" s="398"/>
      <c r="M159" s="398"/>
      <c r="N159" s="398"/>
      <c r="O159" s="398"/>
      <c r="P159" s="398"/>
      <c r="Q159" s="398"/>
      <c r="R159" s="398"/>
      <c r="S159" s="398"/>
      <c r="T159" s="398"/>
      <c r="U159" s="398"/>
      <c r="V159" s="398"/>
      <c r="W159" s="398"/>
      <c r="X159" s="398"/>
      <c r="Y159" s="398"/>
      <c r="Z159" s="398"/>
      <c r="AA159" s="398"/>
      <c r="AB159" s="284"/>
      <c r="AC159" s="284"/>
      <c r="AD159" s="284"/>
      <c r="AE159" s="284"/>
      <c r="AF159" s="284"/>
      <c r="AG159" s="284"/>
      <c r="AH159" s="284"/>
      <c r="AI159" s="284"/>
      <c r="AJ159" s="284"/>
      <c r="AK159" s="284"/>
    </row>
    <row r="160" spans="1:37" ht="12.75" customHeight="1" x14ac:dyDescent="0.45">
      <c r="A160" s="335"/>
      <c r="B160" s="335"/>
      <c r="C160" s="335" t="s">
        <v>444</v>
      </c>
      <c r="E160" s="394">
        <v>0</v>
      </c>
      <c r="G160" s="335"/>
      <c r="H160" s="335"/>
      <c r="I160" s="335"/>
      <c r="J160" s="284"/>
      <c r="K160" s="284"/>
      <c r="L160" s="284"/>
      <c r="M160" s="284"/>
      <c r="N160" s="333"/>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row>
    <row r="161" spans="1:37" ht="12.75" customHeight="1" x14ac:dyDescent="0.45">
      <c r="A161" s="335"/>
      <c r="B161" s="335"/>
      <c r="C161" s="335" t="s">
        <v>445</v>
      </c>
      <c r="E161" s="395">
        <v>2022</v>
      </c>
      <c r="F161" s="392"/>
      <c r="G161" s="335"/>
      <c r="H161" s="335"/>
      <c r="I161" s="335"/>
      <c r="J161" s="284"/>
      <c r="K161" s="284"/>
      <c r="L161" s="284"/>
      <c r="M161" s="284"/>
      <c r="N161" s="333"/>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row>
    <row r="162" spans="1:37" ht="12.75" customHeight="1" x14ac:dyDescent="0.45">
      <c r="A162" s="335"/>
      <c r="B162" s="335"/>
      <c r="C162" s="335" t="s">
        <v>446</v>
      </c>
      <c r="E162" s="395">
        <v>2020</v>
      </c>
      <c r="F162" s="392"/>
      <c r="G162" s="335"/>
      <c r="H162" s="335"/>
      <c r="I162" s="335"/>
      <c r="J162" s="284"/>
      <c r="K162" s="284"/>
      <c r="L162" s="284"/>
      <c r="M162" s="284"/>
      <c r="N162" s="333"/>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row>
    <row r="163" spans="1:37" ht="12.75" customHeight="1" x14ac:dyDescent="0.45">
      <c r="A163" s="335"/>
      <c r="B163" s="334" t="s">
        <v>447</v>
      </c>
      <c r="C163" s="335"/>
      <c r="E163" s="335"/>
      <c r="F163" s="335"/>
      <c r="G163" s="335"/>
      <c r="H163" s="399"/>
      <c r="I163" s="399"/>
      <c r="J163" s="284"/>
      <c r="K163" s="284"/>
      <c r="L163" s="284"/>
      <c r="M163" s="284"/>
      <c r="N163" s="333"/>
      <c r="O163" s="284"/>
      <c r="P163" s="284"/>
      <c r="Q163" s="284"/>
      <c r="R163" s="284"/>
      <c r="S163" s="284"/>
      <c r="T163" s="284"/>
      <c r="U163" s="284"/>
      <c r="V163" s="284"/>
      <c r="W163" s="284"/>
      <c r="X163" s="284"/>
      <c r="Y163" s="284"/>
      <c r="Z163" s="284"/>
      <c r="AA163" s="284"/>
      <c r="AB163" s="284"/>
      <c r="AC163" s="284"/>
      <c r="AD163" s="284"/>
      <c r="AE163" s="284"/>
      <c r="AF163" s="284"/>
      <c r="AG163" s="284"/>
      <c r="AH163" s="284"/>
      <c r="AI163" s="284"/>
      <c r="AJ163" s="284"/>
      <c r="AK163" s="284"/>
    </row>
    <row r="164" spans="1:37" ht="12.75" customHeight="1" x14ac:dyDescent="0.45">
      <c r="A164" s="335"/>
      <c r="B164" s="335"/>
      <c r="C164" s="335" t="s">
        <v>448</v>
      </c>
      <c r="E164" s="392" t="s">
        <v>814</v>
      </c>
      <c r="F164" s="335"/>
      <c r="G164" s="396">
        <f>F169</f>
        <v>0</v>
      </c>
      <c r="H164" s="396">
        <f t="shared" ref="H164:AA164" si="46">G169</f>
        <v>0</v>
      </c>
      <c r="I164" s="396">
        <f t="shared" si="46"/>
        <v>0</v>
      </c>
      <c r="J164" s="396">
        <f t="shared" si="46"/>
        <v>0</v>
      </c>
      <c r="K164" s="396">
        <f t="shared" si="46"/>
        <v>0</v>
      </c>
      <c r="L164" s="396">
        <f t="shared" si="46"/>
        <v>0</v>
      </c>
      <c r="M164" s="396">
        <f t="shared" si="46"/>
        <v>0</v>
      </c>
      <c r="N164" s="396">
        <f t="shared" si="46"/>
        <v>0</v>
      </c>
      <c r="O164" s="396">
        <f t="shared" si="46"/>
        <v>0</v>
      </c>
      <c r="P164" s="396">
        <f t="shared" si="46"/>
        <v>0</v>
      </c>
      <c r="Q164" s="396">
        <f t="shared" si="46"/>
        <v>0</v>
      </c>
      <c r="R164" s="396">
        <f t="shared" si="46"/>
        <v>0</v>
      </c>
      <c r="S164" s="396">
        <f t="shared" si="46"/>
        <v>0</v>
      </c>
      <c r="T164" s="396">
        <f t="shared" si="46"/>
        <v>0</v>
      </c>
      <c r="U164" s="396">
        <f t="shared" si="46"/>
        <v>0</v>
      </c>
      <c r="V164" s="396">
        <f t="shared" si="46"/>
        <v>0</v>
      </c>
      <c r="W164" s="396">
        <f t="shared" si="46"/>
        <v>0</v>
      </c>
      <c r="X164" s="396">
        <f t="shared" si="46"/>
        <v>0</v>
      </c>
      <c r="Y164" s="396">
        <f t="shared" si="46"/>
        <v>0</v>
      </c>
      <c r="Z164" s="396">
        <f t="shared" si="46"/>
        <v>0</v>
      </c>
      <c r="AA164" s="396">
        <f t="shared" si="46"/>
        <v>0</v>
      </c>
      <c r="AB164" s="284"/>
      <c r="AC164" s="284"/>
      <c r="AD164" s="284"/>
      <c r="AE164" s="284"/>
      <c r="AF164" s="284"/>
      <c r="AG164" s="284"/>
      <c r="AH164" s="284"/>
      <c r="AI164" s="284"/>
      <c r="AJ164" s="284"/>
      <c r="AK164" s="284"/>
    </row>
    <row r="165" spans="1:37" ht="12.75" customHeight="1" x14ac:dyDescent="0.45">
      <c r="A165" s="335"/>
      <c r="B165" s="335"/>
      <c r="C165" s="335" t="s">
        <v>449</v>
      </c>
      <c r="E165" s="392" t="s">
        <v>814</v>
      </c>
      <c r="F165" s="335"/>
      <c r="G165" s="396">
        <f t="shared" ref="G165:AA165" si="47">G158</f>
        <v>0</v>
      </c>
      <c r="H165" s="396">
        <f t="shared" si="47"/>
        <v>0</v>
      </c>
      <c r="I165" s="396">
        <f t="shared" si="47"/>
        <v>0</v>
      </c>
      <c r="J165" s="396">
        <f t="shared" si="47"/>
        <v>0</v>
      </c>
      <c r="K165" s="396">
        <f t="shared" si="47"/>
        <v>0</v>
      </c>
      <c r="L165" s="396">
        <f t="shared" si="47"/>
        <v>0</v>
      </c>
      <c r="M165" s="396">
        <f t="shared" si="47"/>
        <v>0</v>
      </c>
      <c r="N165" s="396">
        <f t="shared" si="47"/>
        <v>0</v>
      </c>
      <c r="O165" s="396">
        <f t="shared" si="47"/>
        <v>0</v>
      </c>
      <c r="P165" s="396">
        <f t="shared" si="47"/>
        <v>0</v>
      </c>
      <c r="Q165" s="396">
        <f t="shared" si="47"/>
        <v>0</v>
      </c>
      <c r="R165" s="396">
        <f t="shared" si="47"/>
        <v>0</v>
      </c>
      <c r="S165" s="396">
        <f t="shared" si="47"/>
        <v>0</v>
      </c>
      <c r="T165" s="396">
        <f t="shared" si="47"/>
        <v>0</v>
      </c>
      <c r="U165" s="396">
        <f t="shared" si="47"/>
        <v>0</v>
      </c>
      <c r="V165" s="396">
        <f t="shared" si="47"/>
        <v>0</v>
      </c>
      <c r="W165" s="396">
        <f t="shared" si="47"/>
        <v>0</v>
      </c>
      <c r="X165" s="396">
        <f t="shared" si="47"/>
        <v>0</v>
      </c>
      <c r="Y165" s="396">
        <f t="shared" si="47"/>
        <v>0</v>
      </c>
      <c r="Z165" s="396">
        <f t="shared" si="47"/>
        <v>0</v>
      </c>
      <c r="AA165" s="396">
        <f t="shared" si="47"/>
        <v>0</v>
      </c>
      <c r="AB165" s="284"/>
      <c r="AC165" s="284"/>
      <c r="AD165" s="284"/>
      <c r="AE165" s="284"/>
      <c r="AF165" s="284"/>
      <c r="AG165" s="284"/>
      <c r="AH165" s="284"/>
      <c r="AI165" s="284"/>
      <c r="AJ165" s="284"/>
      <c r="AK165" s="284"/>
    </row>
    <row r="166" spans="1:37" ht="12.75" customHeight="1" x14ac:dyDescent="0.45">
      <c r="A166" s="335"/>
      <c r="B166" s="335"/>
      <c r="C166" s="335" t="s">
        <v>450</v>
      </c>
      <c r="E166" s="392" t="s">
        <v>814</v>
      </c>
      <c r="F166" s="335"/>
      <c r="G166" s="396">
        <f>IF(SUM($F165:G165)=0,0,IF(G$2&lt;=$E161,SLN(SUM($F158:G158)-SUM($F166:F166),MIN(SUM($F158:G158)-SUM($F166:F166),SUM($F159:$BM159)),$E161-G$2+1),0))</f>
        <v>0</v>
      </c>
      <c r="H166" s="396">
        <f>IF(SUM($F165:H165)=0,0,IF(H$2&lt;=$E161,SLN(SUM($F158:H158)-SUM($F166:G166),MIN(SUM($F158:H158)-SUM($F166:G166),SUM($F159:$BM159)),$E161-H$2+1),0))</f>
        <v>0</v>
      </c>
      <c r="I166" s="396">
        <f>IF(SUM($F165:I165)=0,0,IF(I$2&lt;=$E161,SLN(SUM($F158:I158)-SUM($F166:H166),MIN(SUM($F158:I158)-SUM($F166:H166),SUM($F159:$BM159)),$E161-I$2+1),0))</f>
        <v>0</v>
      </c>
      <c r="J166" s="396">
        <f>IF(SUM($F165:J165)=0,0,IF(J$2&lt;=$E161,SLN(SUM($F158:J158)-SUM($F166:I166),MIN(SUM($F158:J158)-SUM($F166:I166),SUM($F159:$BM159)),$E161-J$2+1),0))</f>
        <v>0</v>
      </c>
      <c r="K166" s="396">
        <f>IF(SUM($F165:K165)=0,0,IF(K$2&lt;=$E161,SLN(SUM($F158:K158)-SUM($F166:J166),MIN(SUM($F158:K158)-SUM($F166:J166),SUM($F159:$BM159)),$E161-K$2+1),0))</f>
        <v>0</v>
      </c>
      <c r="L166" s="396">
        <f>IF(SUM($F165:L165)=0,0,IF(L$2&lt;=$E161,SLN(SUM($F158:L158)-SUM($F166:K166),MIN(SUM($F158:L158)-SUM($F166:K166),SUM($F159:$BM159)),$E161-L$2+1),0))</f>
        <v>0</v>
      </c>
      <c r="M166" s="396">
        <f>IF(SUM($F165:M165)=0,0,IF(M$2&lt;=$E161,SLN(SUM($F158:M158)-SUM($F166:L166),MIN(SUM($F158:M158)-SUM($F166:L166),SUM($F159:$BM159)),$E161-M$2+1),0))</f>
        <v>0</v>
      </c>
      <c r="N166" s="396">
        <f>IF(SUM($F165:N165)=0,0,IF(N$2&lt;=$E161,SLN(SUM($F158:N158)-SUM($F166:M166),MIN(SUM($F158:N158)-SUM($F166:M166),SUM($F159:$BM159)),$E161-N$2+1),0))</f>
        <v>0</v>
      </c>
      <c r="O166" s="396">
        <f>IF(SUM($F165:O165)=0,0,IF(O$2&lt;=$E161,SLN(SUM($F158:O158)-SUM($F166:N166),MIN(SUM($F158:O158)-SUM($F166:N166),SUM($F159:$BM159)),$E161-O$2+1),0))</f>
        <v>0</v>
      </c>
      <c r="P166" s="396">
        <f>IF(SUM($F165:P165)=0,0,IF(P$2&lt;=$E161,SLN(SUM($F158:P158)-SUM($F166:O166),MIN(SUM($F158:P158)-SUM($F166:O166),SUM($F159:$BM159)),$E161-P$2+1),0))</f>
        <v>0</v>
      </c>
      <c r="Q166" s="396">
        <f>IF(SUM($F165:Q165)=0,0,IF(Q$2&lt;=$E161,SLN(SUM($F158:Q158)-SUM($F166:P166),MIN(SUM($F158:Q158)-SUM($F166:P166),SUM($F159:$BM159)),$E161-Q$2+1),0))</f>
        <v>0</v>
      </c>
      <c r="R166" s="396">
        <f>IF(SUM($F165:R165)=0,0,IF(R$2&lt;=$E161,SLN(SUM($F158:R158)-SUM($F166:Q166),MIN(SUM($F158:R158)-SUM($F166:Q166),SUM($F159:$BM159)),$E161-R$2+1),0))</f>
        <v>0</v>
      </c>
      <c r="S166" s="396">
        <f>IF(SUM($F165:S165)=0,0,IF(S$2&lt;=$E161,SLN(SUM($F158:S158)-SUM($F166:R166),MIN(SUM($F158:S158)-SUM($F166:R166),SUM($F159:$BM159)),$E161-S$2+1),0))</f>
        <v>0</v>
      </c>
      <c r="T166" s="396">
        <f>IF(SUM($F165:T165)=0,0,IF(T$2&lt;=$E161,SLN(SUM($F158:T158)-SUM($F166:S166),MIN(SUM($F158:T158)-SUM($F166:S166),SUM($F159:$BM159)),$E161-T$2+1),0))</f>
        <v>0</v>
      </c>
      <c r="U166" s="396">
        <f>IF(SUM($F165:U165)=0,0,IF(U$2&lt;=$E161,SLN(SUM($F158:U158)-SUM($F166:T166),MIN(SUM($F158:U158)-SUM($F166:T166),SUM($F159:$BM159)),$E161-U$2+1),0))</f>
        <v>0</v>
      </c>
      <c r="V166" s="396">
        <f>IF(SUM($F165:V165)=0,0,IF(V$2&lt;=$E161,SLN(SUM($F158:V158)-SUM($F166:U166),MIN(SUM($F158:V158)-SUM($F166:U166),SUM($F159:$BM159)),$E161-V$2+1),0))</f>
        <v>0</v>
      </c>
      <c r="W166" s="396">
        <f>IF(SUM($F165:W165)=0,0,IF(W$2&lt;=$E161,SLN(SUM($F158:W158)-SUM($F166:V166),MIN(SUM($F158:W158)-SUM($F166:V166),SUM($F159:$BM159)),$E161-W$2+1),0))</f>
        <v>0</v>
      </c>
      <c r="X166" s="396">
        <f>IF(SUM($F165:X165)=0,0,IF(X$2&lt;=$E161,SLN(SUM($F158:X158)-SUM($F166:W166),MIN(SUM($F158:X158)-SUM($F166:W166),SUM($F159:$BM159)),$E161-X$2+1),0))</f>
        <v>0</v>
      </c>
      <c r="Y166" s="396">
        <f>IF(SUM($F165:Y165)=0,0,IF(Y$2&lt;=$E161,SLN(SUM($F158:Y158)-SUM($F166:X166),MIN(SUM($F158:Y158)-SUM($F166:X166),SUM($F159:$BM159)),$E161-Y$2+1),0))</f>
        <v>0</v>
      </c>
      <c r="Z166" s="396">
        <f>IF(SUM($F165:Z165)=0,0,IF(Z$2&lt;=$E161,SLN(SUM($F158:Z158)-SUM($F166:Y166),MIN(SUM($F158:Z158)-SUM($F166:Y166),SUM($F159:$BM159)),$E161-Z$2+1),0))</f>
        <v>0</v>
      </c>
      <c r="AA166" s="396">
        <f>IF(SUM($F165:AA165)=0,0,IF(AA$2&lt;=$E161,SLN(SUM($F158:AA158)-SUM($F166:Z166),MIN(SUM($F158:AA158)-SUM($F166:Z166),SUM($F159:$BM159)),$E161-AA$2+1),0))</f>
        <v>0</v>
      </c>
      <c r="AB166" s="284"/>
      <c r="AC166" s="284"/>
      <c r="AD166" s="284"/>
      <c r="AE166" s="284"/>
      <c r="AF166" s="284"/>
      <c r="AG166" s="284"/>
      <c r="AH166" s="284"/>
      <c r="AI166" s="284"/>
      <c r="AJ166" s="284"/>
      <c r="AK166" s="284"/>
    </row>
    <row r="167" spans="1:37" ht="12.75" customHeight="1" x14ac:dyDescent="0.45">
      <c r="A167" s="335"/>
      <c r="B167" s="335"/>
      <c r="C167" s="335" t="s">
        <v>451</v>
      </c>
      <c r="E167" s="392" t="s">
        <v>814</v>
      </c>
      <c r="F167" s="335"/>
      <c r="G167" s="396">
        <f>G173</f>
        <v>0</v>
      </c>
      <c r="H167" s="396">
        <f t="shared" ref="H167:AA167" si="48">H173</f>
        <v>0</v>
      </c>
      <c r="I167" s="396">
        <f t="shared" si="48"/>
        <v>0</v>
      </c>
      <c r="J167" s="396">
        <f t="shared" si="48"/>
        <v>0</v>
      </c>
      <c r="K167" s="396">
        <f t="shared" si="48"/>
        <v>0</v>
      </c>
      <c r="L167" s="396">
        <f t="shared" si="48"/>
        <v>0</v>
      </c>
      <c r="M167" s="396">
        <f t="shared" si="48"/>
        <v>0</v>
      </c>
      <c r="N167" s="396">
        <f t="shared" si="48"/>
        <v>0</v>
      </c>
      <c r="O167" s="396">
        <f t="shared" si="48"/>
        <v>0</v>
      </c>
      <c r="P167" s="396">
        <f t="shared" si="48"/>
        <v>0</v>
      </c>
      <c r="Q167" s="396">
        <f t="shared" si="48"/>
        <v>0</v>
      </c>
      <c r="R167" s="396">
        <f t="shared" si="48"/>
        <v>0</v>
      </c>
      <c r="S167" s="396">
        <f t="shared" si="48"/>
        <v>0</v>
      </c>
      <c r="T167" s="396">
        <f t="shared" si="48"/>
        <v>0</v>
      </c>
      <c r="U167" s="396">
        <f t="shared" si="48"/>
        <v>0</v>
      </c>
      <c r="V167" s="396">
        <f t="shared" si="48"/>
        <v>0</v>
      </c>
      <c r="W167" s="396">
        <f t="shared" si="48"/>
        <v>0</v>
      </c>
      <c r="X167" s="396">
        <f t="shared" si="48"/>
        <v>0</v>
      </c>
      <c r="Y167" s="396">
        <f t="shared" si="48"/>
        <v>0</v>
      </c>
      <c r="Z167" s="396">
        <f t="shared" si="48"/>
        <v>0</v>
      </c>
      <c r="AA167" s="396">
        <f t="shared" si="48"/>
        <v>0</v>
      </c>
      <c r="AB167" s="284"/>
      <c r="AC167" s="284"/>
      <c r="AD167" s="284"/>
      <c r="AE167" s="284"/>
      <c r="AF167" s="284"/>
      <c r="AG167" s="284"/>
      <c r="AH167" s="284"/>
      <c r="AI167" s="284"/>
      <c r="AJ167" s="284"/>
      <c r="AK167" s="284"/>
    </row>
    <row r="168" spans="1:37" ht="12.75" customHeight="1" x14ac:dyDescent="0.45">
      <c r="A168" s="335"/>
      <c r="B168" s="335"/>
      <c r="C168" s="335" t="s">
        <v>452</v>
      </c>
      <c r="E168" s="392" t="s">
        <v>814</v>
      </c>
      <c r="F168" s="335"/>
      <c r="G168" s="396">
        <f t="shared" ref="G168:N168" si="49">G159+(IF(G$2=$E161,G164-G166+G167-G159,0))</f>
        <v>0</v>
      </c>
      <c r="H168" s="396">
        <f t="shared" si="49"/>
        <v>0</v>
      </c>
      <c r="I168" s="396">
        <f t="shared" si="49"/>
        <v>0</v>
      </c>
      <c r="J168" s="396">
        <f t="shared" si="49"/>
        <v>0</v>
      </c>
      <c r="K168" s="396">
        <f t="shared" si="49"/>
        <v>0</v>
      </c>
      <c r="L168" s="396">
        <f t="shared" si="49"/>
        <v>0</v>
      </c>
      <c r="M168" s="396">
        <f t="shared" si="49"/>
        <v>0</v>
      </c>
      <c r="N168" s="396">
        <f t="shared" si="49"/>
        <v>0</v>
      </c>
      <c r="O168" s="396">
        <f>O159+(IF(O$2=$E161,O164-O166+O167-O159,0))</f>
        <v>0</v>
      </c>
      <c r="P168" s="396">
        <f t="shared" ref="P168:AA168" si="50">P159+(IF(P$2=$E161,P164-P166+P167-P159,0))</f>
        <v>0</v>
      </c>
      <c r="Q168" s="396">
        <f t="shared" si="50"/>
        <v>0</v>
      </c>
      <c r="R168" s="396">
        <f t="shared" si="50"/>
        <v>0</v>
      </c>
      <c r="S168" s="396">
        <f t="shared" si="50"/>
        <v>0</v>
      </c>
      <c r="T168" s="396">
        <f t="shared" si="50"/>
        <v>0</v>
      </c>
      <c r="U168" s="396">
        <f t="shared" si="50"/>
        <v>0</v>
      </c>
      <c r="V168" s="396">
        <f t="shared" si="50"/>
        <v>0</v>
      </c>
      <c r="W168" s="396">
        <f t="shared" si="50"/>
        <v>0</v>
      </c>
      <c r="X168" s="396">
        <f t="shared" si="50"/>
        <v>0</v>
      </c>
      <c r="Y168" s="396">
        <f t="shared" si="50"/>
        <v>0</v>
      </c>
      <c r="Z168" s="396">
        <f t="shared" si="50"/>
        <v>0</v>
      </c>
      <c r="AA168" s="396">
        <f t="shared" si="50"/>
        <v>0</v>
      </c>
      <c r="AB168" s="284"/>
      <c r="AC168" s="284"/>
      <c r="AD168" s="284"/>
      <c r="AE168" s="284"/>
      <c r="AF168" s="284"/>
      <c r="AG168" s="284"/>
      <c r="AH168" s="284"/>
      <c r="AI168" s="284"/>
      <c r="AJ168" s="284"/>
      <c r="AK168" s="284"/>
    </row>
    <row r="169" spans="1:37" ht="12.75" customHeight="1" x14ac:dyDescent="0.45">
      <c r="A169" s="335"/>
      <c r="B169" s="335"/>
      <c r="C169" s="335" t="s">
        <v>453</v>
      </c>
      <c r="E169" s="392" t="s">
        <v>814</v>
      </c>
      <c r="F169" s="393"/>
      <c r="G169" s="396">
        <f>G164+G165-G166+G167-G168</f>
        <v>0</v>
      </c>
      <c r="H169" s="396">
        <f t="shared" ref="H169:AA169" si="51">H164+H165-H166+H167-H168</f>
        <v>0</v>
      </c>
      <c r="I169" s="396">
        <f t="shared" si="51"/>
        <v>0</v>
      </c>
      <c r="J169" s="396">
        <f t="shared" si="51"/>
        <v>0</v>
      </c>
      <c r="K169" s="396">
        <f t="shared" si="51"/>
        <v>0</v>
      </c>
      <c r="L169" s="396">
        <f t="shared" si="51"/>
        <v>0</v>
      </c>
      <c r="M169" s="396">
        <f t="shared" si="51"/>
        <v>0</v>
      </c>
      <c r="N169" s="396">
        <f t="shared" si="51"/>
        <v>0</v>
      </c>
      <c r="O169" s="396">
        <f t="shared" si="51"/>
        <v>0</v>
      </c>
      <c r="P169" s="396">
        <f t="shared" si="51"/>
        <v>0</v>
      </c>
      <c r="Q169" s="396">
        <f t="shared" si="51"/>
        <v>0</v>
      </c>
      <c r="R169" s="396">
        <f t="shared" si="51"/>
        <v>0</v>
      </c>
      <c r="S169" s="396">
        <f t="shared" si="51"/>
        <v>0</v>
      </c>
      <c r="T169" s="396">
        <f t="shared" si="51"/>
        <v>0</v>
      </c>
      <c r="U169" s="396">
        <f t="shared" si="51"/>
        <v>0</v>
      </c>
      <c r="V169" s="396">
        <f t="shared" si="51"/>
        <v>0</v>
      </c>
      <c r="W169" s="396">
        <f t="shared" si="51"/>
        <v>0</v>
      </c>
      <c r="X169" s="396">
        <f t="shared" si="51"/>
        <v>0</v>
      </c>
      <c r="Y169" s="396">
        <f t="shared" si="51"/>
        <v>0</v>
      </c>
      <c r="Z169" s="396">
        <f t="shared" si="51"/>
        <v>0</v>
      </c>
      <c r="AA169" s="396">
        <f t="shared" si="51"/>
        <v>0</v>
      </c>
      <c r="AB169" s="284"/>
      <c r="AC169" s="284"/>
      <c r="AD169" s="284"/>
      <c r="AE169" s="284"/>
      <c r="AF169" s="284"/>
      <c r="AG169" s="284"/>
      <c r="AH169" s="284"/>
      <c r="AI169" s="284"/>
      <c r="AJ169" s="284"/>
      <c r="AK169" s="284"/>
    </row>
    <row r="170" spans="1:37" ht="12.75" customHeight="1" x14ac:dyDescent="0.45">
      <c r="A170" s="335"/>
      <c r="B170" s="334" t="s">
        <v>28</v>
      </c>
      <c r="C170" s="335"/>
      <c r="E170" s="335"/>
      <c r="F170" s="335"/>
      <c r="G170" s="396"/>
      <c r="H170" s="396"/>
      <c r="I170" s="396"/>
      <c r="J170" s="284"/>
      <c r="K170" s="284"/>
      <c r="L170" s="284"/>
      <c r="M170" s="284"/>
      <c r="N170" s="333"/>
      <c r="O170" s="284"/>
      <c r="P170" s="284"/>
      <c r="Q170" s="284"/>
      <c r="R170" s="284"/>
      <c r="S170" s="284"/>
      <c r="T170" s="284"/>
      <c r="U170" s="284"/>
      <c r="V170" s="284"/>
      <c r="W170" s="284"/>
      <c r="X170" s="284"/>
      <c r="Y170" s="284"/>
      <c r="Z170" s="284"/>
      <c r="AA170" s="284"/>
      <c r="AB170" s="284"/>
      <c r="AC170" s="284"/>
      <c r="AD170" s="284"/>
      <c r="AE170" s="284"/>
      <c r="AF170" s="284"/>
      <c r="AG170" s="284"/>
      <c r="AH170" s="284"/>
      <c r="AI170" s="284"/>
      <c r="AJ170" s="284"/>
      <c r="AK170" s="284"/>
    </row>
    <row r="171" spans="1:37" ht="12.75" customHeight="1" x14ac:dyDescent="0.45">
      <c r="A171" s="335"/>
      <c r="B171" s="335"/>
      <c r="C171" s="335" t="s">
        <v>454</v>
      </c>
      <c r="E171" s="335"/>
      <c r="F171" s="335"/>
      <c r="G171" s="396"/>
      <c r="H171" s="396"/>
      <c r="I171" s="396"/>
      <c r="J171" s="284"/>
      <c r="K171" s="284"/>
      <c r="L171" s="284"/>
      <c r="M171" s="284"/>
      <c r="N171" s="333"/>
      <c r="O171" s="284"/>
      <c r="P171" s="284"/>
      <c r="Q171" s="284"/>
      <c r="R171" s="284"/>
      <c r="S171" s="284"/>
      <c r="T171" s="284"/>
      <c r="U171" s="284"/>
      <c r="V171" s="284"/>
      <c r="W171" s="284"/>
      <c r="X171" s="284"/>
      <c r="Y171" s="284"/>
      <c r="Z171" s="284"/>
      <c r="AA171" s="284"/>
      <c r="AB171" s="284"/>
      <c r="AC171" s="284"/>
      <c r="AD171" s="284"/>
      <c r="AE171" s="284"/>
      <c r="AF171" s="284"/>
      <c r="AG171" s="284"/>
      <c r="AH171" s="284"/>
      <c r="AI171" s="284"/>
      <c r="AJ171" s="284"/>
      <c r="AK171" s="284"/>
    </row>
    <row r="172" spans="1:37" ht="12.75" customHeight="1" x14ac:dyDescent="0.45">
      <c r="A172" s="335"/>
      <c r="B172" s="335"/>
      <c r="C172" s="335" t="s">
        <v>455</v>
      </c>
      <c r="E172" s="392" t="s">
        <v>814</v>
      </c>
      <c r="F172" s="335"/>
      <c r="G172" s="396">
        <f t="shared" ref="G172:AA172" si="52">(G164+G165)*$E160</f>
        <v>0</v>
      </c>
      <c r="H172" s="396">
        <f t="shared" si="52"/>
        <v>0</v>
      </c>
      <c r="I172" s="396">
        <f t="shared" si="52"/>
        <v>0</v>
      </c>
      <c r="J172" s="396">
        <f t="shared" si="52"/>
        <v>0</v>
      </c>
      <c r="K172" s="396">
        <f t="shared" si="52"/>
        <v>0</v>
      </c>
      <c r="L172" s="396">
        <f t="shared" si="52"/>
        <v>0</v>
      </c>
      <c r="M172" s="396">
        <f t="shared" si="52"/>
        <v>0</v>
      </c>
      <c r="N172" s="396">
        <f t="shared" si="52"/>
        <v>0</v>
      </c>
      <c r="O172" s="396">
        <f t="shared" si="52"/>
        <v>0</v>
      </c>
      <c r="P172" s="396">
        <f t="shared" si="52"/>
        <v>0</v>
      </c>
      <c r="Q172" s="396">
        <f t="shared" si="52"/>
        <v>0</v>
      </c>
      <c r="R172" s="396">
        <f t="shared" si="52"/>
        <v>0</v>
      </c>
      <c r="S172" s="396">
        <f t="shared" si="52"/>
        <v>0</v>
      </c>
      <c r="T172" s="396">
        <f t="shared" si="52"/>
        <v>0</v>
      </c>
      <c r="U172" s="396">
        <f t="shared" si="52"/>
        <v>0</v>
      </c>
      <c r="V172" s="396">
        <f t="shared" si="52"/>
        <v>0</v>
      </c>
      <c r="W172" s="396">
        <f t="shared" si="52"/>
        <v>0</v>
      </c>
      <c r="X172" s="396">
        <f t="shared" si="52"/>
        <v>0</v>
      </c>
      <c r="Y172" s="396">
        <f t="shared" si="52"/>
        <v>0</v>
      </c>
      <c r="Z172" s="396">
        <f t="shared" si="52"/>
        <v>0</v>
      </c>
      <c r="AA172" s="396">
        <f t="shared" si="52"/>
        <v>0</v>
      </c>
      <c r="AB172" s="284"/>
      <c r="AC172" s="284"/>
      <c r="AD172" s="284"/>
      <c r="AE172" s="284"/>
      <c r="AF172" s="284"/>
      <c r="AG172" s="284"/>
      <c r="AH172" s="284"/>
      <c r="AI172" s="284"/>
      <c r="AJ172" s="284"/>
      <c r="AK172" s="284"/>
    </row>
    <row r="173" spans="1:37" ht="12.75" customHeight="1" x14ac:dyDescent="0.45">
      <c r="A173" s="335"/>
      <c r="B173" s="335"/>
      <c r="C173" s="397" t="s">
        <v>456</v>
      </c>
      <c r="E173" s="392" t="s">
        <v>814</v>
      </c>
      <c r="F173" s="335"/>
      <c r="G173" s="396">
        <f>IF(G$2&lt;=$E162,G172,0)</f>
        <v>0</v>
      </c>
      <c r="H173" s="396">
        <f t="shared" ref="H173:AA173" si="53">IF(H$2&lt;=$E162,H172,0)</f>
        <v>0</v>
      </c>
      <c r="I173" s="396">
        <f t="shared" si="53"/>
        <v>0</v>
      </c>
      <c r="J173" s="396">
        <f t="shared" si="53"/>
        <v>0</v>
      </c>
      <c r="K173" s="396">
        <f t="shared" si="53"/>
        <v>0</v>
      </c>
      <c r="L173" s="396">
        <f t="shared" si="53"/>
        <v>0</v>
      </c>
      <c r="M173" s="396">
        <f t="shared" si="53"/>
        <v>0</v>
      </c>
      <c r="N173" s="396">
        <f t="shared" si="53"/>
        <v>0</v>
      </c>
      <c r="O173" s="396">
        <f t="shared" si="53"/>
        <v>0</v>
      </c>
      <c r="P173" s="396">
        <f t="shared" si="53"/>
        <v>0</v>
      </c>
      <c r="Q173" s="396">
        <f t="shared" si="53"/>
        <v>0</v>
      </c>
      <c r="R173" s="396">
        <f t="shared" si="53"/>
        <v>0</v>
      </c>
      <c r="S173" s="396">
        <f t="shared" si="53"/>
        <v>0</v>
      </c>
      <c r="T173" s="396">
        <f t="shared" si="53"/>
        <v>0</v>
      </c>
      <c r="U173" s="396">
        <f t="shared" si="53"/>
        <v>0</v>
      </c>
      <c r="V173" s="396">
        <f t="shared" si="53"/>
        <v>0</v>
      </c>
      <c r="W173" s="396">
        <f t="shared" si="53"/>
        <v>0</v>
      </c>
      <c r="X173" s="396">
        <f t="shared" si="53"/>
        <v>0</v>
      </c>
      <c r="Y173" s="396">
        <f t="shared" si="53"/>
        <v>0</v>
      </c>
      <c r="Z173" s="396">
        <f t="shared" si="53"/>
        <v>0</v>
      </c>
      <c r="AA173" s="396">
        <f t="shared" si="53"/>
        <v>0</v>
      </c>
      <c r="AB173" s="284"/>
      <c r="AC173" s="284"/>
      <c r="AD173" s="284"/>
      <c r="AE173" s="284"/>
      <c r="AF173" s="284"/>
      <c r="AG173" s="284"/>
      <c r="AH173" s="284"/>
      <c r="AI173" s="284"/>
      <c r="AJ173" s="284"/>
      <c r="AK173" s="284"/>
    </row>
    <row r="174" spans="1:37" ht="12.75" customHeight="1" x14ac:dyDescent="0.45">
      <c r="A174" s="335"/>
      <c r="B174" s="335"/>
      <c r="C174" s="397" t="s">
        <v>457</v>
      </c>
      <c r="E174" s="392" t="s">
        <v>814</v>
      </c>
      <c r="F174" s="335"/>
      <c r="G174" s="396">
        <f t="shared" ref="G174:AA174" si="54">G172-G173</f>
        <v>0</v>
      </c>
      <c r="H174" s="396">
        <f t="shared" si="54"/>
        <v>0</v>
      </c>
      <c r="I174" s="396">
        <f t="shared" si="54"/>
        <v>0</v>
      </c>
      <c r="J174" s="396">
        <f t="shared" si="54"/>
        <v>0</v>
      </c>
      <c r="K174" s="396">
        <f t="shared" si="54"/>
        <v>0</v>
      </c>
      <c r="L174" s="396">
        <f t="shared" si="54"/>
        <v>0</v>
      </c>
      <c r="M174" s="396">
        <f t="shared" si="54"/>
        <v>0</v>
      </c>
      <c r="N174" s="396">
        <f t="shared" si="54"/>
        <v>0</v>
      </c>
      <c r="O174" s="396">
        <f t="shared" si="54"/>
        <v>0</v>
      </c>
      <c r="P174" s="396">
        <f t="shared" si="54"/>
        <v>0</v>
      </c>
      <c r="Q174" s="396">
        <f t="shared" si="54"/>
        <v>0</v>
      </c>
      <c r="R174" s="396">
        <f t="shared" si="54"/>
        <v>0</v>
      </c>
      <c r="S174" s="396">
        <f t="shared" si="54"/>
        <v>0</v>
      </c>
      <c r="T174" s="396">
        <f t="shared" si="54"/>
        <v>0</v>
      </c>
      <c r="U174" s="396">
        <f t="shared" si="54"/>
        <v>0</v>
      </c>
      <c r="V174" s="396">
        <f t="shared" si="54"/>
        <v>0</v>
      </c>
      <c r="W174" s="396">
        <f t="shared" si="54"/>
        <v>0</v>
      </c>
      <c r="X174" s="396">
        <f t="shared" si="54"/>
        <v>0</v>
      </c>
      <c r="Y174" s="396">
        <f t="shared" si="54"/>
        <v>0</v>
      </c>
      <c r="Z174" s="396">
        <f t="shared" si="54"/>
        <v>0</v>
      </c>
      <c r="AA174" s="396">
        <f t="shared" si="54"/>
        <v>0</v>
      </c>
      <c r="AB174" s="284"/>
      <c r="AC174" s="284"/>
      <c r="AD174" s="284"/>
      <c r="AE174" s="284"/>
      <c r="AF174" s="284"/>
      <c r="AG174" s="284"/>
      <c r="AH174" s="284"/>
      <c r="AI174" s="284"/>
      <c r="AJ174" s="284"/>
      <c r="AK174" s="284"/>
    </row>
    <row r="175" spans="1:37" ht="12.75" customHeight="1" x14ac:dyDescent="0.45">
      <c r="A175" s="335"/>
      <c r="B175" s="335"/>
      <c r="C175" s="335"/>
      <c r="E175" s="335"/>
      <c r="F175" s="335"/>
      <c r="G175" s="335"/>
      <c r="H175" s="335"/>
      <c r="I175" s="335"/>
      <c r="J175" s="284"/>
      <c r="K175" s="284"/>
      <c r="L175" s="284"/>
      <c r="M175" s="284"/>
      <c r="N175" s="333"/>
      <c r="O175" s="284"/>
      <c r="P175" s="284"/>
      <c r="Q175" s="284"/>
      <c r="R175" s="284"/>
      <c r="S175" s="284"/>
      <c r="T175" s="284"/>
      <c r="U175" s="284"/>
      <c r="V175" s="284"/>
      <c r="W175" s="284"/>
      <c r="X175" s="284"/>
      <c r="Y175" s="284"/>
      <c r="Z175" s="284"/>
      <c r="AA175" s="284"/>
      <c r="AB175" s="284"/>
      <c r="AC175" s="284"/>
      <c r="AD175" s="284"/>
      <c r="AE175" s="284"/>
      <c r="AF175" s="284"/>
      <c r="AG175" s="284"/>
      <c r="AH175" s="284"/>
      <c r="AI175" s="284"/>
      <c r="AJ175" s="284"/>
      <c r="AK175" s="284"/>
    </row>
    <row r="176" spans="1:37" ht="12.75" customHeight="1" x14ac:dyDescent="0.45">
      <c r="A176" s="400" t="s">
        <v>825</v>
      </c>
      <c r="B176" s="335"/>
      <c r="C176" s="335"/>
      <c r="E176" s="335"/>
      <c r="F176" s="335"/>
      <c r="G176" s="335"/>
      <c r="H176" s="335"/>
      <c r="I176" s="335"/>
      <c r="J176" s="284"/>
      <c r="K176" s="284"/>
      <c r="L176" s="284"/>
      <c r="M176" s="284"/>
      <c r="N176" s="333"/>
      <c r="O176" s="284"/>
      <c r="P176" s="284"/>
      <c r="Q176" s="284"/>
      <c r="R176" s="284"/>
      <c r="S176" s="284"/>
      <c r="T176" s="284"/>
      <c r="U176" s="284"/>
      <c r="V176" s="284"/>
      <c r="W176" s="284"/>
      <c r="X176" s="284"/>
      <c r="Y176" s="284"/>
      <c r="Z176" s="284"/>
      <c r="AA176" s="284"/>
      <c r="AB176" s="284"/>
      <c r="AC176" s="284"/>
      <c r="AD176" s="284"/>
      <c r="AE176" s="284"/>
      <c r="AF176" s="284"/>
      <c r="AG176" s="284"/>
      <c r="AH176" s="284"/>
      <c r="AI176" s="284"/>
      <c r="AJ176" s="284"/>
      <c r="AK176" s="284"/>
    </row>
    <row r="177" spans="1:37" ht="12.75" customHeight="1" x14ac:dyDescent="0.45">
      <c r="A177" s="334" t="s">
        <v>394</v>
      </c>
      <c r="B177" s="335"/>
      <c r="C177" s="335"/>
      <c r="D177" s="335"/>
      <c r="E177" s="335"/>
      <c r="F177" s="335"/>
      <c r="G177" s="335"/>
      <c r="H177" s="335"/>
      <c r="I177" s="284"/>
      <c r="J177" s="284"/>
      <c r="K177" s="284"/>
      <c r="L177" s="284"/>
      <c r="M177" s="284"/>
      <c r="N177" s="333"/>
      <c r="O177" s="284"/>
      <c r="P177" s="284"/>
      <c r="Q177" s="284"/>
      <c r="R177" s="284"/>
      <c r="S177" s="284"/>
      <c r="T177" s="284"/>
      <c r="U177" s="284"/>
      <c r="V177" s="284"/>
      <c r="W177" s="284"/>
      <c r="X177" s="284"/>
      <c r="Y177" s="284"/>
      <c r="Z177" s="284"/>
      <c r="AA177" s="284"/>
      <c r="AB177" s="284"/>
      <c r="AC177" s="284"/>
      <c r="AD177" s="284"/>
      <c r="AE177" s="284"/>
      <c r="AF177" s="284"/>
      <c r="AG177" s="284"/>
      <c r="AH177" s="284"/>
      <c r="AI177" s="284"/>
      <c r="AJ177" s="284"/>
      <c r="AK177" s="284"/>
    </row>
    <row r="178" spans="1:37" ht="12.75" customHeight="1" x14ac:dyDescent="0.45">
      <c r="A178" s="334"/>
      <c r="B178" s="334" t="s">
        <v>441</v>
      </c>
      <c r="C178" s="335"/>
      <c r="D178" s="335"/>
      <c r="E178" s="335"/>
      <c r="F178" s="335"/>
      <c r="G178" s="335"/>
      <c r="H178" s="335"/>
      <c r="I178" s="284"/>
      <c r="J178" s="284"/>
      <c r="K178" s="284"/>
      <c r="L178" s="284"/>
      <c r="M178" s="284"/>
      <c r="N178" s="333"/>
      <c r="O178" s="284"/>
      <c r="P178" s="284"/>
      <c r="Q178" s="284"/>
      <c r="R178" s="284"/>
      <c r="S178" s="284"/>
      <c r="T178" s="284"/>
      <c r="U178" s="284"/>
      <c r="V178" s="284"/>
      <c r="W178" s="284"/>
      <c r="X178" s="284"/>
      <c r="Y178" s="284"/>
      <c r="Z178" s="284"/>
      <c r="AA178" s="284"/>
      <c r="AB178" s="284"/>
      <c r="AC178" s="284"/>
      <c r="AD178" s="284"/>
      <c r="AE178" s="284"/>
      <c r="AF178" s="284"/>
      <c r="AG178" s="284"/>
      <c r="AH178" s="284"/>
      <c r="AI178" s="284"/>
      <c r="AJ178" s="284"/>
      <c r="AK178" s="284"/>
    </row>
    <row r="179" spans="1:37" ht="12.75" customHeight="1" x14ac:dyDescent="0.45">
      <c r="A179" s="335"/>
      <c r="B179" s="335"/>
      <c r="C179" s="335" t="s">
        <v>442</v>
      </c>
      <c r="E179" s="392" t="s">
        <v>814</v>
      </c>
      <c r="F179" s="335"/>
      <c r="G179" s="304">
        <f>SUMIF($F$283:$F$292,$A177,G$283:G$292)</f>
        <v>0</v>
      </c>
      <c r="H179" s="304">
        <f t="shared" ref="H179:AA179" si="55">SUMIF($F$283:$F$292,$A177,H$283:H$292)</f>
        <v>0</v>
      </c>
      <c r="I179" s="304">
        <f t="shared" si="55"/>
        <v>0</v>
      </c>
      <c r="J179" s="304">
        <f t="shared" si="55"/>
        <v>0</v>
      </c>
      <c r="K179" s="304">
        <f t="shared" si="55"/>
        <v>0</v>
      </c>
      <c r="L179" s="304">
        <f t="shared" si="55"/>
        <v>0</v>
      </c>
      <c r="M179" s="304">
        <f t="shared" si="55"/>
        <v>0</v>
      </c>
      <c r="N179" s="304">
        <f t="shared" si="55"/>
        <v>0</v>
      </c>
      <c r="O179" s="304">
        <f t="shared" si="55"/>
        <v>0</v>
      </c>
      <c r="P179" s="304">
        <f t="shared" si="55"/>
        <v>0</v>
      </c>
      <c r="Q179" s="304">
        <f t="shared" si="55"/>
        <v>0</v>
      </c>
      <c r="R179" s="304">
        <f t="shared" si="55"/>
        <v>0</v>
      </c>
      <c r="S179" s="304">
        <f t="shared" si="55"/>
        <v>0</v>
      </c>
      <c r="T179" s="304">
        <f t="shared" si="55"/>
        <v>0</v>
      </c>
      <c r="U179" s="304">
        <f t="shared" si="55"/>
        <v>0</v>
      </c>
      <c r="V179" s="304">
        <f t="shared" si="55"/>
        <v>0</v>
      </c>
      <c r="W179" s="304">
        <f t="shared" si="55"/>
        <v>0</v>
      </c>
      <c r="X179" s="304">
        <f t="shared" si="55"/>
        <v>0</v>
      </c>
      <c r="Y179" s="304">
        <f t="shared" si="55"/>
        <v>0</v>
      </c>
      <c r="Z179" s="304">
        <f t="shared" si="55"/>
        <v>0</v>
      </c>
      <c r="AA179" s="304">
        <f t="shared" si="55"/>
        <v>0</v>
      </c>
      <c r="AB179" s="284"/>
      <c r="AC179" s="284"/>
      <c r="AD179" s="284"/>
      <c r="AE179" s="284"/>
      <c r="AF179" s="284"/>
      <c r="AG179" s="284"/>
      <c r="AH179" s="284"/>
      <c r="AI179" s="284"/>
      <c r="AJ179" s="284"/>
      <c r="AK179" s="284"/>
    </row>
    <row r="180" spans="1:37" ht="12.75" customHeight="1" x14ac:dyDescent="0.45">
      <c r="A180" s="335"/>
      <c r="B180" s="335"/>
      <c r="C180" s="335" t="s">
        <v>443</v>
      </c>
      <c r="E180" s="392" t="s">
        <v>814</v>
      </c>
      <c r="F180" s="335"/>
      <c r="G180" s="398"/>
      <c r="H180" s="398"/>
      <c r="I180" s="398"/>
      <c r="J180" s="398"/>
      <c r="K180" s="398"/>
      <c r="L180" s="398"/>
      <c r="M180" s="398"/>
      <c r="N180" s="398"/>
      <c r="O180" s="398"/>
      <c r="P180" s="398"/>
      <c r="Q180" s="398"/>
      <c r="R180" s="398"/>
      <c r="S180" s="398"/>
      <c r="T180" s="398"/>
      <c r="U180" s="398"/>
      <c r="V180" s="398"/>
      <c r="W180" s="398"/>
      <c r="X180" s="398"/>
      <c r="Y180" s="398"/>
      <c r="Z180" s="398"/>
      <c r="AA180" s="398"/>
      <c r="AB180" s="284"/>
      <c r="AC180" s="284"/>
      <c r="AD180" s="284"/>
      <c r="AE180" s="284"/>
      <c r="AF180" s="284"/>
      <c r="AG180" s="284"/>
      <c r="AH180" s="284"/>
      <c r="AI180" s="284"/>
      <c r="AJ180" s="284"/>
      <c r="AK180" s="284"/>
    </row>
    <row r="181" spans="1:37" ht="12.75" customHeight="1" x14ac:dyDescent="0.45">
      <c r="A181" s="335"/>
      <c r="B181" s="335"/>
      <c r="C181" s="335" t="s">
        <v>444</v>
      </c>
      <c r="E181" s="394">
        <v>0.03</v>
      </c>
      <c r="G181" s="335"/>
      <c r="H181" s="335"/>
      <c r="I181" s="335"/>
      <c r="J181" s="284"/>
      <c r="K181" s="284"/>
      <c r="L181" s="284"/>
      <c r="M181" s="284"/>
      <c r="N181" s="333"/>
      <c r="O181" s="284"/>
      <c r="P181" s="284"/>
      <c r="Q181" s="284"/>
      <c r="R181" s="284"/>
      <c r="S181" s="284"/>
      <c r="T181" s="284"/>
      <c r="U181" s="284"/>
      <c r="V181" s="284"/>
      <c r="W181" s="284"/>
      <c r="X181" s="284"/>
      <c r="Y181" s="284"/>
      <c r="Z181" s="284"/>
      <c r="AA181" s="284"/>
      <c r="AB181" s="284"/>
      <c r="AC181" s="284"/>
      <c r="AD181" s="284"/>
      <c r="AE181" s="284"/>
      <c r="AF181" s="284"/>
      <c r="AG181" s="284"/>
      <c r="AH181" s="284"/>
      <c r="AI181" s="284"/>
      <c r="AJ181" s="284"/>
      <c r="AK181" s="284"/>
    </row>
    <row r="182" spans="1:37" ht="12.75" customHeight="1" x14ac:dyDescent="0.45">
      <c r="A182" s="335"/>
      <c r="B182" s="335"/>
      <c r="C182" s="335" t="s">
        <v>445</v>
      </c>
      <c r="E182" s="395">
        <v>2027</v>
      </c>
      <c r="F182" s="392"/>
      <c r="G182" s="335"/>
      <c r="H182" s="335"/>
      <c r="I182" s="335"/>
      <c r="J182" s="284"/>
      <c r="K182" s="284"/>
      <c r="L182" s="284"/>
      <c r="M182" s="284"/>
      <c r="N182" s="333"/>
      <c r="O182" s="284"/>
      <c r="P182" s="284"/>
      <c r="Q182" s="284"/>
      <c r="R182" s="284"/>
      <c r="S182" s="284"/>
      <c r="T182" s="284"/>
      <c r="U182" s="284"/>
      <c r="V182" s="284"/>
      <c r="W182" s="284"/>
      <c r="X182" s="284"/>
      <c r="Y182" s="284"/>
      <c r="Z182" s="284"/>
      <c r="AA182" s="284"/>
      <c r="AB182" s="284"/>
      <c r="AC182" s="284"/>
      <c r="AD182" s="284"/>
      <c r="AE182" s="284"/>
      <c r="AF182" s="284"/>
      <c r="AG182" s="284"/>
      <c r="AH182" s="284"/>
      <c r="AI182" s="284"/>
      <c r="AJ182" s="284"/>
      <c r="AK182" s="284"/>
    </row>
    <row r="183" spans="1:37" ht="12.75" customHeight="1" x14ac:dyDescent="0.45">
      <c r="A183" s="335"/>
      <c r="B183" s="335"/>
      <c r="C183" s="335" t="s">
        <v>446</v>
      </c>
      <c r="E183" s="395">
        <v>2020</v>
      </c>
      <c r="F183" s="392"/>
      <c r="G183" s="335"/>
      <c r="H183" s="335"/>
      <c r="I183" s="335"/>
      <c r="J183" s="284"/>
      <c r="K183" s="284"/>
      <c r="L183" s="284"/>
      <c r="M183" s="284"/>
      <c r="N183" s="333"/>
      <c r="O183" s="284"/>
      <c r="P183" s="284"/>
      <c r="Q183" s="284"/>
      <c r="R183" s="284"/>
      <c r="S183" s="284"/>
      <c r="T183" s="284"/>
      <c r="U183" s="284"/>
      <c r="V183" s="284"/>
      <c r="W183" s="284"/>
      <c r="X183" s="284"/>
      <c r="Y183" s="284"/>
      <c r="Z183" s="284"/>
      <c r="AA183" s="284"/>
      <c r="AB183" s="284"/>
      <c r="AC183" s="284"/>
      <c r="AD183" s="284"/>
      <c r="AE183" s="284"/>
      <c r="AF183" s="284"/>
      <c r="AG183" s="284"/>
      <c r="AH183" s="284"/>
      <c r="AI183" s="284"/>
      <c r="AJ183" s="284"/>
      <c r="AK183" s="284"/>
    </row>
    <row r="184" spans="1:37" ht="12.75" customHeight="1" x14ac:dyDescent="0.45">
      <c r="A184" s="335"/>
      <c r="B184" s="334" t="s">
        <v>447</v>
      </c>
      <c r="C184" s="335"/>
      <c r="E184" s="335"/>
      <c r="F184" s="335"/>
      <c r="G184" s="335"/>
      <c r="H184" s="335"/>
      <c r="I184" s="335"/>
      <c r="J184" s="284"/>
      <c r="K184" s="284"/>
      <c r="L184" s="284"/>
      <c r="M184" s="284"/>
      <c r="N184" s="333"/>
      <c r="O184" s="284"/>
      <c r="P184" s="284"/>
      <c r="Q184" s="284"/>
      <c r="R184" s="284"/>
      <c r="S184" s="284"/>
      <c r="T184" s="284"/>
      <c r="U184" s="284"/>
      <c r="V184" s="284"/>
      <c r="W184" s="284"/>
      <c r="X184" s="284"/>
      <c r="Y184" s="284"/>
      <c r="Z184" s="284"/>
      <c r="AA184" s="284"/>
      <c r="AB184" s="284"/>
      <c r="AC184" s="284"/>
      <c r="AD184" s="284"/>
      <c r="AE184" s="284"/>
      <c r="AF184" s="284"/>
      <c r="AG184" s="284"/>
      <c r="AH184" s="284"/>
      <c r="AI184" s="284"/>
      <c r="AJ184" s="284"/>
      <c r="AK184" s="284"/>
    </row>
    <row r="185" spans="1:37" ht="12.75" customHeight="1" x14ac:dyDescent="0.45">
      <c r="A185" s="335"/>
      <c r="B185" s="335"/>
      <c r="C185" s="335" t="s">
        <v>448</v>
      </c>
      <c r="E185" s="392" t="s">
        <v>814</v>
      </c>
      <c r="F185" s="335"/>
      <c r="G185" s="396">
        <f t="shared" ref="G185:AA185" si="56">F189</f>
        <v>0</v>
      </c>
      <c r="H185" s="396">
        <f t="shared" si="56"/>
        <v>0</v>
      </c>
      <c r="I185" s="396">
        <f t="shared" si="56"/>
        <v>0</v>
      </c>
      <c r="J185" s="396">
        <f t="shared" si="56"/>
        <v>0</v>
      </c>
      <c r="K185" s="396">
        <f t="shared" si="56"/>
        <v>0</v>
      </c>
      <c r="L185" s="396">
        <f t="shared" si="56"/>
        <v>0</v>
      </c>
      <c r="M185" s="396">
        <f t="shared" si="56"/>
        <v>0</v>
      </c>
      <c r="N185" s="396">
        <f t="shared" si="56"/>
        <v>0</v>
      </c>
      <c r="O185" s="396">
        <f t="shared" si="56"/>
        <v>0</v>
      </c>
      <c r="P185" s="396">
        <f t="shared" si="56"/>
        <v>0</v>
      </c>
      <c r="Q185" s="396">
        <f t="shared" si="56"/>
        <v>0</v>
      </c>
      <c r="R185" s="396">
        <f t="shared" si="56"/>
        <v>0</v>
      </c>
      <c r="S185" s="396">
        <f t="shared" si="56"/>
        <v>0</v>
      </c>
      <c r="T185" s="396">
        <f t="shared" si="56"/>
        <v>0</v>
      </c>
      <c r="U185" s="396">
        <f t="shared" si="56"/>
        <v>0</v>
      </c>
      <c r="V185" s="396">
        <f t="shared" si="56"/>
        <v>0</v>
      </c>
      <c r="W185" s="396">
        <f t="shared" si="56"/>
        <v>0</v>
      </c>
      <c r="X185" s="396">
        <f t="shared" si="56"/>
        <v>0</v>
      </c>
      <c r="Y185" s="396">
        <f t="shared" si="56"/>
        <v>0</v>
      </c>
      <c r="Z185" s="396">
        <f t="shared" si="56"/>
        <v>0</v>
      </c>
      <c r="AA185" s="396">
        <f t="shared" si="56"/>
        <v>0</v>
      </c>
      <c r="AB185" s="284"/>
      <c r="AC185" s="284"/>
      <c r="AD185" s="284"/>
      <c r="AE185" s="284"/>
      <c r="AF185" s="284"/>
      <c r="AG185" s="284"/>
      <c r="AH185" s="284"/>
      <c r="AI185" s="284"/>
      <c r="AJ185" s="284"/>
      <c r="AK185" s="284"/>
    </row>
    <row r="186" spans="1:37" ht="12.75" customHeight="1" x14ac:dyDescent="0.45">
      <c r="A186" s="335"/>
      <c r="B186" s="335"/>
      <c r="C186" s="335" t="s">
        <v>449</v>
      </c>
      <c r="E186" s="392" t="s">
        <v>814</v>
      </c>
      <c r="F186" s="335"/>
      <c r="G186" s="396">
        <f t="shared" ref="G186:AA186" si="57">G179</f>
        <v>0</v>
      </c>
      <c r="H186" s="396">
        <f t="shared" si="57"/>
        <v>0</v>
      </c>
      <c r="I186" s="396">
        <f t="shared" si="57"/>
        <v>0</v>
      </c>
      <c r="J186" s="396">
        <f t="shared" si="57"/>
        <v>0</v>
      </c>
      <c r="K186" s="396">
        <f t="shared" si="57"/>
        <v>0</v>
      </c>
      <c r="L186" s="396">
        <f t="shared" si="57"/>
        <v>0</v>
      </c>
      <c r="M186" s="396">
        <f t="shared" si="57"/>
        <v>0</v>
      </c>
      <c r="N186" s="396">
        <f t="shared" si="57"/>
        <v>0</v>
      </c>
      <c r="O186" s="396">
        <f t="shared" si="57"/>
        <v>0</v>
      </c>
      <c r="P186" s="396">
        <f t="shared" si="57"/>
        <v>0</v>
      </c>
      <c r="Q186" s="396">
        <f t="shared" si="57"/>
        <v>0</v>
      </c>
      <c r="R186" s="396">
        <f t="shared" si="57"/>
        <v>0</v>
      </c>
      <c r="S186" s="396">
        <f t="shared" si="57"/>
        <v>0</v>
      </c>
      <c r="T186" s="396">
        <f t="shared" si="57"/>
        <v>0</v>
      </c>
      <c r="U186" s="396">
        <f t="shared" si="57"/>
        <v>0</v>
      </c>
      <c r="V186" s="396">
        <f t="shared" si="57"/>
        <v>0</v>
      </c>
      <c r="W186" s="396">
        <f t="shared" si="57"/>
        <v>0</v>
      </c>
      <c r="X186" s="396">
        <f t="shared" si="57"/>
        <v>0</v>
      </c>
      <c r="Y186" s="396">
        <f t="shared" si="57"/>
        <v>0</v>
      </c>
      <c r="Z186" s="396">
        <f t="shared" si="57"/>
        <v>0</v>
      </c>
      <c r="AA186" s="396">
        <f t="shared" si="57"/>
        <v>0</v>
      </c>
      <c r="AB186" s="284"/>
      <c r="AC186" s="284"/>
      <c r="AD186" s="284"/>
      <c r="AE186" s="284"/>
      <c r="AF186" s="284"/>
      <c r="AG186" s="284"/>
      <c r="AH186" s="284"/>
      <c r="AI186" s="284"/>
      <c r="AJ186" s="284"/>
      <c r="AK186" s="284"/>
    </row>
    <row r="187" spans="1:37" ht="12.75" customHeight="1" x14ac:dyDescent="0.45">
      <c r="A187" s="335"/>
      <c r="B187" s="335"/>
      <c r="C187" s="335" t="s">
        <v>451</v>
      </c>
      <c r="E187" s="392" t="s">
        <v>814</v>
      </c>
      <c r="F187" s="335"/>
      <c r="G187" s="396">
        <f t="shared" ref="G187:AA187" si="58">G193</f>
        <v>0</v>
      </c>
      <c r="H187" s="396">
        <f t="shared" si="58"/>
        <v>0</v>
      </c>
      <c r="I187" s="396">
        <f t="shared" si="58"/>
        <v>0</v>
      </c>
      <c r="J187" s="396">
        <f t="shared" si="58"/>
        <v>0</v>
      </c>
      <c r="K187" s="396">
        <f t="shared" si="58"/>
        <v>0</v>
      </c>
      <c r="L187" s="396">
        <f t="shared" si="58"/>
        <v>0</v>
      </c>
      <c r="M187" s="396">
        <f t="shared" si="58"/>
        <v>0</v>
      </c>
      <c r="N187" s="396">
        <f t="shared" si="58"/>
        <v>0</v>
      </c>
      <c r="O187" s="396">
        <f t="shared" si="58"/>
        <v>0</v>
      </c>
      <c r="P187" s="396">
        <f t="shared" si="58"/>
        <v>0</v>
      </c>
      <c r="Q187" s="396">
        <f t="shared" si="58"/>
        <v>0</v>
      </c>
      <c r="R187" s="396">
        <f t="shared" si="58"/>
        <v>0</v>
      </c>
      <c r="S187" s="396">
        <f t="shared" si="58"/>
        <v>0</v>
      </c>
      <c r="T187" s="396">
        <f t="shared" si="58"/>
        <v>0</v>
      </c>
      <c r="U187" s="396">
        <f t="shared" si="58"/>
        <v>0</v>
      </c>
      <c r="V187" s="396">
        <f t="shared" si="58"/>
        <v>0</v>
      </c>
      <c r="W187" s="396">
        <f t="shared" si="58"/>
        <v>0</v>
      </c>
      <c r="X187" s="396">
        <f t="shared" si="58"/>
        <v>0</v>
      </c>
      <c r="Y187" s="396">
        <f t="shared" si="58"/>
        <v>0</v>
      </c>
      <c r="Z187" s="396">
        <f t="shared" si="58"/>
        <v>0</v>
      </c>
      <c r="AA187" s="396">
        <f t="shared" si="58"/>
        <v>0</v>
      </c>
      <c r="AB187" s="284"/>
      <c r="AC187" s="284"/>
      <c r="AD187" s="284"/>
      <c r="AE187" s="284"/>
      <c r="AF187" s="284"/>
      <c r="AG187" s="284"/>
      <c r="AH187" s="284"/>
      <c r="AI187" s="284"/>
      <c r="AJ187" s="284"/>
      <c r="AK187" s="284"/>
    </row>
    <row r="188" spans="1:37" ht="12.75" customHeight="1" x14ac:dyDescent="0.45">
      <c r="A188" s="335"/>
      <c r="B188" s="335"/>
      <c r="C188" s="335" t="s">
        <v>452</v>
      </c>
      <c r="E188" s="392" t="s">
        <v>814</v>
      </c>
      <c r="F188" s="335"/>
      <c r="G188" s="396">
        <f>G180+(IF(G$2=$E182,G185+G187-G180,0))</f>
        <v>0</v>
      </c>
      <c r="H188" s="396">
        <f>H180+(IF(H$2=$E182,H185+H187-H180,0))</f>
        <v>0</v>
      </c>
      <c r="I188" s="396">
        <f t="shared" ref="I188:AA188" si="59">I180+(IF(I$2=$E182,I185+I187-I180,0))</f>
        <v>0</v>
      </c>
      <c r="J188" s="396">
        <f t="shared" si="59"/>
        <v>0</v>
      </c>
      <c r="K188" s="396">
        <f t="shared" si="59"/>
        <v>0</v>
      </c>
      <c r="L188" s="396">
        <f t="shared" si="59"/>
        <v>0</v>
      </c>
      <c r="M188" s="396">
        <f t="shared" si="59"/>
        <v>0</v>
      </c>
      <c r="N188" s="396">
        <f t="shared" si="59"/>
        <v>0</v>
      </c>
      <c r="O188" s="396">
        <f t="shared" si="59"/>
        <v>0</v>
      </c>
      <c r="P188" s="396">
        <f t="shared" si="59"/>
        <v>0</v>
      </c>
      <c r="Q188" s="396">
        <f t="shared" si="59"/>
        <v>0</v>
      </c>
      <c r="R188" s="396">
        <f t="shared" si="59"/>
        <v>0</v>
      </c>
      <c r="S188" s="396">
        <f t="shared" si="59"/>
        <v>0</v>
      </c>
      <c r="T188" s="396">
        <f t="shared" si="59"/>
        <v>0</v>
      </c>
      <c r="U188" s="396">
        <f t="shared" si="59"/>
        <v>0</v>
      </c>
      <c r="V188" s="396">
        <f t="shared" si="59"/>
        <v>0</v>
      </c>
      <c r="W188" s="396">
        <f t="shared" si="59"/>
        <v>0</v>
      </c>
      <c r="X188" s="396">
        <f t="shared" si="59"/>
        <v>0</v>
      </c>
      <c r="Y188" s="396">
        <f t="shared" si="59"/>
        <v>0</v>
      </c>
      <c r="Z188" s="396">
        <f t="shared" si="59"/>
        <v>0</v>
      </c>
      <c r="AA188" s="396">
        <f t="shared" si="59"/>
        <v>0</v>
      </c>
      <c r="AB188" s="284"/>
      <c r="AC188" s="284"/>
      <c r="AD188" s="284"/>
      <c r="AE188" s="284"/>
      <c r="AF188" s="284"/>
      <c r="AG188" s="284"/>
      <c r="AH188" s="284"/>
      <c r="AI188" s="284"/>
      <c r="AJ188" s="284"/>
      <c r="AK188" s="284"/>
    </row>
    <row r="189" spans="1:37" ht="12.75" customHeight="1" x14ac:dyDescent="0.45">
      <c r="A189" s="335"/>
      <c r="B189" s="335"/>
      <c r="C189" s="335" t="s">
        <v>453</v>
      </c>
      <c r="E189" s="392" t="s">
        <v>814</v>
      </c>
      <c r="F189" s="393"/>
      <c r="G189" s="396">
        <f t="shared" ref="G189:AA189" si="60">G185+G186+G187-G188</f>
        <v>0</v>
      </c>
      <c r="H189" s="396">
        <f t="shared" si="60"/>
        <v>0</v>
      </c>
      <c r="I189" s="396">
        <f t="shared" si="60"/>
        <v>0</v>
      </c>
      <c r="J189" s="396">
        <f t="shared" si="60"/>
        <v>0</v>
      </c>
      <c r="K189" s="396">
        <f t="shared" si="60"/>
        <v>0</v>
      </c>
      <c r="L189" s="396">
        <f t="shared" si="60"/>
        <v>0</v>
      </c>
      <c r="M189" s="396">
        <f t="shared" si="60"/>
        <v>0</v>
      </c>
      <c r="N189" s="396">
        <f t="shared" si="60"/>
        <v>0</v>
      </c>
      <c r="O189" s="396">
        <f t="shared" si="60"/>
        <v>0</v>
      </c>
      <c r="P189" s="396">
        <f t="shared" si="60"/>
        <v>0</v>
      </c>
      <c r="Q189" s="396">
        <f t="shared" si="60"/>
        <v>0</v>
      </c>
      <c r="R189" s="396">
        <f t="shared" si="60"/>
        <v>0</v>
      </c>
      <c r="S189" s="396">
        <f t="shared" si="60"/>
        <v>0</v>
      </c>
      <c r="T189" s="396">
        <f t="shared" si="60"/>
        <v>0</v>
      </c>
      <c r="U189" s="396">
        <f t="shared" si="60"/>
        <v>0</v>
      </c>
      <c r="V189" s="396">
        <f t="shared" si="60"/>
        <v>0</v>
      </c>
      <c r="W189" s="396">
        <f t="shared" si="60"/>
        <v>0</v>
      </c>
      <c r="X189" s="396">
        <f t="shared" si="60"/>
        <v>0</v>
      </c>
      <c r="Y189" s="396">
        <f t="shared" si="60"/>
        <v>0</v>
      </c>
      <c r="Z189" s="396">
        <f t="shared" si="60"/>
        <v>0</v>
      </c>
      <c r="AA189" s="396">
        <f t="shared" si="60"/>
        <v>0</v>
      </c>
      <c r="AB189" s="284"/>
      <c r="AC189" s="284"/>
      <c r="AD189" s="284"/>
      <c r="AE189" s="284"/>
      <c r="AF189" s="284"/>
      <c r="AG189" s="284"/>
      <c r="AH189" s="284"/>
      <c r="AI189" s="284"/>
      <c r="AJ189" s="284"/>
      <c r="AK189" s="284"/>
    </row>
    <row r="190" spans="1:37" ht="12.75" customHeight="1" x14ac:dyDescent="0.45">
      <c r="A190" s="335"/>
      <c r="B190" s="334" t="s">
        <v>28</v>
      </c>
      <c r="C190" s="335"/>
      <c r="E190" s="335"/>
      <c r="F190" s="335"/>
      <c r="G190" s="396"/>
      <c r="H190" s="396"/>
      <c r="I190" s="396"/>
      <c r="J190" s="284"/>
      <c r="K190" s="284"/>
      <c r="L190" s="284"/>
      <c r="M190" s="284"/>
      <c r="N190" s="333"/>
      <c r="O190" s="284"/>
      <c r="P190" s="284"/>
      <c r="Q190" s="284"/>
      <c r="R190" s="284"/>
      <c r="S190" s="284"/>
      <c r="T190" s="284"/>
      <c r="U190" s="284"/>
      <c r="V190" s="284"/>
      <c r="W190" s="284"/>
      <c r="X190" s="284"/>
      <c r="Y190" s="284"/>
      <c r="Z190" s="284"/>
      <c r="AA190" s="284"/>
      <c r="AB190" s="284"/>
      <c r="AC190" s="284"/>
      <c r="AD190" s="284"/>
      <c r="AE190" s="284"/>
      <c r="AF190" s="284"/>
      <c r="AG190" s="284"/>
      <c r="AH190" s="284"/>
      <c r="AI190" s="284"/>
      <c r="AJ190" s="284"/>
      <c r="AK190" s="284"/>
    </row>
    <row r="191" spans="1:37" ht="12.75" customHeight="1" x14ac:dyDescent="0.45">
      <c r="A191" s="335"/>
      <c r="B191" s="335"/>
      <c r="C191" s="335" t="s">
        <v>454</v>
      </c>
      <c r="E191" s="335"/>
      <c r="F191" s="335"/>
      <c r="G191" s="396"/>
      <c r="H191" s="396"/>
      <c r="I191" s="396"/>
      <c r="J191" s="284"/>
      <c r="K191" s="284"/>
      <c r="L191" s="284"/>
      <c r="M191" s="284"/>
      <c r="N191" s="333"/>
      <c r="O191" s="284"/>
      <c r="P191" s="284"/>
      <c r="Q191" s="284"/>
      <c r="R191" s="284"/>
      <c r="S191" s="284"/>
      <c r="T191" s="284"/>
      <c r="U191" s="284"/>
      <c r="V191" s="284"/>
      <c r="W191" s="284"/>
      <c r="X191" s="284"/>
      <c r="Y191" s="284"/>
      <c r="Z191" s="284"/>
      <c r="AA191" s="284"/>
      <c r="AB191" s="284"/>
      <c r="AC191" s="284"/>
      <c r="AD191" s="284"/>
      <c r="AE191" s="284"/>
      <c r="AF191" s="284"/>
      <c r="AG191" s="284"/>
      <c r="AH191" s="284"/>
      <c r="AI191" s="284"/>
      <c r="AJ191" s="284"/>
      <c r="AK191" s="284"/>
    </row>
    <row r="192" spans="1:37" ht="12.75" customHeight="1" x14ac:dyDescent="0.45">
      <c r="A192" s="335"/>
      <c r="B192" s="335"/>
      <c r="C192" s="335" t="s">
        <v>455</v>
      </c>
      <c r="E192" s="392" t="s">
        <v>814</v>
      </c>
      <c r="F192" s="335"/>
      <c r="G192" s="396">
        <f t="shared" ref="G192:AA192" si="61">(G185+G186)*$E181</f>
        <v>0</v>
      </c>
      <c r="H192" s="396">
        <f t="shared" si="61"/>
        <v>0</v>
      </c>
      <c r="I192" s="396">
        <f t="shared" si="61"/>
        <v>0</v>
      </c>
      <c r="J192" s="396">
        <f t="shared" si="61"/>
        <v>0</v>
      </c>
      <c r="K192" s="396">
        <f t="shared" si="61"/>
        <v>0</v>
      </c>
      <c r="L192" s="396">
        <f t="shared" si="61"/>
        <v>0</v>
      </c>
      <c r="M192" s="396">
        <f t="shared" si="61"/>
        <v>0</v>
      </c>
      <c r="N192" s="396">
        <f t="shared" si="61"/>
        <v>0</v>
      </c>
      <c r="O192" s="396">
        <f t="shared" si="61"/>
        <v>0</v>
      </c>
      <c r="P192" s="396">
        <f t="shared" si="61"/>
        <v>0</v>
      </c>
      <c r="Q192" s="396">
        <f t="shared" si="61"/>
        <v>0</v>
      </c>
      <c r="R192" s="396">
        <f t="shared" si="61"/>
        <v>0</v>
      </c>
      <c r="S192" s="396">
        <f t="shared" si="61"/>
        <v>0</v>
      </c>
      <c r="T192" s="396">
        <f t="shared" si="61"/>
        <v>0</v>
      </c>
      <c r="U192" s="396">
        <f t="shared" si="61"/>
        <v>0</v>
      </c>
      <c r="V192" s="396">
        <f t="shared" si="61"/>
        <v>0</v>
      </c>
      <c r="W192" s="396">
        <f t="shared" si="61"/>
        <v>0</v>
      </c>
      <c r="X192" s="396">
        <f t="shared" si="61"/>
        <v>0</v>
      </c>
      <c r="Y192" s="396">
        <f t="shared" si="61"/>
        <v>0</v>
      </c>
      <c r="Z192" s="396">
        <f t="shared" si="61"/>
        <v>0</v>
      </c>
      <c r="AA192" s="396">
        <f t="shared" si="61"/>
        <v>0</v>
      </c>
      <c r="AB192" s="284"/>
      <c r="AC192" s="284"/>
      <c r="AD192" s="284"/>
      <c r="AE192" s="284"/>
      <c r="AF192" s="284"/>
      <c r="AG192" s="284"/>
      <c r="AH192" s="284"/>
      <c r="AI192" s="284"/>
      <c r="AJ192" s="284"/>
      <c r="AK192" s="284"/>
    </row>
    <row r="193" spans="1:37" ht="12.75" customHeight="1" x14ac:dyDescent="0.45">
      <c r="A193" s="335"/>
      <c r="B193" s="335"/>
      <c r="C193" s="397" t="s">
        <v>456</v>
      </c>
      <c r="E193" s="392" t="s">
        <v>814</v>
      </c>
      <c r="F193" s="335"/>
      <c r="G193" s="396">
        <f>IF(G$2&lt;=$E183, G192,0)</f>
        <v>0</v>
      </c>
      <c r="H193" s="396">
        <f t="shared" ref="H193:AA193" si="62">IF(H$2&lt;=$E183, H192,0)</f>
        <v>0</v>
      </c>
      <c r="I193" s="396">
        <f t="shared" si="62"/>
        <v>0</v>
      </c>
      <c r="J193" s="396">
        <f t="shared" si="62"/>
        <v>0</v>
      </c>
      <c r="K193" s="396">
        <f t="shared" si="62"/>
        <v>0</v>
      </c>
      <c r="L193" s="396">
        <f t="shared" si="62"/>
        <v>0</v>
      </c>
      <c r="M193" s="396">
        <f t="shared" si="62"/>
        <v>0</v>
      </c>
      <c r="N193" s="396">
        <f t="shared" si="62"/>
        <v>0</v>
      </c>
      <c r="O193" s="396">
        <f t="shared" si="62"/>
        <v>0</v>
      </c>
      <c r="P193" s="396">
        <f t="shared" si="62"/>
        <v>0</v>
      </c>
      <c r="Q193" s="396">
        <f t="shared" si="62"/>
        <v>0</v>
      </c>
      <c r="R193" s="396">
        <f t="shared" si="62"/>
        <v>0</v>
      </c>
      <c r="S193" s="396">
        <f t="shared" si="62"/>
        <v>0</v>
      </c>
      <c r="T193" s="396">
        <f t="shared" si="62"/>
        <v>0</v>
      </c>
      <c r="U193" s="396">
        <f t="shared" si="62"/>
        <v>0</v>
      </c>
      <c r="V193" s="396">
        <f t="shared" si="62"/>
        <v>0</v>
      </c>
      <c r="W193" s="396">
        <f t="shared" si="62"/>
        <v>0</v>
      </c>
      <c r="X193" s="396">
        <f t="shared" si="62"/>
        <v>0</v>
      </c>
      <c r="Y193" s="396">
        <f t="shared" si="62"/>
        <v>0</v>
      </c>
      <c r="Z193" s="396">
        <f t="shared" si="62"/>
        <v>0</v>
      </c>
      <c r="AA193" s="396">
        <f t="shared" si="62"/>
        <v>0</v>
      </c>
      <c r="AB193" s="284"/>
      <c r="AC193" s="284"/>
      <c r="AD193" s="284"/>
      <c r="AE193" s="284"/>
      <c r="AF193" s="284"/>
      <c r="AG193" s="284"/>
      <c r="AH193" s="284"/>
      <c r="AI193" s="284"/>
      <c r="AJ193" s="284"/>
      <c r="AK193" s="284"/>
    </row>
    <row r="194" spans="1:37" ht="12.75" customHeight="1" x14ac:dyDescent="0.45">
      <c r="A194" s="335"/>
      <c r="B194" s="335"/>
      <c r="C194" s="397" t="s">
        <v>457</v>
      </c>
      <c r="E194" s="392" t="s">
        <v>814</v>
      </c>
      <c r="F194" s="335"/>
      <c r="G194" s="396">
        <f t="shared" ref="G194:AA194" si="63">G192-G193</f>
        <v>0</v>
      </c>
      <c r="H194" s="396">
        <f t="shared" si="63"/>
        <v>0</v>
      </c>
      <c r="I194" s="396">
        <f t="shared" si="63"/>
        <v>0</v>
      </c>
      <c r="J194" s="396">
        <f t="shared" si="63"/>
        <v>0</v>
      </c>
      <c r="K194" s="396">
        <f t="shared" si="63"/>
        <v>0</v>
      </c>
      <c r="L194" s="396">
        <f t="shared" si="63"/>
        <v>0</v>
      </c>
      <c r="M194" s="396">
        <f t="shared" si="63"/>
        <v>0</v>
      </c>
      <c r="N194" s="396">
        <f t="shared" si="63"/>
        <v>0</v>
      </c>
      <c r="O194" s="396">
        <f t="shared" si="63"/>
        <v>0</v>
      </c>
      <c r="P194" s="396">
        <f t="shared" si="63"/>
        <v>0</v>
      </c>
      <c r="Q194" s="396">
        <f t="shared" si="63"/>
        <v>0</v>
      </c>
      <c r="R194" s="396">
        <f t="shared" si="63"/>
        <v>0</v>
      </c>
      <c r="S194" s="396">
        <f t="shared" si="63"/>
        <v>0</v>
      </c>
      <c r="T194" s="396">
        <f t="shared" si="63"/>
        <v>0</v>
      </c>
      <c r="U194" s="396">
        <f t="shared" si="63"/>
        <v>0</v>
      </c>
      <c r="V194" s="396">
        <f t="shared" si="63"/>
        <v>0</v>
      </c>
      <c r="W194" s="396">
        <f t="shared" si="63"/>
        <v>0</v>
      </c>
      <c r="X194" s="396">
        <f t="shared" si="63"/>
        <v>0</v>
      </c>
      <c r="Y194" s="396">
        <f t="shared" si="63"/>
        <v>0</v>
      </c>
      <c r="Z194" s="396">
        <f t="shared" si="63"/>
        <v>0</v>
      </c>
      <c r="AA194" s="396">
        <f t="shared" si="63"/>
        <v>0</v>
      </c>
      <c r="AB194" s="284"/>
      <c r="AC194" s="284"/>
      <c r="AD194" s="284"/>
      <c r="AE194" s="284"/>
      <c r="AF194" s="284"/>
      <c r="AG194" s="284"/>
      <c r="AH194" s="284"/>
      <c r="AI194" s="284"/>
      <c r="AJ194" s="284"/>
      <c r="AK194" s="284"/>
    </row>
    <row r="195" spans="1:37" ht="12.75" customHeight="1" x14ac:dyDescent="0.45">
      <c r="A195" s="334" t="s">
        <v>386</v>
      </c>
      <c r="B195" s="335"/>
      <c r="C195" s="335"/>
      <c r="D195" s="335"/>
      <c r="E195" s="335"/>
      <c r="F195" s="335"/>
      <c r="G195" s="335"/>
      <c r="H195" s="335"/>
      <c r="I195" s="284"/>
      <c r="J195" s="284"/>
      <c r="K195" s="284"/>
      <c r="L195" s="284"/>
      <c r="M195" s="284"/>
      <c r="N195" s="333"/>
      <c r="O195" s="284"/>
      <c r="P195" s="284"/>
      <c r="Q195" s="284"/>
      <c r="R195" s="284"/>
      <c r="S195" s="284"/>
      <c r="T195" s="284"/>
      <c r="U195" s="284"/>
      <c r="V195" s="284"/>
      <c r="W195" s="284"/>
      <c r="X195" s="284"/>
      <c r="Y195" s="284"/>
      <c r="Z195" s="284"/>
      <c r="AA195" s="284"/>
      <c r="AB195" s="284"/>
      <c r="AC195" s="284"/>
      <c r="AD195" s="284"/>
      <c r="AE195" s="284"/>
      <c r="AF195" s="284"/>
      <c r="AG195" s="284"/>
      <c r="AH195" s="284"/>
      <c r="AI195" s="284"/>
      <c r="AJ195" s="284"/>
      <c r="AK195" s="284"/>
    </row>
    <row r="196" spans="1:37" ht="12.75" customHeight="1" x14ac:dyDescent="0.45">
      <c r="A196" s="334"/>
      <c r="B196" s="334" t="s">
        <v>441</v>
      </c>
      <c r="C196" s="335"/>
      <c r="D196" s="335"/>
      <c r="E196" s="335"/>
      <c r="F196" s="335"/>
      <c r="G196" s="335"/>
      <c r="H196" s="335"/>
      <c r="I196" s="284"/>
      <c r="J196" s="284"/>
      <c r="K196" s="284"/>
      <c r="L196" s="284"/>
      <c r="M196" s="284"/>
      <c r="N196" s="333"/>
      <c r="O196" s="284"/>
      <c r="P196" s="284"/>
      <c r="Q196" s="284"/>
      <c r="R196" s="284"/>
      <c r="S196" s="284"/>
      <c r="T196" s="284"/>
      <c r="U196" s="284"/>
      <c r="V196" s="284"/>
      <c r="W196" s="284"/>
      <c r="X196" s="284"/>
      <c r="Y196" s="284"/>
      <c r="Z196" s="284"/>
      <c r="AA196" s="284"/>
      <c r="AB196" s="284"/>
      <c r="AC196" s="284"/>
      <c r="AD196" s="284"/>
      <c r="AE196" s="284"/>
      <c r="AF196" s="284"/>
      <c r="AG196" s="284"/>
      <c r="AH196" s="284"/>
      <c r="AI196" s="284"/>
      <c r="AJ196" s="284"/>
      <c r="AK196" s="284"/>
    </row>
    <row r="197" spans="1:37" ht="12.75" customHeight="1" x14ac:dyDescent="0.45">
      <c r="A197" s="335"/>
      <c r="B197" s="335"/>
      <c r="C197" s="335" t="s">
        <v>442</v>
      </c>
      <c r="E197" s="392" t="s">
        <v>814</v>
      </c>
      <c r="F197" s="335"/>
      <c r="G197" s="304">
        <f>SUMIF($F$283:$F$292,$A195,G$283:G$292)</f>
        <v>0</v>
      </c>
      <c r="H197" s="304">
        <f t="shared" ref="H197:AA197" si="64">SUMIF($F$283:$F$292,$A195,H$283:H$292)</f>
        <v>0</v>
      </c>
      <c r="I197" s="304">
        <f t="shared" si="64"/>
        <v>0</v>
      </c>
      <c r="J197" s="304">
        <f t="shared" si="64"/>
        <v>0</v>
      </c>
      <c r="K197" s="304">
        <f t="shared" si="64"/>
        <v>0</v>
      </c>
      <c r="L197" s="304">
        <f t="shared" si="64"/>
        <v>0</v>
      </c>
      <c r="M197" s="304">
        <f t="shared" si="64"/>
        <v>0</v>
      </c>
      <c r="N197" s="304">
        <f t="shared" si="64"/>
        <v>0</v>
      </c>
      <c r="O197" s="304">
        <f t="shared" si="64"/>
        <v>0</v>
      </c>
      <c r="P197" s="304">
        <f t="shared" si="64"/>
        <v>0</v>
      </c>
      <c r="Q197" s="304">
        <f t="shared" si="64"/>
        <v>0</v>
      </c>
      <c r="R197" s="304">
        <f t="shared" si="64"/>
        <v>0</v>
      </c>
      <c r="S197" s="304">
        <f t="shared" si="64"/>
        <v>0</v>
      </c>
      <c r="T197" s="304">
        <f t="shared" si="64"/>
        <v>0</v>
      </c>
      <c r="U197" s="304">
        <f t="shared" si="64"/>
        <v>0</v>
      </c>
      <c r="V197" s="304">
        <f t="shared" si="64"/>
        <v>0</v>
      </c>
      <c r="W197" s="304">
        <f t="shared" si="64"/>
        <v>0</v>
      </c>
      <c r="X197" s="304">
        <f t="shared" si="64"/>
        <v>0</v>
      </c>
      <c r="Y197" s="304">
        <f t="shared" si="64"/>
        <v>0</v>
      </c>
      <c r="Z197" s="304">
        <f t="shared" si="64"/>
        <v>0</v>
      </c>
      <c r="AA197" s="304">
        <f t="shared" si="64"/>
        <v>0</v>
      </c>
      <c r="AB197" s="284"/>
      <c r="AC197" s="284"/>
      <c r="AD197" s="284"/>
      <c r="AE197" s="284"/>
      <c r="AF197" s="284"/>
      <c r="AG197" s="284"/>
      <c r="AH197" s="284"/>
      <c r="AI197" s="284"/>
      <c r="AJ197" s="284"/>
      <c r="AK197" s="284"/>
    </row>
    <row r="198" spans="1:37" ht="12.75" customHeight="1" x14ac:dyDescent="0.45">
      <c r="A198" s="335"/>
      <c r="B198" s="335"/>
      <c r="C198" s="335" t="s">
        <v>443</v>
      </c>
      <c r="E198" s="392" t="s">
        <v>814</v>
      </c>
      <c r="F198" s="335"/>
      <c r="G198" s="398"/>
      <c r="H198" s="398"/>
      <c r="I198" s="398"/>
      <c r="J198" s="398"/>
      <c r="K198" s="398"/>
      <c r="L198" s="398"/>
      <c r="M198" s="398"/>
      <c r="N198" s="398"/>
      <c r="O198" s="398"/>
      <c r="P198" s="398"/>
      <c r="Q198" s="398"/>
      <c r="R198" s="398"/>
      <c r="S198" s="398"/>
      <c r="T198" s="398"/>
      <c r="U198" s="398"/>
      <c r="V198" s="398"/>
      <c r="W198" s="398"/>
      <c r="X198" s="398"/>
      <c r="Y198" s="398"/>
      <c r="Z198" s="398"/>
      <c r="AA198" s="398"/>
      <c r="AB198" s="284"/>
      <c r="AC198" s="284"/>
      <c r="AD198" s="284"/>
      <c r="AE198" s="284"/>
      <c r="AF198" s="284"/>
      <c r="AG198" s="284"/>
      <c r="AH198" s="284"/>
      <c r="AI198" s="284"/>
      <c r="AJ198" s="284"/>
      <c r="AK198" s="284"/>
    </row>
    <row r="199" spans="1:37" ht="12.75" customHeight="1" x14ac:dyDescent="0.45">
      <c r="A199" s="335"/>
      <c r="B199" s="335"/>
      <c r="C199" s="335" t="s">
        <v>444</v>
      </c>
      <c r="E199" s="394">
        <v>0.02</v>
      </c>
      <c r="G199" s="335"/>
      <c r="H199" s="335"/>
      <c r="I199" s="335"/>
      <c r="J199" s="284"/>
      <c r="K199" s="284"/>
      <c r="L199" s="284"/>
      <c r="M199" s="284"/>
      <c r="N199" s="333"/>
      <c r="O199" s="284"/>
      <c r="P199" s="284"/>
      <c r="Q199" s="284"/>
      <c r="R199" s="284"/>
      <c r="S199" s="284"/>
      <c r="T199" s="284"/>
      <c r="U199" s="284"/>
      <c r="V199" s="284"/>
      <c r="W199" s="284"/>
      <c r="X199" s="284"/>
      <c r="Y199" s="284"/>
      <c r="Z199" s="284"/>
      <c r="AA199" s="284"/>
      <c r="AB199" s="284"/>
      <c r="AC199" s="284"/>
      <c r="AD199" s="284"/>
      <c r="AE199" s="284"/>
      <c r="AF199" s="284"/>
      <c r="AG199" s="284"/>
      <c r="AH199" s="284"/>
      <c r="AI199" s="284"/>
      <c r="AJ199" s="284"/>
      <c r="AK199" s="284"/>
    </row>
    <row r="200" spans="1:37" ht="12.75" customHeight="1" x14ac:dyDescent="0.45">
      <c r="A200" s="335"/>
      <c r="B200" s="335"/>
      <c r="C200" s="335" t="s">
        <v>445</v>
      </c>
      <c r="E200" s="395">
        <v>2022</v>
      </c>
      <c r="F200" s="392"/>
      <c r="G200" s="335"/>
      <c r="H200" s="335"/>
      <c r="I200" s="335"/>
      <c r="J200" s="284"/>
      <c r="K200" s="284"/>
      <c r="L200" s="284"/>
      <c r="M200" s="284"/>
      <c r="N200" s="333"/>
      <c r="O200" s="284"/>
      <c r="P200" s="284"/>
      <c r="Q200" s="284"/>
      <c r="R200" s="284"/>
      <c r="S200" s="284"/>
      <c r="T200" s="284"/>
      <c r="U200" s="284"/>
      <c r="V200" s="284"/>
      <c r="W200" s="284"/>
      <c r="X200" s="284"/>
      <c r="Y200" s="284"/>
      <c r="Z200" s="284"/>
      <c r="AA200" s="284"/>
      <c r="AB200" s="284"/>
      <c r="AC200" s="284"/>
      <c r="AD200" s="284"/>
      <c r="AE200" s="284"/>
      <c r="AF200" s="284"/>
      <c r="AG200" s="284"/>
      <c r="AH200" s="284"/>
      <c r="AI200" s="284"/>
      <c r="AJ200" s="284"/>
      <c r="AK200" s="284"/>
    </row>
    <row r="201" spans="1:37" ht="12.75" customHeight="1" x14ac:dyDescent="0.45">
      <c r="A201" s="335"/>
      <c r="B201" s="335"/>
      <c r="C201" s="335" t="s">
        <v>446</v>
      </c>
      <c r="E201" s="395"/>
      <c r="F201" s="392"/>
      <c r="G201" s="335"/>
      <c r="H201" s="335"/>
      <c r="I201" s="335"/>
      <c r="J201" s="284"/>
      <c r="K201" s="284"/>
      <c r="L201" s="284"/>
      <c r="M201" s="284"/>
      <c r="N201" s="333"/>
      <c r="O201" s="284"/>
      <c r="P201" s="284"/>
      <c r="Q201" s="284"/>
      <c r="R201" s="284"/>
      <c r="S201" s="284"/>
      <c r="T201" s="284"/>
      <c r="U201" s="284"/>
      <c r="V201" s="284"/>
      <c r="W201" s="284"/>
      <c r="X201" s="284"/>
      <c r="Y201" s="284"/>
      <c r="Z201" s="284"/>
      <c r="AA201" s="284"/>
      <c r="AB201" s="284"/>
      <c r="AC201" s="284"/>
      <c r="AD201" s="284"/>
      <c r="AE201" s="284"/>
      <c r="AF201" s="284"/>
      <c r="AG201" s="284"/>
      <c r="AH201" s="284"/>
      <c r="AI201" s="284"/>
      <c r="AJ201" s="284"/>
      <c r="AK201" s="284"/>
    </row>
    <row r="202" spans="1:37" ht="12.75" customHeight="1" x14ac:dyDescent="0.45">
      <c r="A202" s="335"/>
      <c r="B202" s="334" t="s">
        <v>447</v>
      </c>
      <c r="C202" s="335"/>
      <c r="E202" s="335"/>
      <c r="F202" s="335"/>
      <c r="G202" s="335"/>
      <c r="H202" s="335"/>
      <c r="I202" s="335"/>
      <c r="J202" s="284"/>
      <c r="K202" s="284"/>
      <c r="L202" s="284"/>
      <c r="M202" s="284"/>
      <c r="N202" s="333"/>
      <c r="O202" s="284"/>
      <c r="P202" s="284"/>
      <c r="Q202" s="284"/>
      <c r="R202" s="284"/>
      <c r="S202" s="284"/>
      <c r="T202" s="284"/>
      <c r="U202" s="284"/>
      <c r="V202" s="284"/>
      <c r="W202" s="284"/>
      <c r="X202" s="284"/>
      <c r="Y202" s="284"/>
      <c r="Z202" s="284"/>
      <c r="AA202" s="284"/>
      <c r="AB202" s="284"/>
      <c r="AC202" s="284"/>
      <c r="AD202" s="284"/>
      <c r="AE202" s="284"/>
      <c r="AF202" s="284"/>
      <c r="AG202" s="284"/>
      <c r="AH202" s="284"/>
      <c r="AI202" s="284"/>
      <c r="AJ202" s="284"/>
      <c r="AK202" s="284"/>
    </row>
    <row r="203" spans="1:37" ht="12.75" customHeight="1" x14ac:dyDescent="0.45">
      <c r="A203" s="335"/>
      <c r="B203" s="335"/>
      <c r="C203" s="335" t="s">
        <v>448</v>
      </c>
      <c r="E203" s="392" t="s">
        <v>814</v>
      </c>
      <c r="F203" s="335"/>
      <c r="G203" s="396">
        <f t="shared" ref="G203:AA203" si="65">F207</f>
        <v>0</v>
      </c>
      <c r="H203" s="396">
        <f t="shared" si="65"/>
        <v>0</v>
      </c>
      <c r="I203" s="396">
        <f t="shared" si="65"/>
        <v>0</v>
      </c>
      <c r="J203" s="396">
        <f t="shared" si="65"/>
        <v>0</v>
      </c>
      <c r="K203" s="396">
        <f t="shared" si="65"/>
        <v>0</v>
      </c>
      <c r="L203" s="396">
        <f t="shared" si="65"/>
        <v>0</v>
      </c>
      <c r="M203" s="396">
        <f t="shared" si="65"/>
        <v>0</v>
      </c>
      <c r="N203" s="396">
        <f t="shared" si="65"/>
        <v>0</v>
      </c>
      <c r="O203" s="396">
        <f t="shared" si="65"/>
        <v>0</v>
      </c>
      <c r="P203" s="396">
        <f t="shared" si="65"/>
        <v>0</v>
      </c>
      <c r="Q203" s="396">
        <f t="shared" si="65"/>
        <v>0</v>
      </c>
      <c r="R203" s="396">
        <f t="shared" si="65"/>
        <v>0</v>
      </c>
      <c r="S203" s="396">
        <f t="shared" si="65"/>
        <v>0</v>
      </c>
      <c r="T203" s="396">
        <f t="shared" si="65"/>
        <v>0</v>
      </c>
      <c r="U203" s="396">
        <f t="shared" si="65"/>
        <v>0</v>
      </c>
      <c r="V203" s="396">
        <f t="shared" si="65"/>
        <v>0</v>
      </c>
      <c r="W203" s="396">
        <f t="shared" si="65"/>
        <v>0</v>
      </c>
      <c r="X203" s="396">
        <f t="shared" si="65"/>
        <v>0</v>
      </c>
      <c r="Y203" s="396">
        <f t="shared" si="65"/>
        <v>0</v>
      </c>
      <c r="Z203" s="396">
        <f t="shared" si="65"/>
        <v>0</v>
      </c>
      <c r="AA203" s="396">
        <f t="shared" si="65"/>
        <v>0</v>
      </c>
      <c r="AB203" s="284"/>
      <c r="AC203" s="284"/>
      <c r="AD203" s="284"/>
      <c r="AE203" s="284"/>
      <c r="AF203" s="284"/>
      <c r="AG203" s="284"/>
      <c r="AH203" s="284"/>
      <c r="AI203" s="284"/>
      <c r="AJ203" s="284"/>
      <c r="AK203" s="284"/>
    </row>
    <row r="204" spans="1:37" ht="12.75" customHeight="1" x14ac:dyDescent="0.45">
      <c r="A204" s="335"/>
      <c r="B204" s="335"/>
      <c r="C204" s="335" t="s">
        <v>449</v>
      </c>
      <c r="E204" s="392" t="s">
        <v>814</v>
      </c>
      <c r="F204" s="335"/>
      <c r="G204" s="396">
        <f t="shared" ref="G204:AA204" si="66">G197</f>
        <v>0</v>
      </c>
      <c r="H204" s="396">
        <f t="shared" si="66"/>
        <v>0</v>
      </c>
      <c r="I204" s="396">
        <f t="shared" si="66"/>
        <v>0</v>
      </c>
      <c r="J204" s="396">
        <f t="shared" si="66"/>
        <v>0</v>
      </c>
      <c r="K204" s="396">
        <f t="shared" si="66"/>
        <v>0</v>
      </c>
      <c r="L204" s="396">
        <f t="shared" si="66"/>
        <v>0</v>
      </c>
      <c r="M204" s="396">
        <f t="shared" si="66"/>
        <v>0</v>
      </c>
      <c r="N204" s="396">
        <f t="shared" si="66"/>
        <v>0</v>
      </c>
      <c r="O204" s="396">
        <f t="shared" si="66"/>
        <v>0</v>
      </c>
      <c r="P204" s="396">
        <f t="shared" si="66"/>
        <v>0</v>
      </c>
      <c r="Q204" s="396">
        <f t="shared" si="66"/>
        <v>0</v>
      </c>
      <c r="R204" s="396">
        <f t="shared" si="66"/>
        <v>0</v>
      </c>
      <c r="S204" s="396">
        <f t="shared" si="66"/>
        <v>0</v>
      </c>
      <c r="T204" s="396">
        <f t="shared" si="66"/>
        <v>0</v>
      </c>
      <c r="U204" s="396">
        <f t="shared" si="66"/>
        <v>0</v>
      </c>
      <c r="V204" s="396">
        <f t="shared" si="66"/>
        <v>0</v>
      </c>
      <c r="W204" s="396">
        <f t="shared" si="66"/>
        <v>0</v>
      </c>
      <c r="X204" s="396">
        <f t="shared" si="66"/>
        <v>0</v>
      </c>
      <c r="Y204" s="396">
        <f t="shared" si="66"/>
        <v>0</v>
      </c>
      <c r="Z204" s="396">
        <f t="shared" si="66"/>
        <v>0</v>
      </c>
      <c r="AA204" s="396">
        <f t="shared" si="66"/>
        <v>0</v>
      </c>
      <c r="AB204" s="284"/>
      <c r="AC204" s="284"/>
      <c r="AD204" s="284"/>
      <c r="AE204" s="284"/>
      <c r="AF204" s="284"/>
      <c r="AG204" s="284"/>
      <c r="AH204" s="284"/>
      <c r="AI204" s="284"/>
      <c r="AJ204" s="284"/>
      <c r="AK204" s="284"/>
    </row>
    <row r="205" spans="1:37" ht="12.75" customHeight="1" x14ac:dyDescent="0.45">
      <c r="A205" s="335"/>
      <c r="B205" s="335"/>
      <c r="C205" s="335" t="s">
        <v>451</v>
      </c>
      <c r="E205" s="392" t="s">
        <v>814</v>
      </c>
      <c r="F205" s="335"/>
      <c r="G205" s="396">
        <f t="shared" ref="G205:AA205" si="67">G211</f>
        <v>0</v>
      </c>
      <c r="H205" s="396">
        <f t="shared" si="67"/>
        <v>0</v>
      </c>
      <c r="I205" s="396">
        <f t="shared" si="67"/>
        <v>0</v>
      </c>
      <c r="J205" s="396">
        <f t="shared" si="67"/>
        <v>0</v>
      </c>
      <c r="K205" s="396">
        <f t="shared" si="67"/>
        <v>0</v>
      </c>
      <c r="L205" s="396">
        <f t="shared" si="67"/>
        <v>0</v>
      </c>
      <c r="M205" s="396">
        <f t="shared" si="67"/>
        <v>0</v>
      </c>
      <c r="N205" s="396">
        <f t="shared" si="67"/>
        <v>0</v>
      </c>
      <c r="O205" s="396">
        <f t="shared" si="67"/>
        <v>0</v>
      </c>
      <c r="P205" s="396">
        <f t="shared" si="67"/>
        <v>0</v>
      </c>
      <c r="Q205" s="396">
        <f t="shared" si="67"/>
        <v>0</v>
      </c>
      <c r="R205" s="396">
        <f t="shared" si="67"/>
        <v>0</v>
      </c>
      <c r="S205" s="396">
        <f t="shared" si="67"/>
        <v>0</v>
      </c>
      <c r="T205" s="396">
        <f t="shared" si="67"/>
        <v>0</v>
      </c>
      <c r="U205" s="396">
        <f t="shared" si="67"/>
        <v>0</v>
      </c>
      <c r="V205" s="396">
        <f t="shared" si="67"/>
        <v>0</v>
      </c>
      <c r="W205" s="396">
        <f t="shared" si="67"/>
        <v>0</v>
      </c>
      <c r="X205" s="396">
        <f t="shared" si="67"/>
        <v>0</v>
      </c>
      <c r="Y205" s="396">
        <f t="shared" si="67"/>
        <v>0</v>
      </c>
      <c r="Z205" s="396">
        <f t="shared" si="67"/>
        <v>0</v>
      </c>
      <c r="AA205" s="396">
        <f t="shared" si="67"/>
        <v>0</v>
      </c>
      <c r="AB205" s="284"/>
      <c r="AC205" s="284"/>
      <c r="AD205" s="284"/>
      <c r="AE205" s="284"/>
      <c r="AF205" s="284"/>
      <c r="AG205" s="284"/>
      <c r="AH205" s="284"/>
      <c r="AI205" s="284"/>
      <c r="AJ205" s="284"/>
      <c r="AK205" s="284"/>
    </row>
    <row r="206" spans="1:37" ht="12.75" customHeight="1" x14ac:dyDescent="0.45">
      <c r="A206" s="335"/>
      <c r="B206" s="335"/>
      <c r="C206" s="335" t="s">
        <v>452</v>
      </c>
      <c r="E206" s="392" t="s">
        <v>814</v>
      </c>
      <c r="F206" s="335"/>
      <c r="G206" s="396">
        <f>G198+(IF(G$2=$E200,G203+G205-G198,0))</f>
        <v>0</v>
      </c>
      <c r="H206" s="396">
        <f>H198+(IF(H$2=$E200,H203+H205-H198,0))</f>
        <v>0</v>
      </c>
      <c r="I206" s="396">
        <f t="shared" ref="I206:AA206" si="68">I198+(IF(I$2=$E200,I203+I205-I198,0))</f>
        <v>0</v>
      </c>
      <c r="J206" s="396">
        <f t="shared" si="68"/>
        <v>0</v>
      </c>
      <c r="K206" s="396">
        <f t="shared" si="68"/>
        <v>0</v>
      </c>
      <c r="L206" s="396">
        <f t="shared" si="68"/>
        <v>0</v>
      </c>
      <c r="M206" s="396">
        <f t="shared" si="68"/>
        <v>0</v>
      </c>
      <c r="N206" s="396">
        <f t="shared" si="68"/>
        <v>0</v>
      </c>
      <c r="O206" s="396">
        <f t="shared" si="68"/>
        <v>0</v>
      </c>
      <c r="P206" s="396">
        <f t="shared" si="68"/>
        <v>0</v>
      </c>
      <c r="Q206" s="396">
        <f t="shared" si="68"/>
        <v>0</v>
      </c>
      <c r="R206" s="396">
        <f t="shared" si="68"/>
        <v>0</v>
      </c>
      <c r="S206" s="396">
        <f t="shared" si="68"/>
        <v>0</v>
      </c>
      <c r="T206" s="396">
        <f t="shared" si="68"/>
        <v>0</v>
      </c>
      <c r="U206" s="396">
        <f t="shared" si="68"/>
        <v>0</v>
      </c>
      <c r="V206" s="396">
        <f t="shared" si="68"/>
        <v>0</v>
      </c>
      <c r="W206" s="396">
        <f t="shared" si="68"/>
        <v>0</v>
      </c>
      <c r="X206" s="396">
        <f t="shared" si="68"/>
        <v>0</v>
      </c>
      <c r="Y206" s="396">
        <f t="shared" si="68"/>
        <v>0</v>
      </c>
      <c r="Z206" s="396">
        <f t="shared" si="68"/>
        <v>0</v>
      </c>
      <c r="AA206" s="396">
        <f t="shared" si="68"/>
        <v>0</v>
      </c>
      <c r="AB206" s="284"/>
      <c r="AC206" s="284"/>
      <c r="AD206" s="284"/>
      <c r="AE206" s="284"/>
      <c r="AF206" s="284"/>
      <c r="AG206" s="284"/>
      <c r="AH206" s="284"/>
      <c r="AI206" s="284"/>
      <c r="AJ206" s="284"/>
      <c r="AK206" s="284"/>
    </row>
    <row r="207" spans="1:37" ht="12.75" customHeight="1" x14ac:dyDescent="0.45">
      <c r="A207" s="335"/>
      <c r="B207" s="335"/>
      <c r="C207" s="335" t="s">
        <v>453</v>
      </c>
      <c r="E207" s="392" t="s">
        <v>814</v>
      </c>
      <c r="F207" s="393"/>
      <c r="G207" s="396">
        <f t="shared" ref="G207:AA207" si="69">G203+G204+G205-G206</f>
        <v>0</v>
      </c>
      <c r="H207" s="396">
        <f t="shared" si="69"/>
        <v>0</v>
      </c>
      <c r="I207" s="396">
        <f t="shared" si="69"/>
        <v>0</v>
      </c>
      <c r="J207" s="396">
        <f t="shared" si="69"/>
        <v>0</v>
      </c>
      <c r="K207" s="396">
        <f t="shared" si="69"/>
        <v>0</v>
      </c>
      <c r="L207" s="396">
        <f t="shared" si="69"/>
        <v>0</v>
      </c>
      <c r="M207" s="396">
        <f t="shared" si="69"/>
        <v>0</v>
      </c>
      <c r="N207" s="396">
        <f t="shared" si="69"/>
        <v>0</v>
      </c>
      <c r="O207" s="396">
        <f t="shared" si="69"/>
        <v>0</v>
      </c>
      <c r="P207" s="396">
        <f t="shared" si="69"/>
        <v>0</v>
      </c>
      <c r="Q207" s="396">
        <f t="shared" si="69"/>
        <v>0</v>
      </c>
      <c r="R207" s="396">
        <f t="shared" si="69"/>
        <v>0</v>
      </c>
      <c r="S207" s="396">
        <f t="shared" si="69"/>
        <v>0</v>
      </c>
      <c r="T207" s="396">
        <f t="shared" si="69"/>
        <v>0</v>
      </c>
      <c r="U207" s="396">
        <f t="shared" si="69"/>
        <v>0</v>
      </c>
      <c r="V207" s="396">
        <f t="shared" si="69"/>
        <v>0</v>
      </c>
      <c r="W207" s="396">
        <f t="shared" si="69"/>
        <v>0</v>
      </c>
      <c r="X207" s="396">
        <f t="shared" si="69"/>
        <v>0</v>
      </c>
      <c r="Y207" s="396">
        <f t="shared" si="69"/>
        <v>0</v>
      </c>
      <c r="Z207" s="396">
        <f t="shared" si="69"/>
        <v>0</v>
      </c>
      <c r="AA207" s="396">
        <f t="shared" si="69"/>
        <v>0</v>
      </c>
      <c r="AB207" s="284"/>
      <c r="AC207" s="284"/>
      <c r="AD207" s="284"/>
      <c r="AE207" s="284"/>
      <c r="AF207" s="284"/>
      <c r="AG207" s="284"/>
      <c r="AH207" s="284"/>
      <c r="AI207" s="284"/>
      <c r="AJ207" s="284"/>
      <c r="AK207" s="284"/>
    </row>
    <row r="208" spans="1:37" ht="12.75" customHeight="1" x14ac:dyDescent="0.45">
      <c r="A208" s="335"/>
      <c r="B208" s="334" t="s">
        <v>28</v>
      </c>
      <c r="C208" s="335"/>
      <c r="E208" s="335"/>
      <c r="F208" s="335"/>
      <c r="G208" s="396"/>
      <c r="H208" s="396"/>
      <c r="I208" s="396"/>
      <c r="J208" s="284"/>
      <c r="K208" s="284"/>
      <c r="L208" s="284"/>
      <c r="M208" s="284"/>
      <c r="N208" s="333"/>
      <c r="O208" s="284"/>
      <c r="P208" s="284"/>
      <c r="Q208" s="284"/>
      <c r="R208" s="284"/>
      <c r="S208" s="284"/>
      <c r="T208" s="284"/>
      <c r="U208" s="284"/>
      <c r="V208" s="284"/>
      <c r="W208" s="284"/>
      <c r="X208" s="284"/>
      <c r="Y208" s="284"/>
      <c r="Z208" s="284"/>
      <c r="AA208" s="284"/>
      <c r="AB208" s="284"/>
      <c r="AC208" s="284"/>
      <c r="AD208" s="284"/>
      <c r="AE208" s="284"/>
      <c r="AF208" s="284"/>
      <c r="AG208" s="284"/>
      <c r="AH208" s="284"/>
      <c r="AI208" s="284"/>
      <c r="AJ208" s="284"/>
      <c r="AK208" s="284"/>
    </row>
    <row r="209" spans="1:37" ht="12.75" customHeight="1" x14ac:dyDescent="0.45">
      <c r="A209" s="335"/>
      <c r="B209" s="335"/>
      <c r="C209" s="335" t="s">
        <v>454</v>
      </c>
      <c r="E209" s="335"/>
      <c r="F209" s="335"/>
      <c r="G209" s="396"/>
      <c r="H209" s="396"/>
      <c r="I209" s="396"/>
      <c r="J209" s="284"/>
      <c r="K209" s="284"/>
      <c r="L209" s="284"/>
      <c r="M209" s="284"/>
      <c r="N209" s="333"/>
      <c r="O209" s="284"/>
      <c r="P209" s="284"/>
      <c r="Q209" s="284"/>
      <c r="R209" s="284"/>
      <c r="S209" s="284"/>
      <c r="T209" s="284"/>
      <c r="U209" s="284"/>
      <c r="V209" s="284"/>
      <c r="W209" s="284"/>
      <c r="X209" s="284"/>
      <c r="Y209" s="284"/>
      <c r="Z209" s="284"/>
      <c r="AA209" s="284"/>
      <c r="AB209" s="284"/>
      <c r="AC209" s="284"/>
      <c r="AD209" s="284"/>
      <c r="AE209" s="284"/>
      <c r="AF209" s="284"/>
      <c r="AG209" s="284"/>
      <c r="AH209" s="284"/>
      <c r="AI209" s="284"/>
      <c r="AJ209" s="284"/>
      <c r="AK209" s="284"/>
    </row>
    <row r="210" spans="1:37" ht="12.75" customHeight="1" x14ac:dyDescent="0.45">
      <c r="A210" s="335"/>
      <c r="B210" s="335"/>
      <c r="C210" s="335" t="s">
        <v>455</v>
      </c>
      <c r="E210" s="392" t="s">
        <v>814</v>
      </c>
      <c r="F210" s="335"/>
      <c r="G210" s="396">
        <f t="shared" ref="G210:AA210" si="70">(G203+G204)*$E199</f>
        <v>0</v>
      </c>
      <c r="H210" s="396">
        <f t="shared" si="70"/>
        <v>0</v>
      </c>
      <c r="I210" s="396">
        <f t="shared" si="70"/>
        <v>0</v>
      </c>
      <c r="J210" s="396">
        <f t="shared" si="70"/>
        <v>0</v>
      </c>
      <c r="K210" s="396">
        <f t="shared" si="70"/>
        <v>0</v>
      </c>
      <c r="L210" s="396">
        <f t="shared" si="70"/>
        <v>0</v>
      </c>
      <c r="M210" s="396">
        <f t="shared" si="70"/>
        <v>0</v>
      </c>
      <c r="N210" s="396">
        <f t="shared" si="70"/>
        <v>0</v>
      </c>
      <c r="O210" s="396">
        <f t="shared" si="70"/>
        <v>0</v>
      </c>
      <c r="P210" s="396">
        <f t="shared" si="70"/>
        <v>0</v>
      </c>
      <c r="Q210" s="396">
        <f t="shared" si="70"/>
        <v>0</v>
      </c>
      <c r="R210" s="396">
        <f t="shared" si="70"/>
        <v>0</v>
      </c>
      <c r="S210" s="396">
        <f t="shared" si="70"/>
        <v>0</v>
      </c>
      <c r="T210" s="396">
        <f t="shared" si="70"/>
        <v>0</v>
      </c>
      <c r="U210" s="396">
        <f t="shared" si="70"/>
        <v>0</v>
      </c>
      <c r="V210" s="396">
        <f t="shared" si="70"/>
        <v>0</v>
      </c>
      <c r="W210" s="396">
        <f t="shared" si="70"/>
        <v>0</v>
      </c>
      <c r="X210" s="396">
        <f t="shared" si="70"/>
        <v>0</v>
      </c>
      <c r="Y210" s="396">
        <f t="shared" si="70"/>
        <v>0</v>
      </c>
      <c r="Z210" s="396">
        <f t="shared" si="70"/>
        <v>0</v>
      </c>
      <c r="AA210" s="396">
        <f t="shared" si="70"/>
        <v>0</v>
      </c>
      <c r="AB210" s="284"/>
      <c r="AC210" s="284"/>
      <c r="AD210" s="284"/>
      <c r="AE210" s="284"/>
      <c r="AF210" s="284"/>
      <c r="AG210" s="284"/>
      <c r="AH210" s="284"/>
      <c r="AI210" s="284"/>
      <c r="AJ210" s="284"/>
      <c r="AK210" s="284"/>
    </row>
    <row r="211" spans="1:37" ht="12.75" customHeight="1" x14ac:dyDescent="0.45">
      <c r="A211" s="335"/>
      <c r="B211" s="335"/>
      <c r="C211" s="397" t="s">
        <v>456</v>
      </c>
      <c r="E211" s="392" t="s">
        <v>814</v>
      </c>
      <c r="F211" s="335"/>
      <c r="G211" s="396">
        <f>IF(G$2&lt;=$E201, G210,0)</f>
        <v>0</v>
      </c>
      <c r="H211" s="396">
        <f t="shared" ref="H211:AA211" si="71">IF(H$2&lt;=$E201, H210,0)</f>
        <v>0</v>
      </c>
      <c r="I211" s="396">
        <f t="shared" si="71"/>
        <v>0</v>
      </c>
      <c r="J211" s="396">
        <f t="shared" si="71"/>
        <v>0</v>
      </c>
      <c r="K211" s="396">
        <f t="shared" si="71"/>
        <v>0</v>
      </c>
      <c r="L211" s="396">
        <f t="shared" si="71"/>
        <v>0</v>
      </c>
      <c r="M211" s="396">
        <f t="shared" si="71"/>
        <v>0</v>
      </c>
      <c r="N211" s="396">
        <f t="shared" si="71"/>
        <v>0</v>
      </c>
      <c r="O211" s="396">
        <f t="shared" si="71"/>
        <v>0</v>
      </c>
      <c r="P211" s="396">
        <f t="shared" si="71"/>
        <v>0</v>
      </c>
      <c r="Q211" s="396">
        <f t="shared" si="71"/>
        <v>0</v>
      </c>
      <c r="R211" s="396">
        <f t="shared" si="71"/>
        <v>0</v>
      </c>
      <c r="S211" s="396">
        <f t="shared" si="71"/>
        <v>0</v>
      </c>
      <c r="T211" s="396">
        <f t="shared" si="71"/>
        <v>0</v>
      </c>
      <c r="U211" s="396">
        <f t="shared" si="71"/>
        <v>0</v>
      </c>
      <c r="V211" s="396">
        <f t="shared" si="71"/>
        <v>0</v>
      </c>
      <c r="W211" s="396">
        <f t="shared" si="71"/>
        <v>0</v>
      </c>
      <c r="X211" s="396">
        <f t="shared" si="71"/>
        <v>0</v>
      </c>
      <c r="Y211" s="396">
        <f t="shared" si="71"/>
        <v>0</v>
      </c>
      <c r="Z211" s="396">
        <f t="shared" si="71"/>
        <v>0</v>
      </c>
      <c r="AA211" s="396">
        <f t="shared" si="71"/>
        <v>0</v>
      </c>
      <c r="AB211" s="284"/>
      <c r="AC211" s="284"/>
      <c r="AD211" s="284"/>
      <c r="AE211" s="284"/>
      <c r="AF211" s="284"/>
      <c r="AG211" s="284"/>
      <c r="AH211" s="284"/>
      <c r="AI211" s="284"/>
      <c r="AJ211" s="284"/>
      <c r="AK211" s="284"/>
    </row>
    <row r="212" spans="1:37" ht="12.75" customHeight="1" x14ac:dyDescent="0.45">
      <c r="A212" s="335"/>
      <c r="B212" s="335"/>
      <c r="C212" s="397" t="s">
        <v>457</v>
      </c>
      <c r="E212" s="392" t="s">
        <v>814</v>
      </c>
      <c r="F212" s="335"/>
      <c r="G212" s="396">
        <f t="shared" ref="G212:AA212" si="72">G210-G211</f>
        <v>0</v>
      </c>
      <c r="H212" s="396">
        <f t="shared" si="72"/>
        <v>0</v>
      </c>
      <c r="I212" s="396">
        <f t="shared" si="72"/>
        <v>0</v>
      </c>
      <c r="J212" s="396">
        <f t="shared" si="72"/>
        <v>0</v>
      </c>
      <c r="K212" s="396">
        <f t="shared" si="72"/>
        <v>0</v>
      </c>
      <c r="L212" s="396">
        <f t="shared" si="72"/>
        <v>0</v>
      </c>
      <c r="M212" s="396">
        <f t="shared" si="72"/>
        <v>0</v>
      </c>
      <c r="N212" s="396">
        <f t="shared" si="72"/>
        <v>0</v>
      </c>
      <c r="O212" s="396">
        <f t="shared" si="72"/>
        <v>0</v>
      </c>
      <c r="P212" s="396">
        <f t="shared" si="72"/>
        <v>0</v>
      </c>
      <c r="Q212" s="396">
        <f t="shared" si="72"/>
        <v>0</v>
      </c>
      <c r="R212" s="396">
        <f t="shared" si="72"/>
        <v>0</v>
      </c>
      <c r="S212" s="396">
        <f t="shared" si="72"/>
        <v>0</v>
      </c>
      <c r="T212" s="396">
        <f t="shared" si="72"/>
        <v>0</v>
      </c>
      <c r="U212" s="396">
        <f t="shared" si="72"/>
        <v>0</v>
      </c>
      <c r="V212" s="396">
        <f t="shared" si="72"/>
        <v>0</v>
      </c>
      <c r="W212" s="396">
        <f t="shared" si="72"/>
        <v>0</v>
      </c>
      <c r="X212" s="396">
        <f t="shared" si="72"/>
        <v>0</v>
      </c>
      <c r="Y212" s="396">
        <f t="shared" si="72"/>
        <v>0</v>
      </c>
      <c r="Z212" s="396">
        <f t="shared" si="72"/>
        <v>0</v>
      </c>
      <c r="AA212" s="396">
        <f t="shared" si="72"/>
        <v>0</v>
      </c>
      <c r="AB212" s="284"/>
      <c r="AC212" s="284"/>
      <c r="AD212" s="284"/>
      <c r="AE212" s="284"/>
      <c r="AF212" s="284"/>
      <c r="AG212" s="284"/>
      <c r="AH212" s="284"/>
      <c r="AI212" s="284"/>
      <c r="AJ212" s="284"/>
      <c r="AK212" s="284"/>
    </row>
    <row r="213" spans="1:37" ht="12.75" customHeight="1" x14ac:dyDescent="0.45">
      <c r="A213" s="334" t="s">
        <v>395</v>
      </c>
      <c r="B213" s="335"/>
      <c r="C213" s="335"/>
      <c r="D213" s="335"/>
      <c r="E213" s="335"/>
      <c r="F213" s="335"/>
      <c r="G213" s="335"/>
      <c r="H213" s="335"/>
      <c r="I213" s="284"/>
      <c r="J213" s="284"/>
      <c r="K213" s="284"/>
      <c r="L213" s="284"/>
      <c r="M213" s="284"/>
      <c r="N213" s="333"/>
      <c r="O213" s="284"/>
      <c r="P213" s="284"/>
      <c r="Q213" s="284"/>
      <c r="R213" s="284"/>
      <c r="S213" s="284"/>
      <c r="T213" s="284"/>
      <c r="U213" s="284"/>
      <c r="V213" s="284"/>
      <c r="W213" s="284"/>
      <c r="X213" s="284"/>
      <c r="Y213" s="284"/>
      <c r="Z213" s="284"/>
      <c r="AA213" s="284"/>
      <c r="AB213" s="284"/>
      <c r="AC213" s="284"/>
      <c r="AD213" s="284"/>
      <c r="AE213" s="284"/>
      <c r="AF213" s="284"/>
      <c r="AG213" s="284"/>
      <c r="AH213" s="284"/>
      <c r="AI213" s="284"/>
      <c r="AJ213" s="284"/>
      <c r="AK213" s="284"/>
    </row>
    <row r="214" spans="1:37" ht="12.75" customHeight="1" x14ac:dyDescent="0.45">
      <c r="A214" s="334"/>
      <c r="B214" s="334" t="s">
        <v>441</v>
      </c>
      <c r="C214" s="335"/>
      <c r="D214" s="335"/>
      <c r="E214" s="335"/>
      <c r="F214" s="335"/>
      <c r="G214" s="335"/>
      <c r="H214" s="335"/>
      <c r="I214" s="284"/>
      <c r="J214" s="284"/>
      <c r="K214" s="284"/>
      <c r="L214" s="284"/>
      <c r="M214" s="284"/>
      <c r="N214" s="333"/>
      <c r="O214" s="284"/>
      <c r="P214" s="284"/>
      <c r="Q214" s="284"/>
      <c r="R214" s="284"/>
      <c r="S214" s="284"/>
      <c r="T214" s="284"/>
      <c r="U214" s="284"/>
      <c r="V214" s="284"/>
      <c r="W214" s="284"/>
      <c r="X214" s="284"/>
      <c r="Y214" s="284"/>
      <c r="Z214" s="284"/>
      <c r="AA214" s="284"/>
      <c r="AB214" s="284"/>
      <c r="AC214" s="284"/>
      <c r="AD214" s="284"/>
      <c r="AE214" s="284"/>
      <c r="AF214" s="284"/>
      <c r="AG214" s="284"/>
      <c r="AH214" s="284"/>
      <c r="AI214" s="284"/>
      <c r="AJ214" s="284"/>
      <c r="AK214" s="284"/>
    </row>
    <row r="215" spans="1:37" ht="12.75" customHeight="1" x14ac:dyDescent="0.45">
      <c r="A215" s="335"/>
      <c r="B215" s="335"/>
      <c r="C215" s="335" t="s">
        <v>442</v>
      </c>
      <c r="E215" s="392" t="s">
        <v>814</v>
      </c>
      <c r="F215" s="335"/>
      <c r="G215" s="304">
        <f>SUMIF($F$283:$F$292,$A213,G$283:G$292)</f>
        <v>0</v>
      </c>
      <c r="H215" s="304">
        <f t="shared" ref="H215:AA215" si="73">SUMIF($F$283:$F$292,$A213,H$283:H$292)</f>
        <v>0</v>
      </c>
      <c r="I215" s="304">
        <f t="shared" si="73"/>
        <v>0</v>
      </c>
      <c r="J215" s="304">
        <f t="shared" si="73"/>
        <v>0</v>
      </c>
      <c r="K215" s="304">
        <f t="shared" si="73"/>
        <v>0</v>
      </c>
      <c r="L215" s="304">
        <f t="shared" si="73"/>
        <v>0</v>
      </c>
      <c r="M215" s="304">
        <f t="shared" si="73"/>
        <v>0</v>
      </c>
      <c r="N215" s="304">
        <f t="shared" si="73"/>
        <v>0</v>
      </c>
      <c r="O215" s="304">
        <f t="shared" si="73"/>
        <v>0</v>
      </c>
      <c r="P215" s="304">
        <f t="shared" si="73"/>
        <v>0</v>
      </c>
      <c r="Q215" s="304">
        <f t="shared" si="73"/>
        <v>0</v>
      </c>
      <c r="R215" s="304">
        <f t="shared" si="73"/>
        <v>0</v>
      </c>
      <c r="S215" s="304">
        <f t="shared" si="73"/>
        <v>0</v>
      </c>
      <c r="T215" s="304">
        <f t="shared" si="73"/>
        <v>0</v>
      </c>
      <c r="U215" s="304">
        <f t="shared" si="73"/>
        <v>0</v>
      </c>
      <c r="V215" s="304">
        <f t="shared" si="73"/>
        <v>0</v>
      </c>
      <c r="W215" s="304">
        <f t="shared" si="73"/>
        <v>0</v>
      </c>
      <c r="X215" s="304">
        <f t="shared" si="73"/>
        <v>0</v>
      </c>
      <c r="Y215" s="304">
        <f t="shared" si="73"/>
        <v>0</v>
      </c>
      <c r="Z215" s="304">
        <f t="shared" si="73"/>
        <v>0</v>
      </c>
      <c r="AA215" s="304">
        <f t="shared" si="73"/>
        <v>0</v>
      </c>
      <c r="AB215" s="284"/>
      <c r="AC215" s="284"/>
      <c r="AD215" s="284"/>
      <c r="AE215" s="284"/>
      <c r="AF215" s="284"/>
      <c r="AG215" s="284"/>
      <c r="AH215" s="284"/>
      <c r="AI215" s="284"/>
      <c r="AJ215" s="284"/>
      <c r="AK215" s="284"/>
    </row>
    <row r="216" spans="1:37" ht="12.75" customHeight="1" x14ac:dyDescent="0.45">
      <c r="A216" s="335"/>
      <c r="B216" s="335"/>
      <c r="C216" s="335" t="s">
        <v>443</v>
      </c>
      <c r="E216" s="392" t="s">
        <v>814</v>
      </c>
      <c r="F216" s="335"/>
      <c r="G216" s="398"/>
      <c r="H216" s="398"/>
      <c r="I216" s="398"/>
      <c r="J216" s="398"/>
      <c r="K216" s="398"/>
      <c r="L216" s="398"/>
      <c r="M216" s="398"/>
      <c r="N216" s="398"/>
      <c r="O216" s="398"/>
      <c r="P216" s="398"/>
      <c r="Q216" s="398"/>
      <c r="R216" s="398"/>
      <c r="S216" s="398"/>
      <c r="T216" s="398"/>
      <c r="U216" s="398"/>
      <c r="V216" s="398"/>
      <c r="W216" s="398"/>
      <c r="X216" s="398"/>
      <c r="Y216" s="398"/>
      <c r="Z216" s="398"/>
      <c r="AA216" s="398"/>
      <c r="AB216" s="284"/>
      <c r="AC216" s="284"/>
      <c r="AD216" s="284"/>
      <c r="AE216" s="284"/>
      <c r="AF216" s="284"/>
      <c r="AG216" s="284"/>
      <c r="AH216" s="284"/>
      <c r="AI216" s="284"/>
      <c r="AJ216" s="284"/>
      <c r="AK216" s="284"/>
    </row>
    <row r="217" spans="1:37" ht="12.75" customHeight="1" x14ac:dyDescent="0.45">
      <c r="A217" s="335"/>
      <c r="B217" s="335"/>
      <c r="C217" s="335" t="s">
        <v>444</v>
      </c>
      <c r="E217" s="394">
        <v>0.12</v>
      </c>
      <c r="G217" s="335"/>
      <c r="H217" s="335"/>
      <c r="I217" s="335"/>
      <c r="J217" s="284"/>
      <c r="K217" s="284"/>
      <c r="L217" s="284"/>
      <c r="M217" s="284"/>
      <c r="N217" s="333"/>
      <c r="O217" s="284"/>
      <c r="P217" s="284"/>
      <c r="Q217" s="284"/>
      <c r="R217" s="284"/>
      <c r="S217" s="284"/>
      <c r="T217" s="284"/>
      <c r="U217" s="284"/>
      <c r="V217" s="284"/>
      <c r="W217" s="284"/>
      <c r="X217" s="284"/>
      <c r="Y217" s="284"/>
      <c r="Z217" s="284"/>
      <c r="AA217" s="284"/>
      <c r="AB217" s="284"/>
      <c r="AC217" s="284"/>
      <c r="AD217" s="284"/>
      <c r="AE217" s="284"/>
      <c r="AF217" s="284"/>
      <c r="AG217" s="284"/>
      <c r="AH217" s="284"/>
      <c r="AI217" s="284"/>
      <c r="AJ217" s="284"/>
      <c r="AK217" s="284"/>
    </row>
    <row r="218" spans="1:37" ht="12.75" customHeight="1" x14ac:dyDescent="0.45">
      <c r="A218" s="335"/>
      <c r="B218" s="335"/>
      <c r="C218" s="335" t="s">
        <v>445</v>
      </c>
      <c r="E218" s="395">
        <v>2027</v>
      </c>
      <c r="F218" s="392"/>
      <c r="G218" s="335"/>
      <c r="H218" s="335"/>
      <c r="I218" s="335"/>
      <c r="J218" s="284"/>
      <c r="K218" s="284"/>
      <c r="L218" s="284"/>
      <c r="M218" s="284"/>
      <c r="N218" s="333"/>
      <c r="O218" s="284"/>
      <c r="P218" s="284"/>
      <c r="Q218" s="284"/>
      <c r="R218" s="284"/>
      <c r="S218" s="284"/>
      <c r="T218" s="284"/>
      <c r="U218" s="284"/>
      <c r="V218" s="284"/>
      <c r="W218" s="284"/>
      <c r="X218" s="284"/>
      <c r="Y218" s="284"/>
      <c r="Z218" s="284"/>
      <c r="AA218" s="284"/>
      <c r="AB218" s="284"/>
      <c r="AC218" s="284"/>
      <c r="AD218" s="284"/>
      <c r="AE218" s="284"/>
      <c r="AF218" s="284"/>
      <c r="AG218" s="284"/>
      <c r="AH218" s="284"/>
      <c r="AI218" s="284"/>
      <c r="AJ218" s="284"/>
      <c r="AK218" s="284"/>
    </row>
    <row r="219" spans="1:37" ht="12.75" customHeight="1" x14ac:dyDescent="0.45">
      <c r="A219" s="335"/>
      <c r="B219" s="335"/>
      <c r="C219" s="335" t="s">
        <v>446</v>
      </c>
      <c r="E219" s="395"/>
      <c r="F219" s="392"/>
      <c r="G219" s="335"/>
      <c r="H219" s="335"/>
      <c r="I219" s="335"/>
      <c r="J219" s="284"/>
      <c r="K219" s="284"/>
      <c r="L219" s="284"/>
      <c r="M219" s="284"/>
      <c r="N219" s="333"/>
      <c r="O219" s="284"/>
      <c r="P219" s="284"/>
      <c r="Q219" s="284"/>
      <c r="R219" s="284"/>
      <c r="S219" s="284"/>
      <c r="T219" s="284"/>
      <c r="U219" s="284"/>
      <c r="V219" s="284"/>
      <c r="W219" s="284"/>
      <c r="X219" s="284"/>
      <c r="Y219" s="284"/>
      <c r="Z219" s="284"/>
      <c r="AA219" s="284"/>
      <c r="AB219" s="284"/>
      <c r="AC219" s="284"/>
      <c r="AD219" s="284"/>
      <c r="AE219" s="284"/>
      <c r="AF219" s="284"/>
      <c r="AG219" s="284"/>
      <c r="AH219" s="284"/>
      <c r="AI219" s="284"/>
      <c r="AJ219" s="284"/>
      <c r="AK219" s="284"/>
    </row>
    <row r="220" spans="1:37" ht="12.75" customHeight="1" x14ac:dyDescent="0.45">
      <c r="A220" s="335"/>
      <c r="B220" s="334" t="s">
        <v>447</v>
      </c>
      <c r="C220" s="335"/>
      <c r="E220" s="335"/>
      <c r="F220" s="335"/>
      <c r="G220" s="335"/>
      <c r="H220" s="335"/>
      <c r="I220" s="335"/>
      <c r="J220" s="284"/>
      <c r="K220" s="284"/>
      <c r="L220" s="284"/>
      <c r="M220" s="284"/>
      <c r="N220" s="333"/>
      <c r="O220" s="284"/>
      <c r="P220" s="284"/>
      <c r="Q220" s="284"/>
      <c r="R220" s="284"/>
      <c r="S220" s="284"/>
      <c r="T220" s="284"/>
      <c r="U220" s="284"/>
      <c r="V220" s="284"/>
      <c r="W220" s="284"/>
      <c r="X220" s="284"/>
      <c r="Y220" s="284"/>
      <c r="Z220" s="284"/>
      <c r="AA220" s="284"/>
      <c r="AB220" s="284"/>
      <c r="AC220" s="284"/>
      <c r="AD220" s="284"/>
      <c r="AE220" s="284"/>
      <c r="AF220" s="284"/>
      <c r="AG220" s="284"/>
      <c r="AH220" s="284"/>
      <c r="AI220" s="284"/>
      <c r="AJ220" s="284"/>
      <c r="AK220" s="284"/>
    </row>
    <row r="221" spans="1:37" ht="12.75" customHeight="1" x14ac:dyDescent="0.45">
      <c r="A221" s="335"/>
      <c r="B221" s="335"/>
      <c r="C221" s="335" t="s">
        <v>448</v>
      </c>
      <c r="E221" s="392" t="s">
        <v>814</v>
      </c>
      <c r="F221" s="335"/>
      <c r="G221" s="396">
        <f t="shared" ref="G221:AA221" si="74">F225</f>
        <v>0</v>
      </c>
      <c r="H221" s="396">
        <f t="shared" si="74"/>
        <v>0</v>
      </c>
      <c r="I221" s="396">
        <f t="shared" si="74"/>
        <v>0</v>
      </c>
      <c r="J221" s="396">
        <f t="shared" si="74"/>
        <v>0</v>
      </c>
      <c r="K221" s="396">
        <f t="shared" si="74"/>
        <v>0</v>
      </c>
      <c r="L221" s="396">
        <f t="shared" si="74"/>
        <v>0</v>
      </c>
      <c r="M221" s="396">
        <f t="shared" si="74"/>
        <v>0</v>
      </c>
      <c r="N221" s="396">
        <f t="shared" si="74"/>
        <v>0</v>
      </c>
      <c r="O221" s="396">
        <f t="shared" si="74"/>
        <v>0</v>
      </c>
      <c r="P221" s="396">
        <f t="shared" si="74"/>
        <v>0</v>
      </c>
      <c r="Q221" s="396">
        <f t="shared" si="74"/>
        <v>0</v>
      </c>
      <c r="R221" s="396">
        <f t="shared" si="74"/>
        <v>0</v>
      </c>
      <c r="S221" s="396">
        <f t="shared" si="74"/>
        <v>0</v>
      </c>
      <c r="T221" s="396">
        <f t="shared" si="74"/>
        <v>0</v>
      </c>
      <c r="U221" s="396">
        <f t="shared" si="74"/>
        <v>0</v>
      </c>
      <c r="V221" s="396">
        <f t="shared" si="74"/>
        <v>0</v>
      </c>
      <c r="W221" s="396">
        <f t="shared" si="74"/>
        <v>0</v>
      </c>
      <c r="X221" s="396">
        <f t="shared" si="74"/>
        <v>0</v>
      </c>
      <c r="Y221" s="396">
        <f t="shared" si="74"/>
        <v>0</v>
      </c>
      <c r="Z221" s="396">
        <f t="shared" si="74"/>
        <v>0</v>
      </c>
      <c r="AA221" s="396">
        <f t="shared" si="74"/>
        <v>0</v>
      </c>
      <c r="AB221" s="284"/>
      <c r="AC221" s="284"/>
      <c r="AD221" s="284"/>
      <c r="AE221" s="284"/>
      <c r="AF221" s="284"/>
      <c r="AG221" s="284"/>
      <c r="AH221" s="284"/>
      <c r="AI221" s="284"/>
      <c r="AJ221" s="284"/>
      <c r="AK221" s="284"/>
    </row>
    <row r="222" spans="1:37" ht="12.75" customHeight="1" x14ac:dyDescent="0.45">
      <c r="A222" s="335"/>
      <c r="B222" s="335"/>
      <c r="C222" s="335" t="s">
        <v>449</v>
      </c>
      <c r="E222" s="392" t="s">
        <v>814</v>
      </c>
      <c r="F222" s="335"/>
      <c r="G222" s="396">
        <f t="shared" ref="G222:AA222" si="75">G215</f>
        <v>0</v>
      </c>
      <c r="H222" s="396">
        <f t="shared" si="75"/>
        <v>0</v>
      </c>
      <c r="I222" s="396">
        <f t="shared" si="75"/>
        <v>0</v>
      </c>
      <c r="J222" s="396">
        <f t="shared" si="75"/>
        <v>0</v>
      </c>
      <c r="K222" s="396">
        <f t="shared" si="75"/>
        <v>0</v>
      </c>
      <c r="L222" s="396">
        <f t="shared" si="75"/>
        <v>0</v>
      </c>
      <c r="M222" s="396">
        <f t="shared" si="75"/>
        <v>0</v>
      </c>
      <c r="N222" s="396">
        <f t="shared" si="75"/>
        <v>0</v>
      </c>
      <c r="O222" s="396">
        <f t="shared" si="75"/>
        <v>0</v>
      </c>
      <c r="P222" s="396">
        <f t="shared" si="75"/>
        <v>0</v>
      </c>
      <c r="Q222" s="396">
        <f t="shared" si="75"/>
        <v>0</v>
      </c>
      <c r="R222" s="396">
        <f t="shared" si="75"/>
        <v>0</v>
      </c>
      <c r="S222" s="396">
        <f t="shared" si="75"/>
        <v>0</v>
      </c>
      <c r="T222" s="396">
        <f t="shared" si="75"/>
        <v>0</v>
      </c>
      <c r="U222" s="396">
        <f t="shared" si="75"/>
        <v>0</v>
      </c>
      <c r="V222" s="396">
        <f t="shared" si="75"/>
        <v>0</v>
      </c>
      <c r="W222" s="396">
        <f t="shared" si="75"/>
        <v>0</v>
      </c>
      <c r="X222" s="396">
        <f t="shared" si="75"/>
        <v>0</v>
      </c>
      <c r="Y222" s="396">
        <f t="shared" si="75"/>
        <v>0</v>
      </c>
      <c r="Z222" s="396">
        <f t="shared" si="75"/>
        <v>0</v>
      </c>
      <c r="AA222" s="396">
        <f t="shared" si="75"/>
        <v>0</v>
      </c>
      <c r="AB222" s="284"/>
      <c r="AC222" s="284"/>
      <c r="AD222" s="284"/>
      <c r="AE222" s="284"/>
      <c r="AF222" s="284"/>
      <c r="AG222" s="284"/>
      <c r="AH222" s="284"/>
      <c r="AI222" s="284"/>
      <c r="AJ222" s="284"/>
      <c r="AK222" s="284"/>
    </row>
    <row r="223" spans="1:37" ht="12.75" customHeight="1" x14ac:dyDescent="0.45">
      <c r="A223" s="335"/>
      <c r="B223" s="335"/>
      <c r="C223" s="335" t="s">
        <v>451</v>
      </c>
      <c r="E223" s="392" t="s">
        <v>814</v>
      </c>
      <c r="F223" s="335"/>
      <c r="G223" s="396">
        <f t="shared" ref="G223:AA223" si="76">G229</f>
        <v>0</v>
      </c>
      <c r="H223" s="396">
        <f t="shared" si="76"/>
        <v>0</v>
      </c>
      <c r="I223" s="396">
        <f t="shared" si="76"/>
        <v>0</v>
      </c>
      <c r="J223" s="396">
        <f t="shared" si="76"/>
        <v>0</v>
      </c>
      <c r="K223" s="396">
        <f t="shared" si="76"/>
        <v>0</v>
      </c>
      <c r="L223" s="396">
        <f t="shared" si="76"/>
        <v>0</v>
      </c>
      <c r="M223" s="396">
        <f t="shared" si="76"/>
        <v>0</v>
      </c>
      <c r="N223" s="396">
        <f t="shared" si="76"/>
        <v>0</v>
      </c>
      <c r="O223" s="396">
        <f t="shared" si="76"/>
        <v>0</v>
      </c>
      <c r="P223" s="396">
        <f t="shared" si="76"/>
        <v>0</v>
      </c>
      <c r="Q223" s="396">
        <f t="shared" si="76"/>
        <v>0</v>
      </c>
      <c r="R223" s="396">
        <f t="shared" si="76"/>
        <v>0</v>
      </c>
      <c r="S223" s="396">
        <f t="shared" si="76"/>
        <v>0</v>
      </c>
      <c r="T223" s="396">
        <f t="shared" si="76"/>
        <v>0</v>
      </c>
      <c r="U223" s="396">
        <f t="shared" si="76"/>
        <v>0</v>
      </c>
      <c r="V223" s="396">
        <f t="shared" si="76"/>
        <v>0</v>
      </c>
      <c r="W223" s="396">
        <f t="shared" si="76"/>
        <v>0</v>
      </c>
      <c r="X223" s="396">
        <f t="shared" si="76"/>
        <v>0</v>
      </c>
      <c r="Y223" s="396">
        <f t="shared" si="76"/>
        <v>0</v>
      </c>
      <c r="Z223" s="396">
        <f t="shared" si="76"/>
        <v>0</v>
      </c>
      <c r="AA223" s="396">
        <f t="shared" si="76"/>
        <v>0</v>
      </c>
      <c r="AB223" s="284"/>
      <c r="AC223" s="284"/>
      <c r="AD223" s="284"/>
      <c r="AE223" s="284"/>
      <c r="AF223" s="284"/>
      <c r="AG223" s="284"/>
      <c r="AH223" s="284"/>
      <c r="AI223" s="284"/>
      <c r="AJ223" s="284"/>
      <c r="AK223" s="284"/>
    </row>
    <row r="224" spans="1:37" ht="12.75" customHeight="1" x14ac:dyDescent="0.45">
      <c r="A224" s="335"/>
      <c r="B224" s="335"/>
      <c r="C224" s="335" t="s">
        <v>452</v>
      </c>
      <c r="E224" s="392" t="s">
        <v>814</v>
      </c>
      <c r="F224" s="335"/>
      <c r="G224" s="396">
        <f>G216+(IF(G$2=$E218,G221+G223-G216,0))</f>
        <v>0</v>
      </c>
      <c r="H224" s="396">
        <f>H216+(IF(H$2=$E218,H221+H223-H216,0))</f>
        <v>0</v>
      </c>
      <c r="I224" s="396">
        <f t="shared" ref="I224:AA224" si="77">I216+(IF(I$2=$E218,I221+I223-I216,0))</f>
        <v>0</v>
      </c>
      <c r="J224" s="396">
        <f t="shared" si="77"/>
        <v>0</v>
      </c>
      <c r="K224" s="396">
        <f t="shared" si="77"/>
        <v>0</v>
      </c>
      <c r="L224" s="396">
        <f t="shared" si="77"/>
        <v>0</v>
      </c>
      <c r="M224" s="396">
        <f t="shared" si="77"/>
        <v>0</v>
      </c>
      <c r="N224" s="396">
        <f t="shared" si="77"/>
        <v>0</v>
      </c>
      <c r="O224" s="396">
        <f t="shared" si="77"/>
        <v>0</v>
      </c>
      <c r="P224" s="396">
        <f t="shared" si="77"/>
        <v>0</v>
      </c>
      <c r="Q224" s="396">
        <f t="shared" si="77"/>
        <v>0</v>
      </c>
      <c r="R224" s="396">
        <f t="shared" si="77"/>
        <v>0</v>
      </c>
      <c r="S224" s="396">
        <f t="shared" si="77"/>
        <v>0</v>
      </c>
      <c r="T224" s="396">
        <f t="shared" si="77"/>
        <v>0</v>
      </c>
      <c r="U224" s="396">
        <f t="shared" si="77"/>
        <v>0</v>
      </c>
      <c r="V224" s="396">
        <f t="shared" si="77"/>
        <v>0</v>
      </c>
      <c r="W224" s="396">
        <f t="shared" si="77"/>
        <v>0</v>
      </c>
      <c r="X224" s="396">
        <f t="shared" si="77"/>
        <v>0</v>
      </c>
      <c r="Y224" s="396">
        <f t="shared" si="77"/>
        <v>0</v>
      </c>
      <c r="Z224" s="396">
        <f t="shared" si="77"/>
        <v>0</v>
      </c>
      <c r="AA224" s="396">
        <f t="shared" si="77"/>
        <v>0</v>
      </c>
      <c r="AB224" s="284"/>
      <c r="AC224" s="284"/>
      <c r="AD224" s="284"/>
      <c r="AE224" s="284"/>
      <c r="AF224" s="284"/>
      <c r="AG224" s="284"/>
      <c r="AH224" s="284"/>
      <c r="AI224" s="284"/>
      <c r="AJ224" s="284"/>
      <c r="AK224" s="284"/>
    </row>
    <row r="225" spans="1:37" ht="12.75" customHeight="1" x14ac:dyDescent="0.45">
      <c r="A225" s="335"/>
      <c r="B225" s="335"/>
      <c r="C225" s="335" t="s">
        <v>453</v>
      </c>
      <c r="E225" s="392" t="s">
        <v>814</v>
      </c>
      <c r="F225" s="393"/>
      <c r="G225" s="396">
        <f t="shared" ref="G225:AA225" si="78">G221+G222+G223-G224</f>
        <v>0</v>
      </c>
      <c r="H225" s="396">
        <f t="shared" si="78"/>
        <v>0</v>
      </c>
      <c r="I225" s="396">
        <f t="shared" si="78"/>
        <v>0</v>
      </c>
      <c r="J225" s="396">
        <f t="shared" si="78"/>
        <v>0</v>
      </c>
      <c r="K225" s="396">
        <f t="shared" si="78"/>
        <v>0</v>
      </c>
      <c r="L225" s="396">
        <f t="shared" si="78"/>
        <v>0</v>
      </c>
      <c r="M225" s="396">
        <f t="shared" si="78"/>
        <v>0</v>
      </c>
      <c r="N225" s="396">
        <f t="shared" si="78"/>
        <v>0</v>
      </c>
      <c r="O225" s="396">
        <f t="shared" si="78"/>
        <v>0</v>
      </c>
      <c r="P225" s="396">
        <f t="shared" si="78"/>
        <v>0</v>
      </c>
      <c r="Q225" s="396">
        <f t="shared" si="78"/>
        <v>0</v>
      </c>
      <c r="R225" s="396">
        <f t="shared" si="78"/>
        <v>0</v>
      </c>
      <c r="S225" s="396">
        <f t="shared" si="78"/>
        <v>0</v>
      </c>
      <c r="T225" s="396">
        <f t="shared" si="78"/>
        <v>0</v>
      </c>
      <c r="U225" s="396">
        <f t="shared" si="78"/>
        <v>0</v>
      </c>
      <c r="V225" s="396">
        <f t="shared" si="78"/>
        <v>0</v>
      </c>
      <c r="W225" s="396">
        <f t="shared" si="78"/>
        <v>0</v>
      </c>
      <c r="X225" s="396">
        <f t="shared" si="78"/>
        <v>0</v>
      </c>
      <c r="Y225" s="396">
        <f t="shared" si="78"/>
        <v>0</v>
      </c>
      <c r="Z225" s="396">
        <f t="shared" si="78"/>
        <v>0</v>
      </c>
      <c r="AA225" s="396">
        <f t="shared" si="78"/>
        <v>0</v>
      </c>
      <c r="AB225" s="284"/>
      <c r="AC225" s="284"/>
      <c r="AD225" s="284"/>
      <c r="AE225" s="284"/>
      <c r="AF225" s="284"/>
      <c r="AG225" s="284"/>
      <c r="AH225" s="284"/>
      <c r="AI225" s="284"/>
      <c r="AJ225" s="284"/>
      <c r="AK225" s="284"/>
    </row>
    <row r="226" spans="1:37" ht="12.75" customHeight="1" x14ac:dyDescent="0.45">
      <c r="A226" s="335"/>
      <c r="B226" s="334" t="s">
        <v>28</v>
      </c>
      <c r="C226" s="335"/>
      <c r="E226" s="335"/>
      <c r="F226" s="335"/>
      <c r="G226" s="396"/>
      <c r="H226" s="396"/>
      <c r="I226" s="396"/>
      <c r="J226" s="284"/>
      <c r="K226" s="284"/>
      <c r="L226" s="284"/>
      <c r="M226" s="284"/>
      <c r="N226" s="333"/>
      <c r="O226" s="284"/>
      <c r="P226" s="284"/>
      <c r="Q226" s="284"/>
      <c r="R226" s="284"/>
      <c r="S226" s="284"/>
      <c r="T226" s="284"/>
      <c r="U226" s="284"/>
      <c r="V226" s="284"/>
      <c r="W226" s="284"/>
      <c r="X226" s="284"/>
      <c r="Y226" s="284"/>
      <c r="Z226" s="284"/>
      <c r="AA226" s="284"/>
      <c r="AB226" s="284"/>
      <c r="AC226" s="284"/>
      <c r="AD226" s="284"/>
      <c r="AE226" s="284"/>
      <c r="AF226" s="284"/>
      <c r="AG226" s="284"/>
      <c r="AH226" s="284"/>
      <c r="AI226" s="284"/>
      <c r="AJ226" s="284"/>
      <c r="AK226" s="284"/>
    </row>
    <row r="227" spans="1:37" ht="12.75" customHeight="1" x14ac:dyDescent="0.45">
      <c r="A227" s="335"/>
      <c r="B227" s="335"/>
      <c r="C227" s="335" t="s">
        <v>454</v>
      </c>
      <c r="E227" s="335"/>
      <c r="F227" s="335"/>
      <c r="G227" s="396"/>
      <c r="H227" s="396"/>
      <c r="I227" s="396"/>
      <c r="J227" s="284"/>
      <c r="K227" s="284"/>
      <c r="L227" s="284"/>
      <c r="M227" s="284"/>
      <c r="N227" s="333"/>
      <c r="O227" s="284"/>
      <c r="P227" s="284"/>
      <c r="Q227" s="284"/>
      <c r="R227" s="284"/>
      <c r="S227" s="284"/>
      <c r="T227" s="284"/>
      <c r="U227" s="284"/>
      <c r="V227" s="284"/>
      <c r="W227" s="284"/>
      <c r="X227" s="284"/>
      <c r="Y227" s="284"/>
      <c r="Z227" s="284"/>
      <c r="AA227" s="284"/>
      <c r="AB227" s="284"/>
      <c r="AC227" s="284"/>
      <c r="AD227" s="284"/>
      <c r="AE227" s="284"/>
      <c r="AF227" s="284"/>
      <c r="AG227" s="284"/>
      <c r="AH227" s="284"/>
      <c r="AI227" s="284"/>
      <c r="AJ227" s="284"/>
      <c r="AK227" s="284"/>
    </row>
    <row r="228" spans="1:37" ht="12.75" customHeight="1" x14ac:dyDescent="0.45">
      <c r="A228" s="335"/>
      <c r="B228" s="335"/>
      <c r="C228" s="335" t="s">
        <v>455</v>
      </c>
      <c r="E228" s="392" t="s">
        <v>814</v>
      </c>
      <c r="F228" s="335"/>
      <c r="G228" s="396">
        <f t="shared" ref="G228:AA228" si="79">(G221+G222)*$E217</f>
        <v>0</v>
      </c>
      <c r="H228" s="396">
        <f t="shared" si="79"/>
        <v>0</v>
      </c>
      <c r="I228" s="396">
        <f t="shared" si="79"/>
        <v>0</v>
      </c>
      <c r="J228" s="396">
        <f t="shared" si="79"/>
        <v>0</v>
      </c>
      <c r="K228" s="396">
        <f t="shared" si="79"/>
        <v>0</v>
      </c>
      <c r="L228" s="396">
        <f t="shared" si="79"/>
        <v>0</v>
      </c>
      <c r="M228" s="396">
        <f t="shared" si="79"/>
        <v>0</v>
      </c>
      <c r="N228" s="396">
        <f t="shared" si="79"/>
        <v>0</v>
      </c>
      <c r="O228" s="396">
        <f t="shared" si="79"/>
        <v>0</v>
      </c>
      <c r="P228" s="396">
        <f t="shared" si="79"/>
        <v>0</v>
      </c>
      <c r="Q228" s="396">
        <f t="shared" si="79"/>
        <v>0</v>
      </c>
      <c r="R228" s="396">
        <f t="shared" si="79"/>
        <v>0</v>
      </c>
      <c r="S228" s="396">
        <f t="shared" si="79"/>
        <v>0</v>
      </c>
      <c r="T228" s="396">
        <f t="shared" si="79"/>
        <v>0</v>
      </c>
      <c r="U228" s="396">
        <f t="shared" si="79"/>
        <v>0</v>
      </c>
      <c r="V228" s="396">
        <f t="shared" si="79"/>
        <v>0</v>
      </c>
      <c r="W228" s="396">
        <f t="shared" si="79"/>
        <v>0</v>
      </c>
      <c r="X228" s="396">
        <f t="shared" si="79"/>
        <v>0</v>
      </c>
      <c r="Y228" s="396">
        <f t="shared" si="79"/>
        <v>0</v>
      </c>
      <c r="Z228" s="396">
        <f t="shared" si="79"/>
        <v>0</v>
      </c>
      <c r="AA228" s="396">
        <f t="shared" si="79"/>
        <v>0</v>
      </c>
      <c r="AB228" s="284"/>
      <c r="AC228" s="284"/>
      <c r="AD228" s="284"/>
      <c r="AE228" s="284"/>
      <c r="AF228" s="284"/>
      <c r="AG228" s="284"/>
      <c r="AH228" s="284"/>
      <c r="AI228" s="284"/>
      <c r="AJ228" s="284"/>
      <c r="AK228" s="284"/>
    </row>
    <row r="229" spans="1:37" ht="12.75" customHeight="1" x14ac:dyDescent="0.45">
      <c r="A229" s="335"/>
      <c r="B229" s="335"/>
      <c r="C229" s="397" t="s">
        <v>456</v>
      </c>
      <c r="E229" s="392" t="s">
        <v>814</v>
      </c>
      <c r="F229" s="335"/>
      <c r="G229" s="396">
        <f t="shared" ref="G229:AA229" si="80">IF(G$2&lt;=$E219, G228,0)</f>
        <v>0</v>
      </c>
      <c r="H229" s="396">
        <f t="shared" si="80"/>
        <v>0</v>
      </c>
      <c r="I229" s="396">
        <f t="shared" si="80"/>
        <v>0</v>
      </c>
      <c r="J229" s="396">
        <f t="shared" si="80"/>
        <v>0</v>
      </c>
      <c r="K229" s="396">
        <f t="shared" si="80"/>
        <v>0</v>
      </c>
      <c r="L229" s="396">
        <f t="shared" si="80"/>
        <v>0</v>
      </c>
      <c r="M229" s="396">
        <f t="shared" si="80"/>
        <v>0</v>
      </c>
      <c r="N229" s="396">
        <f t="shared" si="80"/>
        <v>0</v>
      </c>
      <c r="O229" s="396">
        <f t="shared" si="80"/>
        <v>0</v>
      </c>
      <c r="P229" s="396">
        <f t="shared" si="80"/>
        <v>0</v>
      </c>
      <c r="Q229" s="396">
        <f t="shared" si="80"/>
        <v>0</v>
      </c>
      <c r="R229" s="396">
        <f t="shared" si="80"/>
        <v>0</v>
      </c>
      <c r="S229" s="396">
        <f t="shared" si="80"/>
        <v>0</v>
      </c>
      <c r="T229" s="396">
        <f t="shared" si="80"/>
        <v>0</v>
      </c>
      <c r="U229" s="396">
        <f t="shared" si="80"/>
        <v>0</v>
      </c>
      <c r="V229" s="396">
        <f t="shared" si="80"/>
        <v>0</v>
      </c>
      <c r="W229" s="396">
        <f t="shared" si="80"/>
        <v>0</v>
      </c>
      <c r="X229" s="396">
        <f t="shared" si="80"/>
        <v>0</v>
      </c>
      <c r="Y229" s="396">
        <f t="shared" si="80"/>
        <v>0</v>
      </c>
      <c r="Z229" s="396">
        <f t="shared" si="80"/>
        <v>0</v>
      </c>
      <c r="AA229" s="396">
        <f t="shared" si="80"/>
        <v>0</v>
      </c>
      <c r="AB229" s="284"/>
      <c r="AC229" s="284"/>
      <c r="AD229" s="284"/>
      <c r="AE229" s="284"/>
      <c r="AF229" s="284"/>
      <c r="AG229" s="284"/>
      <c r="AH229" s="284"/>
      <c r="AI229" s="284"/>
      <c r="AJ229" s="284"/>
      <c r="AK229" s="284"/>
    </row>
    <row r="230" spans="1:37" ht="12.75" customHeight="1" x14ac:dyDescent="0.45">
      <c r="A230" s="335"/>
      <c r="B230" s="335"/>
      <c r="C230" s="397" t="s">
        <v>457</v>
      </c>
      <c r="E230" s="392" t="s">
        <v>814</v>
      </c>
      <c r="F230" s="335"/>
      <c r="G230" s="396">
        <f t="shared" ref="G230:AA230" si="81">G228-G229</f>
        <v>0</v>
      </c>
      <c r="H230" s="396">
        <f t="shared" si="81"/>
        <v>0</v>
      </c>
      <c r="I230" s="396">
        <f t="shared" si="81"/>
        <v>0</v>
      </c>
      <c r="J230" s="396">
        <f t="shared" si="81"/>
        <v>0</v>
      </c>
      <c r="K230" s="396">
        <f t="shared" si="81"/>
        <v>0</v>
      </c>
      <c r="L230" s="396">
        <f t="shared" si="81"/>
        <v>0</v>
      </c>
      <c r="M230" s="396">
        <f t="shared" si="81"/>
        <v>0</v>
      </c>
      <c r="N230" s="396">
        <f t="shared" si="81"/>
        <v>0</v>
      </c>
      <c r="O230" s="396">
        <f t="shared" si="81"/>
        <v>0</v>
      </c>
      <c r="P230" s="396">
        <f t="shared" si="81"/>
        <v>0</v>
      </c>
      <c r="Q230" s="396">
        <f t="shared" si="81"/>
        <v>0</v>
      </c>
      <c r="R230" s="396">
        <f t="shared" si="81"/>
        <v>0</v>
      </c>
      <c r="S230" s="396">
        <f t="shared" si="81"/>
        <v>0</v>
      </c>
      <c r="T230" s="396">
        <f t="shared" si="81"/>
        <v>0</v>
      </c>
      <c r="U230" s="396">
        <f t="shared" si="81"/>
        <v>0</v>
      </c>
      <c r="V230" s="396">
        <f t="shared" si="81"/>
        <v>0</v>
      </c>
      <c r="W230" s="396">
        <f t="shared" si="81"/>
        <v>0</v>
      </c>
      <c r="X230" s="396">
        <f t="shared" si="81"/>
        <v>0</v>
      </c>
      <c r="Y230" s="396">
        <f t="shared" si="81"/>
        <v>0</v>
      </c>
      <c r="Z230" s="396">
        <f t="shared" si="81"/>
        <v>0</v>
      </c>
      <c r="AA230" s="396">
        <f t="shared" si="81"/>
        <v>0</v>
      </c>
      <c r="AB230" s="284"/>
      <c r="AC230" s="284"/>
      <c r="AD230" s="284"/>
      <c r="AE230" s="284"/>
      <c r="AF230" s="284"/>
      <c r="AG230" s="284"/>
      <c r="AH230" s="284"/>
      <c r="AI230" s="284"/>
      <c r="AJ230" s="284"/>
      <c r="AK230" s="284"/>
    </row>
    <row r="231" spans="1:37" ht="12.75" customHeight="1" x14ac:dyDescent="0.45">
      <c r="A231" s="334" t="s">
        <v>458</v>
      </c>
      <c r="B231" s="335"/>
      <c r="C231" s="335"/>
      <c r="D231" s="335"/>
      <c r="E231" s="335"/>
      <c r="F231" s="335"/>
      <c r="G231" s="335"/>
      <c r="H231" s="335"/>
      <c r="I231" s="284"/>
      <c r="J231" s="284"/>
      <c r="K231" s="284"/>
      <c r="L231" s="284"/>
      <c r="M231" s="284"/>
      <c r="N231" s="333"/>
      <c r="O231" s="284"/>
      <c r="P231" s="284"/>
      <c r="Q231" s="284"/>
      <c r="R231" s="284"/>
      <c r="S231" s="284"/>
      <c r="T231" s="284"/>
      <c r="U231" s="284"/>
      <c r="V231" s="284"/>
      <c r="W231" s="284"/>
      <c r="X231" s="284"/>
      <c r="Y231" s="284"/>
      <c r="Z231" s="284"/>
      <c r="AA231" s="284"/>
      <c r="AB231" s="284"/>
      <c r="AC231" s="284"/>
      <c r="AD231" s="284"/>
      <c r="AE231" s="284"/>
      <c r="AF231" s="284"/>
      <c r="AG231" s="284"/>
      <c r="AH231" s="284"/>
      <c r="AI231" s="284"/>
      <c r="AJ231" s="284"/>
      <c r="AK231" s="284"/>
    </row>
    <row r="232" spans="1:37" ht="12.75" customHeight="1" x14ac:dyDescent="0.45">
      <c r="A232" s="334"/>
      <c r="B232" s="334" t="s">
        <v>441</v>
      </c>
      <c r="C232" s="335"/>
      <c r="D232" s="335"/>
      <c r="E232" s="335"/>
      <c r="F232" s="335"/>
      <c r="G232" s="335"/>
      <c r="H232" s="335"/>
      <c r="I232" s="284"/>
      <c r="J232" s="284"/>
      <c r="K232" s="284"/>
      <c r="L232" s="284"/>
      <c r="M232" s="284"/>
      <c r="N232" s="333"/>
      <c r="O232" s="284"/>
      <c r="P232" s="284"/>
      <c r="Q232" s="284"/>
      <c r="R232" s="284"/>
      <c r="S232" s="284"/>
      <c r="T232" s="284"/>
      <c r="U232" s="284"/>
      <c r="V232" s="284"/>
      <c r="W232" s="284"/>
      <c r="X232" s="284"/>
      <c r="Y232" s="284"/>
      <c r="Z232" s="284"/>
      <c r="AA232" s="284"/>
      <c r="AB232" s="284"/>
      <c r="AC232" s="284"/>
      <c r="AD232" s="284"/>
      <c r="AE232" s="284"/>
      <c r="AF232" s="284"/>
      <c r="AG232" s="284"/>
      <c r="AH232" s="284"/>
      <c r="AI232" s="284"/>
      <c r="AJ232" s="284"/>
      <c r="AK232" s="284"/>
    </row>
    <row r="233" spans="1:37" ht="12.75" customHeight="1" x14ac:dyDescent="0.45">
      <c r="A233" s="335"/>
      <c r="B233" s="335"/>
      <c r="C233" s="335" t="s">
        <v>442</v>
      </c>
      <c r="E233" s="392" t="s">
        <v>814</v>
      </c>
      <c r="F233" s="335"/>
      <c r="G233" s="304">
        <f t="shared" ref="G233:AA233" si="82">G28</f>
        <v>0</v>
      </c>
      <c r="H233" s="304">
        <f t="shared" si="82"/>
        <v>0</v>
      </c>
      <c r="I233" s="304">
        <f t="shared" si="82"/>
        <v>0</v>
      </c>
      <c r="J233" s="304">
        <f t="shared" si="82"/>
        <v>0</v>
      </c>
      <c r="K233" s="304">
        <f t="shared" si="82"/>
        <v>0</v>
      </c>
      <c r="L233" s="304">
        <f t="shared" si="82"/>
        <v>0</v>
      </c>
      <c r="M233" s="304">
        <f t="shared" si="82"/>
        <v>0</v>
      </c>
      <c r="N233" s="304">
        <f t="shared" si="82"/>
        <v>0</v>
      </c>
      <c r="O233" s="304">
        <f t="shared" si="82"/>
        <v>0</v>
      </c>
      <c r="P233" s="304">
        <f t="shared" si="82"/>
        <v>0</v>
      </c>
      <c r="Q233" s="304">
        <f t="shared" si="82"/>
        <v>0</v>
      </c>
      <c r="R233" s="304">
        <f t="shared" si="82"/>
        <v>0</v>
      </c>
      <c r="S233" s="304">
        <f t="shared" si="82"/>
        <v>0</v>
      </c>
      <c r="T233" s="304">
        <f t="shared" si="82"/>
        <v>0</v>
      </c>
      <c r="U233" s="304">
        <f t="shared" si="82"/>
        <v>0</v>
      </c>
      <c r="V233" s="304">
        <f t="shared" si="82"/>
        <v>0</v>
      </c>
      <c r="W233" s="304">
        <f t="shared" si="82"/>
        <v>0</v>
      </c>
      <c r="X233" s="304">
        <f t="shared" si="82"/>
        <v>0</v>
      </c>
      <c r="Y233" s="304">
        <f t="shared" si="82"/>
        <v>0</v>
      </c>
      <c r="Z233" s="304">
        <f t="shared" si="82"/>
        <v>0</v>
      </c>
      <c r="AA233" s="304">
        <f t="shared" si="82"/>
        <v>0</v>
      </c>
      <c r="AB233" s="284"/>
      <c r="AC233" s="284"/>
      <c r="AD233" s="284"/>
      <c r="AE233" s="284"/>
      <c r="AF233" s="284"/>
      <c r="AG233" s="284"/>
      <c r="AH233" s="284"/>
      <c r="AI233" s="284"/>
      <c r="AJ233" s="284"/>
      <c r="AK233" s="284"/>
    </row>
    <row r="234" spans="1:37" ht="12.75" customHeight="1" x14ac:dyDescent="0.45">
      <c r="A234" s="335"/>
      <c r="B234" s="335"/>
      <c r="C234" s="335" t="s">
        <v>443</v>
      </c>
      <c r="E234" s="392" t="s">
        <v>814</v>
      </c>
      <c r="F234" s="335"/>
      <c r="G234" s="398"/>
      <c r="H234" s="398"/>
      <c r="I234" s="398"/>
      <c r="J234" s="398"/>
      <c r="K234" s="398"/>
      <c r="L234" s="398"/>
      <c r="M234" s="398"/>
      <c r="N234" s="398"/>
      <c r="O234" s="398"/>
      <c r="P234" s="398"/>
      <c r="Q234" s="398"/>
      <c r="R234" s="398"/>
      <c r="S234" s="398"/>
      <c r="T234" s="398"/>
      <c r="U234" s="398"/>
      <c r="V234" s="398"/>
      <c r="W234" s="398"/>
      <c r="X234" s="398"/>
      <c r="Y234" s="398"/>
      <c r="Z234" s="398"/>
      <c r="AA234" s="398"/>
      <c r="AB234" s="284"/>
      <c r="AC234" s="284"/>
      <c r="AD234" s="284"/>
      <c r="AE234" s="284"/>
      <c r="AF234" s="284"/>
      <c r="AG234" s="284"/>
      <c r="AH234" s="284"/>
      <c r="AI234" s="284"/>
      <c r="AJ234" s="284"/>
      <c r="AK234" s="284"/>
    </row>
    <row r="235" spans="1:37" ht="12.75" customHeight="1" x14ac:dyDescent="0.45">
      <c r="A235" s="335"/>
      <c r="B235" s="335"/>
      <c r="C235" s="335" t="s">
        <v>444</v>
      </c>
      <c r="E235" s="335"/>
      <c r="F235" s="394">
        <v>0.05</v>
      </c>
      <c r="G235" s="335"/>
      <c r="H235" s="335"/>
      <c r="I235" s="335"/>
      <c r="J235" s="284"/>
      <c r="K235" s="284"/>
      <c r="L235" s="284"/>
      <c r="M235" s="284"/>
      <c r="N235" s="333"/>
      <c r="O235" s="284"/>
      <c r="P235" s="284"/>
      <c r="Q235" s="284"/>
      <c r="R235" s="284"/>
      <c r="S235" s="284"/>
      <c r="T235" s="284"/>
      <c r="U235" s="284"/>
      <c r="V235" s="284"/>
      <c r="W235" s="284"/>
      <c r="X235" s="284"/>
      <c r="Y235" s="284"/>
      <c r="Z235" s="284"/>
      <c r="AA235" s="284"/>
      <c r="AB235" s="284"/>
      <c r="AC235" s="284"/>
      <c r="AD235" s="284"/>
      <c r="AE235" s="284"/>
      <c r="AF235" s="284"/>
      <c r="AG235" s="284"/>
      <c r="AH235" s="284"/>
      <c r="AI235" s="284"/>
      <c r="AJ235" s="284"/>
      <c r="AK235" s="284"/>
    </row>
    <row r="236" spans="1:37" ht="12.75" customHeight="1" x14ac:dyDescent="0.45">
      <c r="A236" s="335"/>
      <c r="B236" s="335"/>
      <c r="C236" s="335" t="s">
        <v>445</v>
      </c>
      <c r="E236" s="395">
        <v>2027</v>
      </c>
      <c r="F236" s="392"/>
      <c r="G236" s="335"/>
      <c r="H236" s="335"/>
      <c r="I236" s="335"/>
      <c r="J236" s="284"/>
      <c r="K236" s="284"/>
      <c r="L236" s="284"/>
      <c r="M236" s="284"/>
      <c r="N236" s="333"/>
      <c r="O236" s="284"/>
      <c r="P236" s="284"/>
      <c r="Q236" s="284"/>
      <c r="R236" s="284"/>
      <c r="S236" s="284"/>
      <c r="T236" s="284"/>
      <c r="U236" s="284"/>
      <c r="V236" s="284"/>
      <c r="W236" s="284"/>
      <c r="X236" s="284"/>
      <c r="Y236" s="284"/>
      <c r="Z236" s="284"/>
      <c r="AA236" s="284"/>
      <c r="AB236" s="284"/>
      <c r="AC236" s="284"/>
      <c r="AD236" s="284"/>
      <c r="AE236" s="284"/>
      <c r="AF236" s="284"/>
      <c r="AG236" s="284"/>
      <c r="AH236" s="284"/>
      <c r="AI236" s="284"/>
      <c r="AJ236" s="284"/>
      <c r="AK236" s="284"/>
    </row>
    <row r="237" spans="1:37" ht="12.75" customHeight="1" x14ac:dyDescent="0.45">
      <c r="A237" s="335"/>
      <c r="B237" s="335"/>
      <c r="C237" s="335" t="s">
        <v>446</v>
      </c>
      <c r="E237" s="395">
        <v>2021</v>
      </c>
      <c r="F237" s="392"/>
      <c r="G237" s="335"/>
      <c r="H237" s="335"/>
      <c r="I237" s="335"/>
      <c r="J237" s="284"/>
      <c r="K237" s="284"/>
      <c r="L237" s="284"/>
      <c r="M237" s="284"/>
      <c r="N237" s="333"/>
      <c r="O237" s="284"/>
      <c r="P237" s="284"/>
      <c r="Q237" s="284"/>
      <c r="R237" s="284"/>
      <c r="S237" s="284"/>
      <c r="T237" s="284"/>
      <c r="U237" s="284"/>
      <c r="V237" s="284"/>
      <c r="W237" s="284"/>
      <c r="X237" s="284"/>
      <c r="Y237" s="284"/>
      <c r="Z237" s="284"/>
      <c r="AA237" s="284"/>
      <c r="AB237" s="284"/>
      <c r="AC237" s="284"/>
      <c r="AD237" s="284"/>
      <c r="AE237" s="284"/>
      <c r="AF237" s="284"/>
      <c r="AG237" s="284"/>
      <c r="AH237" s="284"/>
      <c r="AI237" s="284"/>
      <c r="AJ237" s="284"/>
      <c r="AK237" s="284"/>
    </row>
    <row r="238" spans="1:37" ht="12.75" customHeight="1" x14ac:dyDescent="0.45">
      <c r="A238" s="335"/>
      <c r="B238" s="334" t="s">
        <v>447</v>
      </c>
      <c r="C238" s="335"/>
      <c r="E238" s="335"/>
      <c r="F238" s="335"/>
      <c r="G238" s="335"/>
      <c r="H238" s="335"/>
      <c r="I238" s="335"/>
      <c r="J238" s="284"/>
      <c r="K238" s="284"/>
      <c r="L238" s="284"/>
      <c r="M238" s="284"/>
      <c r="N238" s="333"/>
      <c r="O238" s="284"/>
      <c r="P238" s="284"/>
      <c r="Q238" s="284"/>
      <c r="R238" s="284"/>
      <c r="S238" s="284"/>
      <c r="T238" s="284"/>
      <c r="U238" s="284"/>
      <c r="V238" s="284"/>
      <c r="W238" s="284"/>
      <c r="X238" s="284"/>
      <c r="Y238" s="284"/>
      <c r="Z238" s="284"/>
      <c r="AA238" s="284"/>
      <c r="AB238" s="284"/>
      <c r="AC238" s="284"/>
      <c r="AD238" s="284"/>
      <c r="AE238" s="284"/>
      <c r="AF238" s="284"/>
      <c r="AG238" s="284"/>
      <c r="AH238" s="284"/>
      <c r="AI238" s="284"/>
      <c r="AJ238" s="284"/>
      <c r="AK238" s="284"/>
    </row>
    <row r="239" spans="1:37" ht="12.75" customHeight="1" x14ac:dyDescent="0.45">
      <c r="A239" s="335"/>
      <c r="B239" s="335"/>
      <c r="C239" s="335" t="s">
        <v>448</v>
      </c>
      <c r="E239" s="392" t="s">
        <v>814</v>
      </c>
      <c r="F239" s="335"/>
      <c r="G239" s="396">
        <f t="shared" ref="G239:AA239" si="83">F243</f>
        <v>0</v>
      </c>
      <c r="H239" s="396">
        <f t="shared" si="83"/>
        <v>0</v>
      </c>
      <c r="I239" s="396">
        <f t="shared" si="83"/>
        <v>0</v>
      </c>
      <c r="J239" s="396">
        <f t="shared" si="83"/>
        <v>0</v>
      </c>
      <c r="K239" s="396">
        <f t="shared" si="83"/>
        <v>0</v>
      </c>
      <c r="L239" s="396">
        <f t="shared" si="83"/>
        <v>0</v>
      </c>
      <c r="M239" s="396">
        <f t="shared" si="83"/>
        <v>0</v>
      </c>
      <c r="N239" s="396">
        <f t="shared" si="83"/>
        <v>0</v>
      </c>
      <c r="O239" s="396">
        <f t="shared" si="83"/>
        <v>0</v>
      </c>
      <c r="P239" s="396">
        <f t="shared" si="83"/>
        <v>0</v>
      </c>
      <c r="Q239" s="396">
        <f t="shared" si="83"/>
        <v>0</v>
      </c>
      <c r="R239" s="396">
        <f t="shared" si="83"/>
        <v>0</v>
      </c>
      <c r="S239" s="396">
        <f t="shared" si="83"/>
        <v>0</v>
      </c>
      <c r="T239" s="396">
        <f t="shared" si="83"/>
        <v>0</v>
      </c>
      <c r="U239" s="396">
        <f t="shared" si="83"/>
        <v>0</v>
      </c>
      <c r="V239" s="396">
        <f t="shared" si="83"/>
        <v>0</v>
      </c>
      <c r="W239" s="396">
        <f t="shared" si="83"/>
        <v>0</v>
      </c>
      <c r="X239" s="396">
        <f t="shared" si="83"/>
        <v>0</v>
      </c>
      <c r="Y239" s="396">
        <f t="shared" si="83"/>
        <v>0</v>
      </c>
      <c r="Z239" s="396">
        <f t="shared" si="83"/>
        <v>0</v>
      </c>
      <c r="AA239" s="396">
        <f t="shared" si="83"/>
        <v>0</v>
      </c>
      <c r="AB239" s="284"/>
      <c r="AC239" s="284"/>
      <c r="AD239" s="284"/>
      <c r="AE239" s="284"/>
      <c r="AF239" s="284"/>
      <c r="AG239" s="284"/>
      <c r="AH239" s="284"/>
      <c r="AI239" s="284"/>
      <c r="AJ239" s="284"/>
      <c r="AK239" s="284"/>
    </row>
    <row r="240" spans="1:37" ht="12.75" customHeight="1" x14ac:dyDescent="0.45">
      <c r="A240" s="335"/>
      <c r="B240" s="335"/>
      <c r="C240" s="335" t="s">
        <v>449</v>
      </c>
      <c r="E240" s="392" t="s">
        <v>814</v>
      </c>
      <c r="F240" s="335"/>
      <c r="G240" s="396">
        <f t="shared" ref="G240:AA240" si="84">G233</f>
        <v>0</v>
      </c>
      <c r="H240" s="396">
        <f t="shared" si="84"/>
        <v>0</v>
      </c>
      <c r="I240" s="396">
        <f t="shared" si="84"/>
        <v>0</v>
      </c>
      <c r="J240" s="396">
        <f t="shared" si="84"/>
        <v>0</v>
      </c>
      <c r="K240" s="396">
        <f t="shared" si="84"/>
        <v>0</v>
      </c>
      <c r="L240" s="396">
        <f t="shared" si="84"/>
        <v>0</v>
      </c>
      <c r="M240" s="396">
        <f t="shared" si="84"/>
        <v>0</v>
      </c>
      <c r="N240" s="396">
        <f t="shared" si="84"/>
        <v>0</v>
      </c>
      <c r="O240" s="396">
        <f t="shared" si="84"/>
        <v>0</v>
      </c>
      <c r="P240" s="396">
        <f t="shared" si="84"/>
        <v>0</v>
      </c>
      <c r="Q240" s="396">
        <f t="shared" si="84"/>
        <v>0</v>
      </c>
      <c r="R240" s="396">
        <f t="shared" si="84"/>
        <v>0</v>
      </c>
      <c r="S240" s="396">
        <f t="shared" si="84"/>
        <v>0</v>
      </c>
      <c r="T240" s="396">
        <f t="shared" si="84"/>
        <v>0</v>
      </c>
      <c r="U240" s="396">
        <f t="shared" si="84"/>
        <v>0</v>
      </c>
      <c r="V240" s="396">
        <f t="shared" si="84"/>
        <v>0</v>
      </c>
      <c r="W240" s="396">
        <f t="shared" si="84"/>
        <v>0</v>
      </c>
      <c r="X240" s="396">
        <f t="shared" si="84"/>
        <v>0</v>
      </c>
      <c r="Y240" s="396">
        <f t="shared" si="84"/>
        <v>0</v>
      </c>
      <c r="Z240" s="396">
        <f t="shared" si="84"/>
        <v>0</v>
      </c>
      <c r="AA240" s="396">
        <f t="shared" si="84"/>
        <v>0</v>
      </c>
      <c r="AB240" s="284"/>
      <c r="AC240" s="284"/>
      <c r="AD240" s="284"/>
      <c r="AE240" s="284"/>
      <c r="AF240" s="284"/>
      <c r="AG240" s="284"/>
      <c r="AH240" s="284"/>
      <c r="AI240" s="284"/>
      <c r="AJ240" s="284"/>
      <c r="AK240" s="284"/>
    </row>
    <row r="241" spans="1:37" ht="12.75" customHeight="1" x14ac:dyDescent="0.45">
      <c r="A241" s="335"/>
      <c r="B241" s="335"/>
      <c r="C241" s="335" t="s">
        <v>451</v>
      </c>
      <c r="E241" s="392" t="s">
        <v>814</v>
      </c>
      <c r="F241" s="335"/>
      <c r="G241" s="396">
        <f t="shared" ref="G241:AA241" si="85">G247</f>
        <v>0</v>
      </c>
      <c r="H241" s="396">
        <f t="shared" si="85"/>
        <v>0</v>
      </c>
      <c r="I241" s="396">
        <f t="shared" si="85"/>
        <v>0</v>
      </c>
      <c r="J241" s="396">
        <f t="shared" si="85"/>
        <v>0</v>
      </c>
      <c r="K241" s="396">
        <f t="shared" si="85"/>
        <v>0</v>
      </c>
      <c r="L241" s="396">
        <f t="shared" si="85"/>
        <v>0</v>
      </c>
      <c r="M241" s="396">
        <f t="shared" si="85"/>
        <v>0</v>
      </c>
      <c r="N241" s="396">
        <f t="shared" si="85"/>
        <v>0</v>
      </c>
      <c r="O241" s="396">
        <f t="shared" si="85"/>
        <v>0</v>
      </c>
      <c r="P241" s="396">
        <f t="shared" si="85"/>
        <v>0</v>
      </c>
      <c r="Q241" s="396">
        <f t="shared" si="85"/>
        <v>0</v>
      </c>
      <c r="R241" s="396">
        <f t="shared" si="85"/>
        <v>0</v>
      </c>
      <c r="S241" s="396">
        <f t="shared" si="85"/>
        <v>0</v>
      </c>
      <c r="T241" s="396">
        <f t="shared" si="85"/>
        <v>0</v>
      </c>
      <c r="U241" s="396">
        <f t="shared" si="85"/>
        <v>0</v>
      </c>
      <c r="V241" s="396">
        <f t="shared" si="85"/>
        <v>0</v>
      </c>
      <c r="W241" s="396">
        <f t="shared" si="85"/>
        <v>0</v>
      </c>
      <c r="X241" s="396">
        <f t="shared" si="85"/>
        <v>0</v>
      </c>
      <c r="Y241" s="396">
        <f t="shared" si="85"/>
        <v>0</v>
      </c>
      <c r="Z241" s="396">
        <f t="shared" si="85"/>
        <v>0</v>
      </c>
      <c r="AA241" s="396">
        <f t="shared" si="85"/>
        <v>0</v>
      </c>
      <c r="AB241" s="284"/>
      <c r="AC241" s="284"/>
      <c r="AD241" s="284"/>
      <c r="AE241" s="284"/>
      <c r="AF241" s="284"/>
      <c r="AG241" s="284"/>
      <c r="AH241" s="284"/>
      <c r="AI241" s="284"/>
      <c r="AJ241" s="284"/>
      <c r="AK241" s="284"/>
    </row>
    <row r="242" spans="1:37" ht="12.75" customHeight="1" x14ac:dyDescent="0.45">
      <c r="A242" s="335"/>
      <c r="B242" s="335"/>
      <c r="C242" s="335" t="s">
        <v>452</v>
      </c>
      <c r="E242" s="392" t="s">
        <v>814</v>
      </c>
      <c r="F242" s="335"/>
      <c r="G242" s="396">
        <f>G234+(IF(G$2=$E236,G239+G241-G234,0))</f>
        <v>0</v>
      </c>
      <c r="H242" s="396">
        <f>H234+(IF(H$2=$E236,H239+H241-H234,0))</f>
        <v>0</v>
      </c>
      <c r="I242" s="396">
        <f t="shared" ref="I242:AA242" si="86">I234+(IF(I$2=$E236,I239+I241-I234,0))</f>
        <v>0</v>
      </c>
      <c r="J242" s="396">
        <f t="shared" si="86"/>
        <v>0</v>
      </c>
      <c r="K242" s="396">
        <f t="shared" si="86"/>
        <v>0</v>
      </c>
      <c r="L242" s="396">
        <f t="shared" si="86"/>
        <v>0</v>
      </c>
      <c r="M242" s="396">
        <f t="shared" si="86"/>
        <v>0</v>
      </c>
      <c r="N242" s="396">
        <f t="shared" si="86"/>
        <v>0</v>
      </c>
      <c r="O242" s="396">
        <f t="shared" si="86"/>
        <v>0</v>
      </c>
      <c r="P242" s="396">
        <f t="shared" si="86"/>
        <v>0</v>
      </c>
      <c r="Q242" s="396">
        <f t="shared" si="86"/>
        <v>0</v>
      </c>
      <c r="R242" s="396">
        <f t="shared" si="86"/>
        <v>0</v>
      </c>
      <c r="S242" s="396">
        <f t="shared" si="86"/>
        <v>0</v>
      </c>
      <c r="T242" s="396">
        <f t="shared" si="86"/>
        <v>0</v>
      </c>
      <c r="U242" s="396">
        <f t="shared" si="86"/>
        <v>0</v>
      </c>
      <c r="V242" s="396">
        <f t="shared" si="86"/>
        <v>0</v>
      </c>
      <c r="W242" s="396">
        <f t="shared" si="86"/>
        <v>0</v>
      </c>
      <c r="X242" s="396">
        <f t="shared" si="86"/>
        <v>0</v>
      </c>
      <c r="Y242" s="396">
        <f t="shared" si="86"/>
        <v>0</v>
      </c>
      <c r="Z242" s="396">
        <f t="shared" si="86"/>
        <v>0</v>
      </c>
      <c r="AA242" s="396">
        <f t="shared" si="86"/>
        <v>0</v>
      </c>
      <c r="AB242" s="284"/>
      <c r="AC242" s="284"/>
      <c r="AD242" s="284"/>
      <c r="AE242" s="284"/>
      <c r="AF242" s="284"/>
      <c r="AG242" s="284"/>
      <c r="AH242" s="284"/>
      <c r="AI242" s="284"/>
      <c r="AJ242" s="284"/>
      <c r="AK242" s="284"/>
    </row>
    <row r="243" spans="1:37" ht="12.75" customHeight="1" x14ac:dyDescent="0.45">
      <c r="A243" s="335"/>
      <c r="B243" s="335"/>
      <c r="C243" s="335" t="s">
        <v>453</v>
      </c>
      <c r="E243" s="392" t="s">
        <v>814</v>
      </c>
      <c r="F243" s="393"/>
      <c r="G243" s="396">
        <f t="shared" ref="G243:AA243" si="87">G239+G240+G241-G242</f>
        <v>0</v>
      </c>
      <c r="H243" s="396">
        <f t="shared" si="87"/>
        <v>0</v>
      </c>
      <c r="I243" s="396">
        <f t="shared" si="87"/>
        <v>0</v>
      </c>
      <c r="J243" s="396">
        <f t="shared" si="87"/>
        <v>0</v>
      </c>
      <c r="K243" s="396">
        <f t="shared" si="87"/>
        <v>0</v>
      </c>
      <c r="L243" s="396">
        <f t="shared" si="87"/>
        <v>0</v>
      </c>
      <c r="M243" s="396">
        <f t="shared" si="87"/>
        <v>0</v>
      </c>
      <c r="N243" s="396">
        <f t="shared" si="87"/>
        <v>0</v>
      </c>
      <c r="O243" s="396">
        <f t="shared" si="87"/>
        <v>0</v>
      </c>
      <c r="P243" s="396">
        <f t="shared" si="87"/>
        <v>0</v>
      </c>
      <c r="Q243" s="396">
        <f t="shared" si="87"/>
        <v>0</v>
      </c>
      <c r="R243" s="396">
        <f t="shared" si="87"/>
        <v>0</v>
      </c>
      <c r="S243" s="396">
        <f t="shared" si="87"/>
        <v>0</v>
      </c>
      <c r="T243" s="396">
        <f t="shared" si="87"/>
        <v>0</v>
      </c>
      <c r="U243" s="396">
        <f t="shared" si="87"/>
        <v>0</v>
      </c>
      <c r="V243" s="396">
        <f t="shared" si="87"/>
        <v>0</v>
      </c>
      <c r="W243" s="396">
        <f t="shared" si="87"/>
        <v>0</v>
      </c>
      <c r="X243" s="396">
        <f t="shared" si="87"/>
        <v>0</v>
      </c>
      <c r="Y243" s="396">
        <f t="shared" si="87"/>
        <v>0</v>
      </c>
      <c r="Z243" s="396">
        <f t="shared" si="87"/>
        <v>0</v>
      </c>
      <c r="AA243" s="396">
        <f t="shared" si="87"/>
        <v>0</v>
      </c>
      <c r="AB243" s="284"/>
      <c r="AC243" s="284"/>
      <c r="AD243" s="284"/>
      <c r="AE243" s="284"/>
      <c r="AF243" s="284"/>
      <c r="AG243" s="284"/>
      <c r="AH243" s="284"/>
      <c r="AI243" s="284"/>
      <c r="AJ243" s="284"/>
      <c r="AK243" s="284"/>
    </row>
    <row r="244" spans="1:37" ht="12.75" customHeight="1" x14ac:dyDescent="0.45">
      <c r="A244" s="335"/>
      <c r="B244" s="334" t="s">
        <v>28</v>
      </c>
      <c r="C244" s="335"/>
      <c r="E244" s="335"/>
      <c r="F244" s="335"/>
      <c r="G244" s="396"/>
      <c r="H244" s="396"/>
      <c r="I244" s="396"/>
      <c r="J244" s="284"/>
      <c r="K244" s="284"/>
      <c r="L244" s="284"/>
      <c r="M244" s="284"/>
      <c r="N244" s="333"/>
      <c r="O244" s="284"/>
      <c r="P244" s="284"/>
      <c r="Q244" s="284"/>
      <c r="R244" s="284"/>
      <c r="S244" s="284"/>
      <c r="T244" s="284"/>
      <c r="U244" s="284"/>
      <c r="V244" s="284"/>
      <c r="W244" s="284"/>
      <c r="X244" s="284"/>
      <c r="Y244" s="284"/>
      <c r="Z244" s="284"/>
      <c r="AA244" s="284"/>
      <c r="AB244" s="284"/>
      <c r="AC244" s="284"/>
      <c r="AD244" s="284"/>
      <c r="AE244" s="284"/>
      <c r="AF244" s="284"/>
      <c r="AG244" s="284"/>
      <c r="AH244" s="284"/>
      <c r="AI244" s="284"/>
      <c r="AJ244" s="284"/>
      <c r="AK244" s="284"/>
    </row>
    <row r="245" spans="1:37" ht="12.75" customHeight="1" x14ac:dyDescent="0.45">
      <c r="A245" s="335"/>
      <c r="B245" s="335"/>
      <c r="C245" s="335" t="s">
        <v>454</v>
      </c>
      <c r="E245" s="335"/>
      <c r="F245" s="335"/>
      <c r="G245" s="396"/>
      <c r="H245" s="396"/>
      <c r="I245" s="396"/>
      <c r="J245" s="284"/>
      <c r="K245" s="284"/>
      <c r="L245" s="284"/>
      <c r="M245" s="284"/>
      <c r="N245" s="333"/>
      <c r="O245" s="284"/>
      <c r="P245" s="284"/>
      <c r="Q245" s="284"/>
      <c r="R245" s="284"/>
      <c r="S245" s="284"/>
      <c r="T245" s="284"/>
      <c r="U245" s="284"/>
      <c r="V245" s="284"/>
      <c r="W245" s="284"/>
      <c r="X245" s="284"/>
      <c r="Y245" s="284"/>
      <c r="Z245" s="284"/>
      <c r="AA245" s="284"/>
      <c r="AB245" s="284"/>
      <c r="AC245" s="284"/>
      <c r="AD245" s="284"/>
      <c r="AE245" s="284"/>
      <c r="AF245" s="284"/>
      <c r="AG245" s="284"/>
      <c r="AH245" s="284"/>
      <c r="AI245" s="284"/>
      <c r="AJ245" s="284"/>
      <c r="AK245" s="284"/>
    </row>
    <row r="246" spans="1:37" ht="12.75" customHeight="1" x14ac:dyDescent="0.45">
      <c r="A246" s="335"/>
      <c r="B246" s="335"/>
      <c r="C246" s="335" t="s">
        <v>455</v>
      </c>
      <c r="E246" s="392" t="s">
        <v>814</v>
      </c>
      <c r="F246" s="335"/>
      <c r="G246" s="396">
        <f>(G239+G240)*$F235</f>
        <v>0</v>
      </c>
      <c r="H246" s="396">
        <f>(H239+H240)*$F235</f>
        <v>0</v>
      </c>
      <c r="I246" s="396">
        <f t="shared" ref="I246:AA246" si="88">(I239+I240)*$F235</f>
        <v>0</v>
      </c>
      <c r="J246" s="396">
        <f t="shared" si="88"/>
        <v>0</v>
      </c>
      <c r="K246" s="396">
        <f t="shared" si="88"/>
        <v>0</v>
      </c>
      <c r="L246" s="396">
        <f t="shared" si="88"/>
        <v>0</v>
      </c>
      <c r="M246" s="396">
        <f t="shared" si="88"/>
        <v>0</v>
      </c>
      <c r="N246" s="396">
        <f t="shared" si="88"/>
        <v>0</v>
      </c>
      <c r="O246" s="396">
        <f t="shared" si="88"/>
        <v>0</v>
      </c>
      <c r="P246" s="396">
        <f t="shared" si="88"/>
        <v>0</v>
      </c>
      <c r="Q246" s="396">
        <f t="shared" si="88"/>
        <v>0</v>
      </c>
      <c r="R246" s="396">
        <f t="shared" si="88"/>
        <v>0</v>
      </c>
      <c r="S246" s="396">
        <f t="shared" si="88"/>
        <v>0</v>
      </c>
      <c r="T246" s="396">
        <f t="shared" si="88"/>
        <v>0</v>
      </c>
      <c r="U246" s="396">
        <f t="shared" si="88"/>
        <v>0</v>
      </c>
      <c r="V246" s="396">
        <f t="shared" si="88"/>
        <v>0</v>
      </c>
      <c r="W246" s="396">
        <f t="shared" si="88"/>
        <v>0</v>
      </c>
      <c r="X246" s="396">
        <f t="shared" si="88"/>
        <v>0</v>
      </c>
      <c r="Y246" s="396">
        <f t="shared" si="88"/>
        <v>0</v>
      </c>
      <c r="Z246" s="396">
        <f t="shared" si="88"/>
        <v>0</v>
      </c>
      <c r="AA246" s="396">
        <f t="shared" si="88"/>
        <v>0</v>
      </c>
      <c r="AB246" s="284"/>
      <c r="AC246" s="284"/>
      <c r="AD246" s="284"/>
      <c r="AE246" s="284"/>
      <c r="AF246" s="284"/>
      <c r="AG246" s="284"/>
      <c r="AH246" s="284"/>
      <c r="AI246" s="284"/>
      <c r="AJ246" s="284"/>
      <c r="AK246" s="284"/>
    </row>
    <row r="247" spans="1:37" ht="12.75" customHeight="1" x14ac:dyDescent="0.45">
      <c r="A247" s="335"/>
      <c r="B247" s="335"/>
      <c r="C247" s="397" t="s">
        <v>456</v>
      </c>
      <c r="E247" s="392" t="s">
        <v>814</v>
      </c>
      <c r="F247" s="335"/>
      <c r="G247" s="396">
        <f t="shared" ref="G247:AA247" si="89">IF(G$2&lt;=$E237, G246,0)</f>
        <v>0</v>
      </c>
      <c r="H247" s="396">
        <f t="shared" si="89"/>
        <v>0</v>
      </c>
      <c r="I247" s="396">
        <f t="shared" si="89"/>
        <v>0</v>
      </c>
      <c r="J247" s="396">
        <f t="shared" si="89"/>
        <v>0</v>
      </c>
      <c r="K247" s="396">
        <f t="shared" si="89"/>
        <v>0</v>
      </c>
      <c r="L247" s="396">
        <f t="shared" si="89"/>
        <v>0</v>
      </c>
      <c r="M247" s="396">
        <f t="shared" si="89"/>
        <v>0</v>
      </c>
      <c r="N247" s="396">
        <f t="shared" si="89"/>
        <v>0</v>
      </c>
      <c r="O247" s="396">
        <f t="shared" si="89"/>
        <v>0</v>
      </c>
      <c r="P247" s="396">
        <f t="shared" si="89"/>
        <v>0</v>
      </c>
      <c r="Q247" s="396">
        <f t="shared" si="89"/>
        <v>0</v>
      </c>
      <c r="R247" s="396">
        <f t="shared" si="89"/>
        <v>0</v>
      </c>
      <c r="S247" s="396">
        <f t="shared" si="89"/>
        <v>0</v>
      </c>
      <c r="T247" s="396">
        <f t="shared" si="89"/>
        <v>0</v>
      </c>
      <c r="U247" s="396">
        <f t="shared" si="89"/>
        <v>0</v>
      </c>
      <c r="V247" s="396">
        <f t="shared" si="89"/>
        <v>0</v>
      </c>
      <c r="W247" s="396">
        <f t="shared" si="89"/>
        <v>0</v>
      </c>
      <c r="X247" s="396">
        <f t="shared" si="89"/>
        <v>0</v>
      </c>
      <c r="Y247" s="396">
        <f t="shared" si="89"/>
        <v>0</v>
      </c>
      <c r="Z247" s="396">
        <f t="shared" si="89"/>
        <v>0</v>
      </c>
      <c r="AA247" s="396">
        <f t="shared" si="89"/>
        <v>0</v>
      </c>
      <c r="AB247" s="284"/>
      <c r="AC247" s="284"/>
      <c r="AD247" s="284"/>
      <c r="AE247" s="284"/>
      <c r="AF247" s="284"/>
      <c r="AG247" s="284"/>
      <c r="AH247" s="284"/>
      <c r="AI247" s="284"/>
      <c r="AJ247" s="284"/>
      <c r="AK247" s="284"/>
    </row>
    <row r="248" spans="1:37" ht="12.75" customHeight="1" x14ac:dyDescent="0.45">
      <c r="A248" s="335"/>
      <c r="B248" s="335"/>
      <c r="C248" s="397" t="s">
        <v>457</v>
      </c>
      <c r="E248" s="392" t="s">
        <v>814</v>
      </c>
      <c r="F248" s="335"/>
      <c r="G248" s="396">
        <f>G246-G247</f>
        <v>0</v>
      </c>
      <c r="H248" s="396">
        <f t="shared" ref="H248:AA248" si="90">H246-H247</f>
        <v>0</v>
      </c>
      <c r="I248" s="396">
        <f t="shared" si="90"/>
        <v>0</v>
      </c>
      <c r="J248" s="396">
        <f t="shared" si="90"/>
        <v>0</v>
      </c>
      <c r="K248" s="396">
        <f t="shared" si="90"/>
        <v>0</v>
      </c>
      <c r="L248" s="396">
        <f t="shared" si="90"/>
        <v>0</v>
      </c>
      <c r="M248" s="396">
        <f t="shared" si="90"/>
        <v>0</v>
      </c>
      <c r="N248" s="396">
        <f t="shared" si="90"/>
        <v>0</v>
      </c>
      <c r="O248" s="396">
        <f t="shared" si="90"/>
        <v>0</v>
      </c>
      <c r="P248" s="396">
        <f t="shared" si="90"/>
        <v>0</v>
      </c>
      <c r="Q248" s="396">
        <f t="shared" si="90"/>
        <v>0</v>
      </c>
      <c r="R248" s="396">
        <f t="shared" si="90"/>
        <v>0</v>
      </c>
      <c r="S248" s="396">
        <f t="shared" si="90"/>
        <v>0</v>
      </c>
      <c r="T248" s="396">
        <f t="shared" si="90"/>
        <v>0</v>
      </c>
      <c r="U248" s="396">
        <f t="shared" si="90"/>
        <v>0</v>
      </c>
      <c r="V248" s="396">
        <f t="shared" si="90"/>
        <v>0</v>
      </c>
      <c r="W248" s="396">
        <f t="shared" si="90"/>
        <v>0</v>
      </c>
      <c r="X248" s="396">
        <f t="shared" si="90"/>
        <v>0</v>
      </c>
      <c r="Y248" s="396">
        <f t="shared" si="90"/>
        <v>0</v>
      </c>
      <c r="Z248" s="396">
        <f t="shared" si="90"/>
        <v>0</v>
      </c>
      <c r="AA248" s="396">
        <f t="shared" si="90"/>
        <v>0</v>
      </c>
      <c r="AB248" s="284"/>
      <c r="AC248" s="284"/>
      <c r="AD248" s="284"/>
      <c r="AE248" s="284"/>
      <c r="AF248" s="284"/>
      <c r="AG248" s="284"/>
      <c r="AH248" s="284"/>
      <c r="AI248" s="284"/>
      <c r="AJ248" s="284"/>
      <c r="AK248" s="284"/>
    </row>
    <row r="249" spans="1:37" ht="12.75" customHeight="1" x14ac:dyDescent="0.45">
      <c r="A249" s="335"/>
      <c r="B249" s="335"/>
      <c r="C249" s="335"/>
      <c r="E249" s="335"/>
      <c r="F249" s="335"/>
      <c r="G249" s="335"/>
      <c r="H249" s="335"/>
      <c r="I249" s="335"/>
      <c r="J249" s="284"/>
      <c r="K249" s="284"/>
      <c r="L249" s="284"/>
      <c r="M249" s="284"/>
      <c r="N249" s="333"/>
      <c r="O249" s="284"/>
      <c r="P249" s="284"/>
      <c r="Q249" s="284"/>
      <c r="R249" s="284"/>
      <c r="S249" s="284"/>
      <c r="T249" s="284"/>
      <c r="U249" s="284"/>
      <c r="V249" s="284"/>
      <c r="W249" s="284"/>
      <c r="X249" s="284"/>
      <c r="Y249" s="284"/>
      <c r="Z249" s="284"/>
      <c r="AA249" s="284"/>
      <c r="AB249" s="284"/>
      <c r="AC249" s="284"/>
      <c r="AD249" s="284"/>
      <c r="AE249" s="284"/>
      <c r="AF249" s="284"/>
      <c r="AG249" s="284"/>
      <c r="AH249" s="284"/>
      <c r="AI249" s="284"/>
      <c r="AJ249" s="284"/>
      <c r="AK249" s="284"/>
    </row>
    <row r="250" spans="1:37" ht="12.75" customHeight="1" x14ac:dyDescent="0.45">
      <c r="A250" s="335"/>
      <c r="B250" s="335"/>
      <c r="C250" s="335"/>
      <c r="E250" s="335"/>
      <c r="F250" s="335"/>
      <c r="G250" s="335"/>
      <c r="H250" s="335"/>
      <c r="I250" s="335"/>
      <c r="J250" s="284"/>
      <c r="K250" s="284"/>
      <c r="L250" s="284"/>
      <c r="M250" s="284"/>
      <c r="N250" s="333"/>
      <c r="O250" s="284"/>
      <c r="P250" s="284"/>
      <c r="Q250" s="284"/>
      <c r="R250" s="284"/>
      <c r="S250" s="284"/>
      <c r="T250" s="284"/>
      <c r="U250" s="284"/>
      <c r="V250" s="284"/>
      <c r="W250" s="284"/>
      <c r="X250" s="284"/>
      <c r="Y250" s="284"/>
      <c r="Z250" s="284"/>
      <c r="AA250" s="284"/>
      <c r="AB250" s="284"/>
      <c r="AC250" s="284"/>
      <c r="AD250" s="284"/>
      <c r="AE250" s="284"/>
      <c r="AF250" s="284"/>
      <c r="AG250" s="284"/>
      <c r="AH250" s="284"/>
      <c r="AI250" s="284"/>
      <c r="AJ250" s="284"/>
      <c r="AK250" s="284"/>
    </row>
    <row r="251" spans="1:37" ht="12.75" customHeight="1" x14ac:dyDescent="0.45">
      <c r="A251" s="334" t="s">
        <v>459</v>
      </c>
      <c r="B251" s="335"/>
      <c r="C251" s="335"/>
      <c r="E251" s="335"/>
      <c r="F251" s="335"/>
      <c r="G251" s="335"/>
      <c r="H251" s="335"/>
      <c r="I251" s="335"/>
      <c r="J251" s="284"/>
      <c r="K251" s="284"/>
      <c r="L251" s="284"/>
      <c r="M251" s="284"/>
      <c r="N251" s="333"/>
      <c r="O251" s="284"/>
      <c r="P251" s="284"/>
      <c r="Q251" s="284"/>
      <c r="R251" s="284"/>
      <c r="S251" s="284"/>
      <c r="T251" s="284"/>
      <c r="U251" s="284"/>
      <c r="V251" s="284"/>
      <c r="W251" s="284"/>
      <c r="X251" s="284"/>
      <c r="Y251" s="284"/>
      <c r="Z251" s="284"/>
      <c r="AA251" s="284"/>
      <c r="AB251" s="284"/>
      <c r="AC251" s="284"/>
      <c r="AD251" s="284"/>
      <c r="AE251" s="284"/>
      <c r="AF251" s="284"/>
      <c r="AG251" s="284"/>
      <c r="AH251" s="284"/>
      <c r="AI251" s="284"/>
      <c r="AJ251" s="284"/>
      <c r="AK251" s="284"/>
    </row>
    <row r="252" spans="1:37" ht="12.75" customHeight="1" x14ac:dyDescent="0.45">
      <c r="A252" s="334" t="s">
        <v>397</v>
      </c>
      <c r="B252" s="335"/>
      <c r="C252" s="335"/>
      <c r="E252" s="335"/>
      <c r="F252" s="335"/>
      <c r="G252" s="335"/>
      <c r="H252" s="335"/>
      <c r="I252" s="335"/>
      <c r="J252" s="284"/>
      <c r="K252" s="284"/>
      <c r="L252" s="284"/>
      <c r="M252" s="284"/>
      <c r="N252" s="333"/>
      <c r="O252" s="284"/>
      <c r="P252" s="284"/>
      <c r="Q252" s="284"/>
      <c r="R252" s="284"/>
      <c r="S252" s="284"/>
      <c r="T252" s="284"/>
      <c r="U252" s="284"/>
      <c r="V252" s="284"/>
      <c r="W252" s="284"/>
      <c r="X252" s="284"/>
      <c r="Y252" s="284"/>
      <c r="Z252" s="284"/>
      <c r="AA252" s="284"/>
      <c r="AB252" s="284"/>
      <c r="AC252" s="284"/>
      <c r="AD252" s="284"/>
      <c r="AE252" s="284"/>
      <c r="AF252" s="284"/>
      <c r="AG252" s="284"/>
      <c r="AH252" s="284"/>
      <c r="AI252" s="284"/>
      <c r="AJ252" s="284"/>
      <c r="AK252" s="284"/>
    </row>
    <row r="253" spans="1:37" ht="12.75" customHeight="1" x14ac:dyDescent="0.45">
      <c r="A253" s="334"/>
      <c r="B253" s="334" t="s">
        <v>441</v>
      </c>
      <c r="C253" s="335"/>
      <c r="E253" s="335"/>
      <c r="F253" s="335"/>
      <c r="G253" s="335"/>
      <c r="H253" s="335"/>
      <c r="I253" s="335"/>
      <c r="J253" s="284"/>
      <c r="K253" s="284"/>
      <c r="L253" s="284"/>
      <c r="M253" s="284"/>
      <c r="N253" s="333"/>
      <c r="O253" s="284"/>
      <c r="P253" s="284"/>
      <c r="Q253" s="284"/>
      <c r="R253" s="284"/>
      <c r="S253" s="284"/>
      <c r="T253" s="284"/>
      <c r="U253" s="284"/>
      <c r="V253" s="284"/>
      <c r="W253" s="284"/>
      <c r="X253" s="284"/>
      <c r="Y253" s="284"/>
      <c r="Z253" s="284"/>
      <c r="AA253" s="284"/>
      <c r="AB253" s="284"/>
      <c r="AC253" s="284"/>
      <c r="AD253" s="284"/>
      <c r="AE253" s="284"/>
      <c r="AF253" s="284"/>
      <c r="AG253" s="284"/>
      <c r="AH253" s="284"/>
      <c r="AI253" s="284"/>
      <c r="AJ253" s="284"/>
      <c r="AK253" s="284"/>
    </row>
    <row r="254" spans="1:37" ht="12.75" customHeight="1" x14ac:dyDescent="0.45">
      <c r="A254" s="335"/>
      <c r="B254" s="335"/>
      <c r="C254" s="335" t="s">
        <v>460</v>
      </c>
      <c r="E254" s="392" t="s">
        <v>814</v>
      </c>
      <c r="F254" s="335"/>
      <c r="G254" s="396">
        <f>G29</f>
        <v>0</v>
      </c>
      <c r="H254" s="396">
        <f t="shared" ref="H254:AA254" si="91">H29</f>
        <v>0</v>
      </c>
      <c r="I254" s="396">
        <f t="shared" si="91"/>
        <v>0</v>
      </c>
      <c r="J254" s="396">
        <f t="shared" si="91"/>
        <v>0</v>
      </c>
      <c r="K254" s="396">
        <f t="shared" si="91"/>
        <v>0</v>
      </c>
      <c r="L254" s="396">
        <f t="shared" si="91"/>
        <v>0</v>
      </c>
      <c r="M254" s="396">
        <f t="shared" si="91"/>
        <v>0</v>
      </c>
      <c r="N254" s="396">
        <f t="shared" si="91"/>
        <v>0</v>
      </c>
      <c r="O254" s="396">
        <f t="shared" si="91"/>
        <v>0</v>
      </c>
      <c r="P254" s="396">
        <f t="shared" si="91"/>
        <v>0</v>
      </c>
      <c r="Q254" s="396">
        <f t="shared" si="91"/>
        <v>0</v>
      </c>
      <c r="R254" s="396">
        <f t="shared" si="91"/>
        <v>0</v>
      </c>
      <c r="S254" s="396">
        <f t="shared" si="91"/>
        <v>0</v>
      </c>
      <c r="T254" s="396">
        <f t="shared" si="91"/>
        <v>0</v>
      </c>
      <c r="U254" s="396">
        <f t="shared" si="91"/>
        <v>0</v>
      </c>
      <c r="V254" s="396">
        <f t="shared" si="91"/>
        <v>0</v>
      </c>
      <c r="W254" s="396">
        <f t="shared" si="91"/>
        <v>0</v>
      </c>
      <c r="X254" s="396">
        <f t="shared" si="91"/>
        <v>0</v>
      </c>
      <c r="Y254" s="396">
        <f t="shared" si="91"/>
        <v>0</v>
      </c>
      <c r="Z254" s="396">
        <f t="shared" si="91"/>
        <v>0</v>
      </c>
      <c r="AA254" s="396">
        <f t="shared" si="91"/>
        <v>0</v>
      </c>
      <c r="AB254" s="284"/>
      <c r="AC254" s="284"/>
      <c r="AD254" s="284"/>
      <c r="AE254" s="284"/>
      <c r="AF254" s="284"/>
      <c r="AG254" s="284"/>
      <c r="AH254" s="284"/>
      <c r="AI254" s="284"/>
      <c r="AJ254" s="284"/>
      <c r="AK254" s="284"/>
    </row>
    <row r="255" spans="1:37" ht="12.75" customHeight="1" x14ac:dyDescent="0.45">
      <c r="A255" s="335"/>
      <c r="B255" s="335"/>
      <c r="C255" s="335" t="s">
        <v>461</v>
      </c>
      <c r="E255" s="392" t="s">
        <v>814</v>
      </c>
      <c r="F255" s="335"/>
      <c r="G255" s="398"/>
      <c r="H255" s="398"/>
      <c r="I255" s="398"/>
      <c r="J255" s="398"/>
      <c r="K255" s="398"/>
      <c r="L255" s="398"/>
      <c r="M255" s="398"/>
      <c r="N255" s="398"/>
      <c r="O255" s="398"/>
      <c r="P255" s="398"/>
      <c r="Q255" s="398"/>
      <c r="R255" s="398"/>
      <c r="S255" s="398"/>
      <c r="T255" s="398"/>
      <c r="U255" s="398"/>
      <c r="V255" s="398"/>
      <c r="W255" s="398"/>
      <c r="X255" s="398"/>
      <c r="Y255" s="398"/>
      <c r="Z255" s="398"/>
      <c r="AA255" s="398"/>
      <c r="AB255" s="284"/>
      <c r="AC255" s="284"/>
      <c r="AD255" s="284"/>
      <c r="AE255" s="284"/>
      <c r="AF255" s="284"/>
      <c r="AG255" s="284"/>
      <c r="AH255" s="284"/>
      <c r="AI255" s="284"/>
      <c r="AJ255" s="284"/>
      <c r="AK255" s="284"/>
    </row>
    <row r="256" spans="1:37" ht="12.75" customHeight="1" x14ac:dyDescent="0.45">
      <c r="A256" s="335"/>
      <c r="B256" s="335"/>
      <c r="C256" s="335" t="s">
        <v>462</v>
      </c>
      <c r="E256" s="392" t="s">
        <v>814</v>
      </c>
      <c r="F256" s="335"/>
      <c r="G256" s="398"/>
      <c r="H256" s="398"/>
      <c r="I256" s="398"/>
      <c r="J256" s="398"/>
      <c r="K256" s="398"/>
      <c r="L256" s="398"/>
      <c r="M256" s="398"/>
      <c r="N256" s="398"/>
      <c r="O256" s="398"/>
      <c r="P256" s="398"/>
      <c r="Q256" s="398"/>
      <c r="R256" s="398"/>
      <c r="S256" s="398"/>
      <c r="T256" s="398"/>
      <c r="U256" s="398"/>
      <c r="V256" s="398"/>
      <c r="W256" s="398"/>
      <c r="X256" s="398"/>
      <c r="Y256" s="398"/>
      <c r="Z256" s="398"/>
      <c r="AA256" s="398"/>
      <c r="AB256" s="284"/>
      <c r="AC256" s="284"/>
      <c r="AD256" s="284"/>
      <c r="AE256" s="284"/>
      <c r="AF256" s="284"/>
      <c r="AG256" s="284"/>
      <c r="AH256" s="284"/>
      <c r="AI256" s="284"/>
      <c r="AJ256" s="284"/>
      <c r="AK256" s="284"/>
    </row>
    <row r="257" spans="1:37" ht="12.75" customHeight="1" x14ac:dyDescent="0.45">
      <c r="A257" s="335"/>
      <c r="B257" s="335"/>
      <c r="C257" s="335" t="s">
        <v>463</v>
      </c>
      <c r="E257" s="392" t="s">
        <v>814</v>
      </c>
      <c r="F257" s="394">
        <v>0.2</v>
      </c>
      <c r="G257" s="396">
        <f>F257*G256</f>
        <v>0</v>
      </c>
      <c r="H257" s="396">
        <f t="shared" ref="H257:AA257" si="92">G257*H256</f>
        <v>0</v>
      </c>
      <c r="I257" s="396">
        <f t="shared" si="92"/>
        <v>0</v>
      </c>
      <c r="J257" s="396">
        <f t="shared" si="92"/>
        <v>0</v>
      </c>
      <c r="K257" s="396">
        <f t="shared" si="92"/>
        <v>0</v>
      </c>
      <c r="L257" s="396">
        <f t="shared" si="92"/>
        <v>0</v>
      </c>
      <c r="M257" s="396">
        <f t="shared" si="92"/>
        <v>0</v>
      </c>
      <c r="N257" s="396">
        <f t="shared" si="92"/>
        <v>0</v>
      </c>
      <c r="O257" s="396">
        <f t="shared" si="92"/>
        <v>0</v>
      </c>
      <c r="P257" s="396">
        <f t="shared" si="92"/>
        <v>0</v>
      </c>
      <c r="Q257" s="396">
        <f t="shared" si="92"/>
        <v>0</v>
      </c>
      <c r="R257" s="396">
        <f t="shared" si="92"/>
        <v>0</v>
      </c>
      <c r="S257" s="396">
        <f t="shared" si="92"/>
        <v>0</v>
      </c>
      <c r="T257" s="396">
        <f t="shared" si="92"/>
        <v>0</v>
      </c>
      <c r="U257" s="396">
        <f t="shared" si="92"/>
        <v>0</v>
      </c>
      <c r="V257" s="396">
        <f t="shared" si="92"/>
        <v>0</v>
      </c>
      <c r="W257" s="396">
        <f t="shared" si="92"/>
        <v>0</v>
      </c>
      <c r="X257" s="396">
        <f t="shared" si="92"/>
        <v>0</v>
      </c>
      <c r="Y257" s="396">
        <f t="shared" si="92"/>
        <v>0</v>
      </c>
      <c r="Z257" s="396">
        <f t="shared" si="92"/>
        <v>0</v>
      </c>
      <c r="AA257" s="396">
        <f t="shared" si="92"/>
        <v>0</v>
      </c>
      <c r="AB257" s="284"/>
      <c r="AC257" s="284"/>
      <c r="AD257" s="284"/>
      <c r="AE257" s="284"/>
      <c r="AF257" s="284"/>
      <c r="AG257" s="284"/>
      <c r="AH257" s="284"/>
      <c r="AI257" s="284"/>
      <c r="AJ257" s="284"/>
      <c r="AK257" s="284"/>
    </row>
    <row r="258" spans="1:37" ht="12.75" customHeight="1" x14ac:dyDescent="0.45">
      <c r="A258" s="335"/>
      <c r="B258" s="335"/>
      <c r="C258" s="335" t="s">
        <v>464</v>
      </c>
      <c r="E258" s="392"/>
      <c r="F258" s="335"/>
      <c r="G258" s="398"/>
      <c r="H258" s="398"/>
      <c r="I258" s="398"/>
      <c r="J258" s="398"/>
      <c r="K258" s="398"/>
      <c r="L258" s="398"/>
      <c r="M258" s="398"/>
      <c r="N258" s="398"/>
      <c r="O258" s="398"/>
      <c r="P258" s="398"/>
      <c r="Q258" s="398"/>
      <c r="R258" s="398"/>
      <c r="S258" s="398"/>
      <c r="T258" s="398"/>
      <c r="U258" s="398"/>
      <c r="V258" s="398"/>
      <c r="W258" s="398"/>
      <c r="X258" s="398"/>
      <c r="Y258" s="398"/>
      <c r="Z258" s="398"/>
      <c r="AA258" s="398"/>
      <c r="AB258" s="284"/>
      <c r="AC258" s="284"/>
      <c r="AD258" s="284"/>
      <c r="AE258" s="284"/>
      <c r="AF258" s="284"/>
      <c r="AG258" s="284"/>
      <c r="AH258" s="284"/>
      <c r="AI258" s="284"/>
      <c r="AJ258" s="284"/>
      <c r="AK258" s="284"/>
    </row>
    <row r="259" spans="1:37" ht="12.75" customHeight="1" x14ac:dyDescent="0.45">
      <c r="A259" s="335"/>
      <c r="B259" s="335"/>
      <c r="C259" s="335" t="s">
        <v>465</v>
      </c>
      <c r="E259" s="392"/>
      <c r="F259" s="335"/>
      <c r="G259" s="398"/>
      <c r="H259" s="398"/>
      <c r="I259" s="398"/>
      <c r="J259" s="398"/>
      <c r="K259" s="398"/>
      <c r="L259" s="398"/>
      <c r="M259" s="398"/>
      <c r="N259" s="398"/>
      <c r="O259" s="398"/>
      <c r="P259" s="398"/>
      <c r="Q259" s="398"/>
      <c r="R259" s="398"/>
      <c r="S259" s="398"/>
      <c r="T259" s="398"/>
      <c r="U259" s="398"/>
      <c r="V259" s="398"/>
      <c r="W259" s="398"/>
      <c r="X259" s="398"/>
      <c r="Y259" s="398"/>
      <c r="Z259" s="398"/>
      <c r="AA259" s="398"/>
      <c r="AB259" s="284"/>
      <c r="AC259" s="284"/>
      <c r="AD259" s="284"/>
      <c r="AE259" s="284"/>
      <c r="AF259" s="284"/>
      <c r="AG259" s="284"/>
      <c r="AH259" s="284"/>
      <c r="AI259" s="284"/>
      <c r="AJ259" s="284"/>
      <c r="AK259" s="284"/>
    </row>
    <row r="260" spans="1:37" ht="12.75" customHeight="1" x14ac:dyDescent="0.45">
      <c r="A260" s="335"/>
      <c r="B260" s="335"/>
      <c r="C260" s="335" t="s">
        <v>444</v>
      </c>
      <c r="E260" s="394">
        <v>0.08</v>
      </c>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284"/>
      <c r="AC260" s="284"/>
      <c r="AD260" s="284"/>
      <c r="AE260" s="284"/>
      <c r="AF260" s="284"/>
      <c r="AG260" s="284"/>
      <c r="AH260" s="284"/>
      <c r="AI260" s="284"/>
      <c r="AJ260" s="284"/>
      <c r="AK260" s="284"/>
    </row>
    <row r="261" spans="1:37" ht="12.75" customHeight="1" x14ac:dyDescent="0.45">
      <c r="A261" s="335"/>
      <c r="B261" s="335"/>
      <c r="C261" s="335" t="s">
        <v>466</v>
      </c>
      <c r="E261" s="395">
        <v>2027</v>
      </c>
      <c r="F261" s="392"/>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284"/>
      <c r="AC261" s="284"/>
      <c r="AD261" s="284"/>
      <c r="AE261" s="284"/>
      <c r="AF261" s="284"/>
      <c r="AG261" s="284"/>
      <c r="AH261" s="284"/>
      <c r="AI261" s="284"/>
      <c r="AJ261" s="284"/>
      <c r="AK261" s="284"/>
    </row>
    <row r="262" spans="1:37" ht="12.75" customHeight="1" x14ac:dyDescent="0.45">
      <c r="A262" s="335"/>
      <c r="B262" s="335"/>
      <c r="C262" s="335" t="s">
        <v>445</v>
      </c>
      <c r="E262" s="395">
        <v>2027</v>
      </c>
      <c r="F262" s="392"/>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284"/>
      <c r="AC262" s="284"/>
      <c r="AD262" s="284"/>
      <c r="AE262" s="284"/>
      <c r="AF262" s="284"/>
      <c r="AG262" s="284"/>
      <c r="AH262" s="284"/>
      <c r="AI262" s="284"/>
      <c r="AJ262" s="284"/>
      <c r="AK262" s="284"/>
    </row>
    <row r="263" spans="1:37" ht="12.75" customHeight="1" x14ac:dyDescent="0.45">
      <c r="A263" s="335"/>
      <c r="B263" s="335"/>
      <c r="C263" s="335" t="s">
        <v>467</v>
      </c>
      <c r="E263" s="395">
        <v>2020</v>
      </c>
      <c r="F263" s="392"/>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284"/>
      <c r="AC263" s="284"/>
      <c r="AD263" s="284"/>
      <c r="AE263" s="284"/>
      <c r="AF263" s="284"/>
      <c r="AG263" s="284"/>
      <c r="AH263" s="284"/>
      <c r="AI263" s="284"/>
      <c r="AJ263" s="284"/>
      <c r="AK263" s="284"/>
    </row>
    <row r="264" spans="1:37" ht="12.75" customHeight="1" x14ac:dyDescent="0.45">
      <c r="A264" s="335"/>
      <c r="B264" s="334" t="s">
        <v>468</v>
      </c>
      <c r="C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284"/>
      <c r="AC264" s="284"/>
      <c r="AD264" s="284"/>
      <c r="AE264" s="284"/>
      <c r="AF264" s="284"/>
      <c r="AG264" s="284"/>
      <c r="AH264" s="284"/>
      <c r="AI264" s="284"/>
      <c r="AJ264" s="284"/>
      <c r="AK264" s="284"/>
    </row>
    <row r="265" spans="1:37" ht="12.75" customHeight="1" x14ac:dyDescent="0.45">
      <c r="A265" s="335"/>
      <c r="B265" s="335"/>
      <c r="C265" s="335" t="s">
        <v>469</v>
      </c>
      <c r="E265" s="392" t="s">
        <v>814</v>
      </c>
      <c r="F265" s="335"/>
      <c r="G265" s="396">
        <f>F270</f>
        <v>0</v>
      </c>
      <c r="H265" s="396">
        <f t="shared" ref="H265:AA265" si="93">G270</f>
        <v>0</v>
      </c>
      <c r="I265" s="396">
        <f t="shared" si="93"/>
        <v>0</v>
      </c>
      <c r="J265" s="396">
        <f t="shared" si="93"/>
        <v>0</v>
      </c>
      <c r="K265" s="396">
        <f t="shared" si="93"/>
        <v>0</v>
      </c>
      <c r="L265" s="396">
        <f t="shared" si="93"/>
        <v>0</v>
      </c>
      <c r="M265" s="396">
        <f t="shared" si="93"/>
        <v>0</v>
      </c>
      <c r="N265" s="396">
        <f t="shared" si="93"/>
        <v>0</v>
      </c>
      <c r="O265" s="396">
        <f t="shared" si="93"/>
        <v>0</v>
      </c>
      <c r="P265" s="396">
        <f t="shared" si="93"/>
        <v>0</v>
      </c>
      <c r="Q265" s="396">
        <f t="shared" si="93"/>
        <v>0</v>
      </c>
      <c r="R265" s="396">
        <f t="shared" si="93"/>
        <v>0</v>
      </c>
      <c r="S265" s="396">
        <f t="shared" si="93"/>
        <v>0</v>
      </c>
      <c r="T265" s="396">
        <f t="shared" si="93"/>
        <v>0</v>
      </c>
      <c r="U265" s="396">
        <f t="shared" si="93"/>
        <v>0</v>
      </c>
      <c r="V265" s="396">
        <f t="shared" si="93"/>
        <v>0</v>
      </c>
      <c r="W265" s="396">
        <f t="shared" si="93"/>
        <v>0</v>
      </c>
      <c r="X265" s="396">
        <f t="shared" si="93"/>
        <v>0</v>
      </c>
      <c r="Y265" s="396">
        <f t="shared" si="93"/>
        <v>0</v>
      </c>
      <c r="Z265" s="396">
        <f t="shared" si="93"/>
        <v>0</v>
      </c>
      <c r="AA265" s="396">
        <f t="shared" si="93"/>
        <v>0</v>
      </c>
      <c r="AB265" s="284"/>
      <c r="AC265" s="284"/>
      <c r="AD265" s="284"/>
      <c r="AE265" s="284"/>
      <c r="AF265" s="284"/>
      <c r="AG265" s="284"/>
      <c r="AH265" s="284"/>
      <c r="AI265" s="284"/>
      <c r="AJ265" s="284"/>
      <c r="AK265" s="284"/>
    </row>
    <row r="266" spans="1:37" ht="12.75" customHeight="1" x14ac:dyDescent="0.45">
      <c r="A266" s="335"/>
      <c r="B266" s="335"/>
      <c r="C266" s="335" t="s">
        <v>470</v>
      </c>
      <c r="E266" s="392" t="s">
        <v>814</v>
      </c>
      <c r="F266" s="335"/>
      <c r="G266" s="396">
        <f t="shared" ref="G266:AA266" si="94">G254</f>
        <v>0</v>
      </c>
      <c r="H266" s="396">
        <f t="shared" si="94"/>
        <v>0</v>
      </c>
      <c r="I266" s="396">
        <f t="shared" si="94"/>
        <v>0</v>
      </c>
      <c r="J266" s="396">
        <f t="shared" si="94"/>
        <v>0</v>
      </c>
      <c r="K266" s="396">
        <f t="shared" si="94"/>
        <v>0</v>
      </c>
      <c r="L266" s="396">
        <f t="shared" si="94"/>
        <v>0</v>
      </c>
      <c r="M266" s="396">
        <f t="shared" si="94"/>
        <v>0</v>
      </c>
      <c r="N266" s="396">
        <f t="shared" si="94"/>
        <v>0</v>
      </c>
      <c r="O266" s="396">
        <f t="shared" si="94"/>
        <v>0</v>
      </c>
      <c r="P266" s="396">
        <f t="shared" si="94"/>
        <v>0</v>
      </c>
      <c r="Q266" s="396">
        <f t="shared" si="94"/>
        <v>0</v>
      </c>
      <c r="R266" s="396">
        <f t="shared" si="94"/>
        <v>0</v>
      </c>
      <c r="S266" s="396">
        <f t="shared" si="94"/>
        <v>0</v>
      </c>
      <c r="T266" s="396">
        <f t="shared" si="94"/>
        <v>0</v>
      </c>
      <c r="U266" s="396">
        <f t="shared" si="94"/>
        <v>0</v>
      </c>
      <c r="V266" s="396">
        <f t="shared" si="94"/>
        <v>0</v>
      </c>
      <c r="W266" s="396">
        <f t="shared" si="94"/>
        <v>0</v>
      </c>
      <c r="X266" s="396">
        <f t="shared" si="94"/>
        <v>0</v>
      </c>
      <c r="Y266" s="396">
        <f t="shared" si="94"/>
        <v>0</v>
      </c>
      <c r="Z266" s="396">
        <f t="shared" si="94"/>
        <v>0</v>
      </c>
      <c r="AA266" s="396">
        <f t="shared" si="94"/>
        <v>0</v>
      </c>
      <c r="AB266" s="284"/>
      <c r="AC266" s="284"/>
      <c r="AD266" s="284"/>
      <c r="AE266" s="284"/>
      <c r="AF266" s="284"/>
      <c r="AG266" s="284"/>
      <c r="AH266" s="284"/>
      <c r="AI266" s="284"/>
      <c r="AJ266" s="284"/>
      <c r="AK266" s="284"/>
    </row>
    <row r="267" spans="1:37" ht="12.75" customHeight="1" x14ac:dyDescent="0.45">
      <c r="A267" s="335"/>
      <c r="B267" s="335"/>
      <c r="C267" s="335" t="s">
        <v>451</v>
      </c>
      <c r="E267" s="392" t="s">
        <v>814</v>
      </c>
      <c r="F267" s="335"/>
      <c r="G267" s="396">
        <f t="shared" ref="G267:AA267" si="95">G274</f>
        <v>0</v>
      </c>
      <c r="H267" s="396">
        <f t="shared" si="95"/>
        <v>0</v>
      </c>
      <c r="I267" s="396">
        <f t="shared" si="95"/>
        <v>0</v>
      </c>
      <c r="J267" s="396">
        <f t="shared" si="95"/>
        <v>0</v>
      </c>
      <c r="K267" s="396">
        <f t="shared" si="95"/>
        <v>0</v>
      </c>
      <c r="L267" s="396">
        <f t="shared" si="95"/>
        <v>0</v>
      </c>
      <c r="M267" s="396">
        <f t="shared" si="95"/>
        <v>0</v>
      </c>
      <c r="N267" s="396">
        <f t="shared" si="95"/>
        <v>0</v>
      </c>
      <c r="O267" s="396">
        <f t="shared" si="95"/>
        <v>0</v>
      </c>
      <c r="P267" s="396">
        <f t="shared" si="95"/>
        <v>0</v>
      </c>
      <c r="Q267" s="396">
        <f t="shared" si="95"/>
        <v>0</v>
      </c>
      <c r="R267" s="396">
        <f t="shared" si="95"/>
        <v>0</v>
      </c>
      <c r="S267" s="396">
        <f t="shared" si="95"/>
        <v>0</v>
      </c>
      <c r="T267" s="396">
        <f t="shared" si="95"/>
        <v>0</v>
      </c>
      <c r="U267" s="396">
        <f t="shared" si="95"/>
        <v>0</v>
      </c>
      <c r="V267" s="396">
        <f t="shared" si="95"/>
        <v>0</v>
      </c>
      <c r="W267" s="396">
        <f t="shared" si="95"/>
        <v>0</v>
      </c>
      <c r="X267" s="396">
        <f t="shared" si="95"/>
        <v>0</v>
      </c>
      <c r="Y267" s="396">
        <f t="shared" si="95"/>
        <v>0</v>
      </c>
      <c r="Z267" s="396">
        <f t="shared" si="95"/>
        <v>0</v>
      </c>
      <c r="AA267" s="396">
        <f t="shared" si="95"/>
        <v>0</v>
      </c>
      <c r="AB267" s="284"/>
      <c r="AC267" s="284"/>
      <c r="AD267" s="284"/>
      <c r="AE267" s="284"/>
      <c r="AF267" s="284"/>
      <c r="AG267" s="284"/>
      <c r="AH267" s="284"/>
      <c r="AI267" s="284"/>
      <c r="AJ267" s="284"/>
      <c r="AK267" s="284"/>
    </row>
    <row r="268" spans="1:37" ht="12.75" customHeight="1" x14ac:dyDescent="0.45">
      <c r="A268" s="335"/>
      <c r="B268" s="335"/>
      <c r="C268" s="335" t="s">
        <v>471</v>
      </c>
      <c r="E268" s="392" t="s">
        <v>814</v>
      </c>
      <c r="F268" s="335"/>
      <c r="G268" s="396">
        <f t="shared" ref="G268:P268" si="96">G255+(IF(G$2=$E262,G265+G267-G255,0))</f>
        <v>0</v>
      </c>
      <c r="H268" s="396">
        <f t="shared" si="96"/>
        <v>0</v>
      </c>
      <c r="I268" s="396">
        <f t="shared" si="96"/>
        <v>0</v>
      </c>
      <c r="J268" s="396">
        <f t="shared" si="96"/>
        <v>0</v>
      </c>
      <c r="K268" s="396">
        <f t="shared" si="96"/>
        <v>0</v>
      </c>
      <c r="L268" s="396">
        <f t="shared" si="96"/>
        <v>0</v>
      </c>
      <c r="M268" s="396">
        <f t="shared" si="96"/>
        <v>0</v>
      </c>
      <c r="N268" s="396">
        <f t="shared" si="96"/>
        <v>0</v>
      </c>
      <c r="O268" s="396">
        <f t="shared" si="96"/>
        <v>0</v>
      </c>
      <c r="P268" s="396">
        <f t="shared" si="96"/>
        <v>0</v>
      </c>
      <c r="Q268" s="396">
        <f>Q255+(IF(Q$2=$E262,Q265+Q267-Q255,0))</f>
        <v>0</v>
      </c>
      <c r="R268" s="396">
        <f t="shared" ref="R268:AA268" si="97">R255+(IF(R$2=$E262,R265+R267-R255,0))</f>
        <v>0</v>
      </c>
      <c r="S268" s="396">
        <f t="shared" si="97"/>
        <v>0</v>
      </c>
      <c r="T268" s="396">
        <f t="shared" si="97"/>
        <v>0</v>
      </c>
      <c r="U268" s="396">
        <f t="shared" si="97"/>
        <v>0</v>
      </c>
      <c r="V268" s="396">
        <f t="shared" si="97"/>
        <v>0</v>
      </c>
      <c r="W268" s="396">
        <f t="shared" si="97"/>
        <v>0</v>
      </c>
      <c r="X268" s="396">
        <f t="shared" si="97"/>
        <v>0</v>
      </c>
      <c r="Y268" s="396">
        <f t="shared" si="97"/>
        <v>0</v>
      </c>
      <c r="Z268" s="396">
        <f t="shared" si="97"/>
        <v>0</v>
      </c>
      <c r="AA268" s="396">
        <f t="shared" si="97"/>
        <v>0</v>
      </c>
      <c r="AB268" s="284"/>
      <c r="AC268" s="284"/>
      <c r="AD268" s="284"/>
      <c r="AE268" s="284"/>
      <c r="AF268" s="284"/>
      <c r="AG268" s="284"/>
      <c r="AH268" s="284"/>
      <c r="AI268" s="284"/>
      <c r="AJ268" s="284"/>
      <c r="AK268" s="284"/>
    </row>
    <row r="269" spans="1:37" ht="12.75" customHeight="1" x14ac:dyDescent="0.45">
      <c r="A269" s="335"/>
      <c r="B269" s="335"/>
      <c r="C269" s="335" t="s">
        <v>472</v>
      </c>
      <c r="E269" s="392" t="s">
        <v>814</v>
      </c>
      <c r="F269" s="335"/>
      <c r="G269" s="399">
        <f t="shared" ref="G269:P269" si="98">(IF(G$2=$E261,G265+G267-G268-G255,0))</f>
        <v>0</v>
      </c>
      <c r="H269" s="399">
        <f t="shared" si="98"/>
        <v>0</v>
      </c>
      <c r="I269" s="399">
        <f t="shared" si="98"/>
        <v>0</v>
      </c>
      <c r="J269" s="399">
        <f t="shared" si="98"/>
        <v>0</v>
      </c>
      <c r="K269" s="399">
        <f t="shared" si="98"/>
        <v>0</v>
      </c>
      <c r="L269" s="399">
        <f t="shared" si="98"/>
        <v>0</v>
      </c>
      <c r="M269" s="399">
        <f t="shared" si="98"/>
        <v>0</v>
      </c>
      <c r="N269" s="399">
        <f t="shared" si="98"/>
        <v>0</v>
      </c>
      <c r="O269" s="399">
        <f t="shared" si="98"/>
        <v>0</v>
      </c>
      <c r="P269" s="399">
        <f t="shared" si="98"/>
        <v>0</v>
      </c>
      <c r="Q269" s="399">
        <f>(IF(Q$2=$E261,Q265+Q267-Q268-Q255,0))</f>
        <v>0</v>
      </c>
      <c r="R269" s="399">
        <f t="shared" ref="R269:AA269" si="99">(IF(R$2=$E261,R265+R267-R268-R255,0))</f>
        <v>0</v>
      </c>
      <c r="S269" s="399">
        <f t="shared" si="99"/>
        <v>0</v>
      </c>
      <c r="T269" s="399">
        <f t="shared" si="99"/>
        <v>0</v>
      </c>
      <c r="U269" s="399">
        <f t="shared" si="99"/>
        <v>0</v>
      </c>
      <c r="V269" s="399">
        <f t="shared" si="99"/>
        <v>0</v>
      </c>
      <c r="W269" s="399">
        <f t="shared" si="99"/>
        <v>0</v>
      </c>
      <c r="X269" s="399">
        <f t="shared" si="99"/>
        <v>0</v>
      </c>
      <c r="Y269" s="399">
        <f t="shared" si="99"/>
        <v>0</v>
      </c>
      <c r="Z269" s="399">
        <f t="shared" si="99"/>
        <v>0</v>
      </c>
      <c r="AA269" s="399">
        <f t="shared" si="99"/>
        <v>0</v>
      </c>
      <c r="AB269" s="284"/>
      <c r="AC269" s="284"/>
      <c r="AD269" s="284"/>
      <c r="AE269" s="284"/>
      <c r="AF269" s="284"/>
      <c r="AG269" s="284"/>
      <c r="AH269" s="284"/>
      <c r="AI269" s="284"/>
      <c r="AJ269" s="284"/>
      <c r="AK269" s="284"/>
    </row>
    <row r="270" spans="1:37" ht="12.75" customHeight="1" x14ac:dyDescent="0.45">
      <c r="A270" s="335"/>
      <c r="B270" s="335"/>
      <c r="C270" s="335" t="s">
        <v>453</v>
      </c>
      <c r="E270" s="392" t="s">
        <v>814</v>
      </c>
      <c r="F270" s="393"/>
      <c r="G270" s="396">
        <f t="shared" ref="G270:AA270" si="100">G265+G266+G267-G268-G269</f>
        <v>0</v>
      </c>
      <c r="H270" s="396">
        <f t="shared" si="100"/>
        <v>0</v>
      </c>
      <c r="I270" s="396">
        <f t="shared" si="100"/>
        <v>0</v>
      </c>
      <c r="J270" s="396">
        <f t="shared" si="100"/>
        <v>0</v>
      </c>
      <c r="K270" s="396">
        <f t="shared" si="100"/>
        <v>0</v>
      </c>
      <c r="L270" s="396">
        <f t="shared" si="100"/>
        <v>0</v>
      </c>
      <c r="M270" s="396">
        <f t="shared" si="100"/>
        <v>0</v>
      </c>
      <c r="N270" s="396">
        <f t="shared" si="100"/>
        <v>0</v>
      </c>
      <c r="O270" s="396">
        <f t="shared" si="100"/>
        <v>0</v>
      </c>
      <c r="P270" s="396">
        <f t="shared" si="100"/>
        <v>0</v>
      </c>
      <c r="Q270" s="396">
        <f t="shared" si="100"/>
        <v>0</v>
      </c>
      <c r="R270" s="396">
        <f t="shared" si="100"/>
        <v>0</v>
      </c>
      <c r="S270" s="396">
        <f t="shared" si="100"/>
        <v>0</v>
      </c>
      <c r="T270" s="396">
        <f t="shared" si="100"/>
        <v>0</v>
      </c>
      <c r="U270" s="396">
        <f t="shared" si="100"/>
        <v>0</v>
      </c>
      <c r="V270" s="396">
        <f t="shared" si="100"/>
        <v>0</v>
      </c>
      <c r="W270" s="396">
        <f t="shared" si="100"/>
        <v>0</v>
      </c>
      <c r="X270" s="396">
        <f t="shared" si="100"/>
        <v>0</v>
      </c>
      <c r="Y270" s="396">
        <f t="shared" si="100"/>
        <v>0</v>
      </c>
      <c r="Z270" s="396">
        <f t="shared" si="100"/>
        <v>0</v>
      </c>
      <c r="AA270" s="396">
        <f t="shared" si="100"/>
        <v>0</v>
      </c>
      <c r="AB270" s="284"/>
      <c r="AC270" s="284"/>
      <c r="AD270" s="284"/>
      <c r="AE270" s="284"/>
      <c r="AF270" s="284"/>
      <c r="AG270" s="284"/>
      <c r="AH270" s="284"/>
      <c r="AI270" s="284"/>
      <c r="AJ270" s="284"/>
      <c r="AK270" s="284"/>
    </row>
    <row r="271" spans="1:37" ht="12.75" customHeight="1" x14ac:dyDescent="0.45">
      <c r="A271" s="335"/>
      <c r="B271" s="334" t="s">
        <v>28</v>
      </c>
      <c r="C271" s="335"/>
      <c r="E271" s="335"/>
      <c r="F271" s="335"/>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284"/>
      <c r="AC271" s="284"/>
      <c r="AD271" s="284"/>
      <c r="AE271" s="284"/>
      <c r="AF271" s="284"/>
      <c r="AG271" s="284"/>
      <c r="AH271" s="284"/>
      <c r="AI271" s="284"/>
      <c r="AJ271" s="284"/>
      <c r="AK271" s="284"/>
    </row>
    <row r="272" spans="1:37" ht="12.75" customHeight="1" x14ac:dyDescent="0.45">
      <c r="A272" s="335"/>
      <c r="B272" s="335"/>
      <c r="C272" s="335" t="s">
        <v>454</v>
      </c>
      <c r="E272" s="335"/>
      <c r="F272" s="335"/>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284"/>
      <c r="AC272" s="284"/>
      <c r="AD272" s="284"/>
      <c r="AE272" s="284"/>
      <c r="AF272" s="284"/>
      <c r="AG272" s="284"/>
      <c r="AH272" s="284"/>
      <c r="AI272" s="284"/>
      <c r="AJ272" s="284"/>
      <c r="AK272" s="284"/>
    </row>
    <row r="273" spans="1:37" ht="12.75" customHeight="1" x14ac:dyDescent="0.45">
      <c r="A273" s="335"/>
      <c r="B273" s="335"/>
      <c r="C273" s="335" t="s">
        <v>455</v>
      </c>
      <c r="E273" s="392" t="s">
        <v>814</v>
      </c>
      <c r="F273" s="335"/>
      <c r="G273" s="396">
        <f>(G265+G266)*$E260</f>
        <v>0</v>
      </c>
      <c r="H273" s="396">
        <f t="shared" ref="H273:AA273" si="101">(H265+H266)*$E260</f>
        <v>0</v>
      </c>
      <c r="I273" s="396">
        <f t="shared" si="101"/>
        <v>0</v>
      </c>
      <c r="J273" s="396">
        <f t="shared" si="101"/>
        <v>0</v>
      </c>
      <c r="K273" s="396">
        <f t="shared" si="101"/>
        <v>0</v>
      </c>
      <c r="L273" s="396">
        <f t="shared" si="101"/>
        <v>0</v>
      </c>
      <c r="M273" s="396">
        <f t="shared" si="101"/>
        <v>0</v>
      </c>
      <c r="N273" s="396">
        <f t="shared" si="101"/>
        <v>0</v>
      </c>
      <c r="O273" s="396">
        <f t="shared" si="101"/>
        <v>0</v>
      </c>
      <c r="P273" s="396">
        <f t="shared" si="101"/>
        <v>0</v>
      </c>
      <c r="Q273" s="396">
        <f t="shared" si="101"/>
        <v>0</v>
      </c>
      <c r="R273" s="396">
        <f t="shared" si="101"/>
        <v>0</v>
      </c>
      <c r="S273" s="396">
        <f t="shared" si="101"/>
        <v>0</v>
      </c>
      <c r="T273" s="396">
        <f t="shared" si="101"/>
        <v>0</v>
      </c>
      <c r="U273" s="396">
        <f t="shared" si="101"/>
        <v>0</v>
      </c>
      <c r="V273" s="396">
        <f t="shared" si="101"/>
        <v>0</v>
      </c>
      <c r="W273" s="396">
        <f t="shared" si="101"/>
        <v>0</v>
      </c>
      <c r="X273" s="396">
        <f t="shared" si="101"/>
        <v>0</v>
      </c>
      <c r="Y273" s="396">
        <f t="shared" si="101"/>
        <v>0</v>
      </c>
      <c r="Z273" s="396">
        <f t="shared" si="101"/>
        <v>0</v>
      </c>
      <c r="AA273" s="396">
        <f t="shared" si="101"/>
        <v>0</v>
      </c>
      <c r="AB273" s="284"/>
      <c r="AC273" s="284"/>
      <c r="AD273" s="284"/>
      <c r="AE273" s="284"/>
      <c r="AF273" s="284"/>
      <c r="AG273" s="284"/>
      <c r="AH273" s="284"/>
      <c r="AI273" s="284"/>
      <c r="AJ273" s="284"/>
      <c r="AK273" s="284"/>
    </row>
    <row r="274" spans="1:37" ht="12.75" customHeight="1" x14ac:dyDescent="0.45">
      <c r="A274" s="335"/>
      <c r="B274" s="335"/>
      <c r="C274" s="397" t="s">
        <v>456</v>
      </c>
      <c r="E274" s="392" t="s">
        <v>814</v>
      </c>
      <c r="F274" s="335"/>
      <c r="G274" s="396">
        <f>IF(G$2&lt;=$E263,G273,0)</f>
        <v>0</v>
      </c>
      <c r="H274" s="396">
        <f t="shared" ref="H274:AA274" si="102">IF(H$2&lt;=$E263,H273,0)</f>
        <v>0</v>
      </c>
      <c r="I274" s="396">
        <f t="shared" si="102"/>
        <v>0</v>
      </c>
      <c r="J274" s="396">
        <f t="shared" si="102"/>
        <v>0</v>
      </c>
      <c r="K274" s="396">
        <f t="shared" si="102"/>
        <v>0</v>
      </c>
      <c r="L274" s="396">
        <f t="shared" si="102"/>
        <v>0</v>
      </c>
      <c r="M274" s="396">
        <f t="shared" si="102"/>
        <v>0</v>
      </c>
      <c r="N274" s="396">
        <f t="shared" si="102"/>
        <v>0</v>
      </c>
      <c r="O274" s="396">
        <f t="shared" si="102"/>
        <v>0</v>
      </c>
      <c r="P274" s="396">
        <f t="shared" si="102"/>
        <v>0</v>
      </c>
      <c r="Q274" s="396">
        <f t="shared" si="102"/>
        <v>0</v>
      </c>
      <c r="R274" s="396">
        <f t="shared" si="102"/>
        <v>0</v>
      </c>
      <c r="S274" s="396">
        <f t="shared" si="102"/>
        <v>0</v>
      </c>
      <c r="T274" s="396">
        <f t="shared" si="102"/>
        <v>0</v>
      </c>
      <c r="U274" s="396">
        <f t="shared" si="102"/>
        <v>0</v>
      </c>
      <c r="V274" s="396">
        <f t="shared" si="102"/>
        <v>0</v>
      </c>
      <c r="W274" s="396">
        <f t="shared" si="102"/>
        <v>0</v>
      </c>
      <c r="X274" s="396">
        <f t="shared" si="102"/>
        <v>0</v>
      </c>
      <c r="Y274" s="396">
        <f t="shared" si="102"/>
        <v>0</v>
      </c>
      <c r="Z274" s="396">
        <f t="shared" si="102"/>
        <v>0</v>
      </c>
      <c r="AA274" s="396">
        <f t="shared" si="102"/>
        <v>0</v>
      </c>
      <c r="AB274" s="284"/>
      <c r="AC274" s="284"/>
      <c r="AD274" s="284"/>
      <c r="AE274" s="284"/>
      <c r="AF274" s="284"/>
      <c r="AG274" s="284"/>
      <c r="AH274" s="284"/>
      <c r="AI274" s="284"/>
      <c r="AJ274" s="284"/>
      <c r="AK274" s="284"/>
    </row>
    <row r="275" spans="1:37" ht="12.75" customHeight="1" x14ac:dyDescent="0.45">
      <c r="A275" s="335"/>
      <c r="B275" s="335"/>
      <c r="C275" s="397" t="s">
        <v>457</v>
      </c>
      <c r="E275" s="392" t="s">
        <v>814</v>
      </c>
      <c r="F275" s="335"/>
      <c r="G275" s="396">
        <f t="shared" ref="G275:AA275" si="103">G273-G274</f>
        <v>0</v>
      </c>
      <c r="H275" s="396">
        <f t="shared" si="103"/>
        <v>0</v>
      </c>
      <c r="I275" s="396">
        <f t="shared" si="103"/>
        <v>0</v>
      </c>
      <c r="J275" s="396">
        <f t="shared" si="103"/>
        <v>0</v>
      </c>
      <c r="K275" s="396">
        <f t="shared" si="103"/>
        <v>0</v>
      </c>
      <c r="L275" s="396">
        <f t="shared" si="103"/>
        <v>0</v>
      </c>
      <c r="M275" s="396">
        <f t="shared" si="103"/>
        <v>0</v>
      </c>
      <c r="N275" s="396">
        <f t="shared" si="103"/>
        <v>0</v>
      </c>
      <c r="O275" s="396">
        <f t="shared" si="103"/>
        <v>0</v>
      </c>
      <c r="P275" s="396">
        <f t="shared" si="103"/>
        <v>0</v>
      </c>
      <c r="Q275" s="396">
        <f t="shared" si="103"/>
        <v>0</v>
      </c>
      <c r="R275" s="396">
        <f t="shared" si="103"/>
        <v>0</v>
      </c>
      <c r="S275" s="396">
        <f t="shared" si="103"/>
        <v>0</v>
      </c>
      <c r="T275" s="396">
        <f t="shared" si="103"/>
        <v>0</v>
      </c>
      <c r="U275" s="396">
        <f t="shared" si="103"/>
        <v>0</v>
      </c>
      <c r="V275" s="396">
        <f t="shared" si="103"/>
        <v>0</v>
      </c>
      <c r="W275" s="396">
        <f t="shared" si="103"/>
        <v>0</v>
      </c>
      <c r="X275" s="396">
        <f t="shared" si="103"/>
        <v>0</v>
      </c>
      <c r="Y275" s="396">
        <f t="shared" si="103"/>
        <v>0</v>
      </c>
      <c r="Z275" s="396">
        <f t="shared" si="103"/>
        <v>0</v>
      </c>
      <c r="AA275" s="396">
        <f t="shared" si="103"/>
        <v>0</v>
      </c>
      <c r="AB275" s="284"/>
      <c r="AC275" s="284"/>
      <c r="AD275" s="284"/>
      <c r="AE275" s="284"/>
      <c r="AF275" s="284"/>
      <c r="AG275" s="284"/>
      <c r="AH275" s="284"/>
      <c r="AI275" s="284"/>
      <c r="AJ275" s="284"/>
      <c r="AK275" s="284"/>
    </row>
    <row r="276" spans="1:37" ht="12.75" customHeight="1" x14ac:dyDescent="0.45">
      <c r="A276" s="335" t="s">
        <v>473</v>
      </c>
      <c r="B276" s="334" t="s">
        <v>474</v>
      </c>
      <c r="C276" s="335"/>
      <c r="E276" s="392"/>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284"/>
      <c r="AC276" s="284"/>
      <c r="AD276" s="284"/>
      <c r="AE276" s="284"/>
      <c r="AF276" s="284"/>
      <c r="AG276" s="284"/>
      <c r="AH276" s="284"/>
      <c r="AI276" s="284"/>
      <c r="AJ276" s="284"/>
      <c r="AK276" s="284"/>
    </row>
    <row r="277" spans="1:37" ht="12.75" customHeight="1" x14ac:dyDescent="0.45">
      <c r="A277" s="335"/>
      <c r="B277" s="335"/>
      <c r="C277" s="335" t="s">
        <v>475</v>
      </c>
      <c r="E277" s="392" t="s">
        <v>814</v>
      </c>
      <c r="F277" s="335"/>
      <c r="G277" s="396">
        <f>F280</f>
        <v>0</v>
      </c>
      <c r="H277" s="396">
        <f t="shared" ref="H277:AA277" si="104">G280</f>
        <v>0</v>
      </c>
      <c r="I277" s="396">
        <f t="shared" si="104"/>
        <v>0</v>
      </c>
      <c r="J277" s="396">
        <f t="shared" si="104"/>
        <v>0</v>
      </c>
      <c r="K277" s="396">
        <f t="shared" si="104"/>
        <v>0</v>
      </c>
      <c r="L277" s="396">
        <f t="shared" si="104"/>
        <v>0</v>
      </c>
      <c r="M277" s="396">
        <f t="shared" si="104"/>
        <v>0</v>
      </c>
      <c r="N277" s="396">
        <f t="shared" si="104"/>
        <v>0</v>
      </c>
      <c r="O277" s="396">
        <f t="shared" si="104"/>
        <v>0</v>
      </c>
      <c r="P277" s="396">
        <f t="shared" si="104"/>
        <v>0</v>
      </c>
      <c r="Q277" s="396">
        <f t="shared" si="104"/>
        <v>0</v>
      </c>
      <c r="R277" s="396">
        <f t="shared" si="104"/>
        <v>0</v>
      </c>
      <c r="S277" s="396">
        <f t="shared" si="104"/>
        <v>0</v>
      </c>
      <c r="T277" s="396">
        <f t="shared" si="104"/>
        <v>0</v>
      </c>
      <c r="U277" s="396">
        <f t="shared" si="104"/>
        <v>0</v>
      </c>
      <c r="V277" s="396">
        <f t="shared" si="104"/>
        <v>0</v>
      </c>
      <c r="W277" s="396">
        <f t="shared" si="104"/>
        <v>0</v>
      </c>
      <c r="X277" s="396">
        <f t="shared" si="104"/>
        <v>0</v>
      </c>
      <c r="Y277" s="396">
        <f t="shared" si="104"/>
        <v>0</v>
      </c>
      <c r="Z277" s="396">
        <f t="shared" si="104"/>
        <v>0</v>
      </c>
      <c r="AA277" s="396">
        <f t="shared" si="104"/>
        <v>0</v>
      </c>
      <c r="AB277" s="284"/>
      <c r="AC277" s="284"/>
      <c r="AD277" s="284"/>
      <c r="AE277" s="284"/>
      <c r="AF277" s="284"/>
      <c r="AG277" s="284"/>
      <c r="AH277" s="284"/>
      <c r="AI277" s="284"/>
      <c r="AJ277" s="284"/>
      <c r="AK277" s="284"/>
    </row>
    <row r="278" spans="1:37" ht="12.75" customHeight="1" x14ac:dyDescent="0.45">
      <c r="A278" s="335"/>
      <c r="B278" s="335"/>
      <c r="C278" s="335" t="s">
        <v>476</v>
      </c>
      <c r="E278" s="392" t="s">
        <v>814</v>
      </c>
      <c r="F278" s="335"/>
      <c r="G278" s="396">
        <f t="shared" ref="G278:AA278" si="105">G269</f>
        <v>0</v>
      </c>
      <c r="H278" s="396">
        <f t="shared" si="105"/>
        <v>0</v>
      </c>
      <c r="I278" s="396">
        <f t="shared" si="105"/>
        <v>0</v>
      </c>
      <c r="J278" s="396">
        <f t="shared" si="105"/>
        <v>0</v>
      </c>
      <c r="K278" s="396">
        <f t="shared" si="105"/>
        <v>0</v>
      </c>
      <c r="L278" s="396">
        <f t="shared" si="105"/>
        <v>0</v>
      </c>
      <c r="M278" s="396">
        <f t="shared" si="105"/>
        <v>0</v>
      </c>
      <c r="N278" s="396">
        <f t="shared" si="105"/>
        <v>0</v>
      </c>
      <c r="O278" s="396">
        <f t="shared" si="105"/>
        <v>0</v>
      </c>
      <c r="P278" s="396">
        <f t="shared" si="105"/>
        <v>0</v>
      </c>
      <c r="Q278" s="396">
        <f t="shared" si="105"/>
        <v>0</v>
      </c>
      <c r="R278" s="396">
        <f t="shared" si="105"/>
        <v>0</v>
      </c>
      <c r="S278" s="396">
        <f t="shared" si="105"/>
        <v>0</v>
      </c>
      <c r="T278" s="396">
        <f t="shared" si="105"/>
        <v>0</v>
      </c>
      <c r="U278" s="396">
        <f t="shared" si="105"/>
        <v>0</v>
      </c>
      <c r="V278" s="396">
        <f t="shared" si="105"/>
        <v>0</v>
      </c>
      <c r="W278" s="396">
        <f t="shared" si="105"/>
        <v>0</v>
      </c>
      <c r="X278" s="396">
        <f t="shared" si="105"/>
        <v>0</v>
      </c>
      <c r="Y278" s="396">
        <f t="shared" si="105"/>
        <v>0</v>
      </c>
      <c r="Z278" s="396">
        <f t="shared" si="105"/>
        <v>0</v>
      </c>
      <c r="AA278" s="396">
        <f t="shared" si="105"/>
        <v>0</v>
      </c>
      <c r="AB278" s="284"/>
      <c r="AC278" s="284"/>
      <c r="AD278" s="284"/>
      <c r="AE278" s="284"/>
      <c r="AF278" s="284"/>
      <c r="AG278" s="284"/>
      <c r="AH278" s="284"/>
      <c r="AI278" s="284"/>
      <c r="AJ278" s="284"/>
      <c r="AK278" s="284"/>
    </row>
    <row r="279" spans="1:37" ht="12.75" customHeight="1" x14ac:dyDescent="0.45">
      <c r="A279" s="335"/>
      <c r="B279" s="335"/>
      <c r="C279" s="335" t="s">
        <v>477</v>
      </c>
      <c r="E279" s="392" t="s">
        <v>814</v>
      </c>
      <c r="F279" s="335"/>
      <c r="G279" s="396">
        <f>G256+G257</f>
        <v>0</v>
      </c>
      <c r="H279" s="396">
        <f t="shared" ref="H279:AA279" si="106">H256+H257</f>
        <v>0</v>
      </c>
      <c r="I279" s="396">
        <f t="shared" si="106"/>
        <v>0</v>
      </c>
      <c r="J279" s="396">
        <f t="shared" si="106"/>
        <v>0</v>
      </c>
      <c r="K279" s="396">
        <f t="shared" si="106"/>
        <v>0</v>
      </c>
      <c r="L279" s="396">
        <f t="shared" si="106"/>
        <v>0</v>
      </c>
      <c r="M279" s="396">
        <f t="shared" si="106"/>
        <v>0</v>
      </c>
      <c r="N279" s="396">
        <f t="shared" si="106"/>
        <v>0</v>
      </c>
      <c r="O279" s="396">
        <f t="shared" si="106"/>
        <v>0</v>
      </c>
      <c r="P279" s="396">
        <f t="shared" si="106"/>
        <v>0</v>
      </c>
      <c r="Q279" s="396">
        <f t="shared" si="106"/>
        <v>0</v>
      </c>
      <c r="R279" s="396">
        <f t="shared" si="106"/>
        <v>0</v>
      </c>
      <c r="S279" s="396">
        <f t="shared" si="106"/>
        <v>0</v>
      </c>
      <c r="T279" s="396">
        <f t="shared" si="106"/>
        <v>0</v>
      </c>
      <c r="U279" s="396">
        <f t="shared" si="106"/>
        <v>0</v>
      </c>
      <c r="V279" s="396">
        <f t="shared" si="106"/>
        <v>0</v>
      </c>
      <c r="W279" s="396">
        <f t="shared" si="106"/>
        <v>0</v>
      </c>
      <c r="X279" s="396">
        <f t="shared" si="106"/>
        <v>0</v>
      </c>
      <c r="Y279" s="396">
        <f t="shared" si="106"/>
        <v>0</v>
      </c>
      <c r="Z279" s="396">
        <f t="shared" si="106"/>
        <v>0</v>
      </c>
      <c r="AA279" s="396">
        <f t="shared" si="106"/>
        <v>0</v>
      </c>
      <c r="AB279" s="284"/>
      <c r="AC279" s="284"/>
      <c r="AD279" s="284"/>
      <c r="AE279" s="284"/>
      <c r="AF279" s="284"/>
      <c r="AG279" s="284"/>
      <c r="AH279" s="284"/>
      <c r="AI279" s="284"/>
      <c r="AJ279" s="284"/>
      <c r="AK279" s="284"/>
    </row>
    <row r="280" spans="1:37" ht="12.75" customHeight="1" x14ac:dyDescent="0.45">
      <c r="A280" s="335"/>
      <c r="B280" s="335"/>
      <c r="C280" s="335" t="s">
        <v>453</v>
      </c>
      <c r="E280" s="392" t="s">
        <v>814</v>
      </c>
      <c r="F280" s="393"/>
      <c r="G280" s="396">
        <f t="shared" ref="G280:AA280" si="107">G277+G278-G279</f>
        <v>0</v>
      </c>
      <c r="H280" s="396">
        <f t="shared" si="107"/>
        <v>0</v>
      </c>
      <c r="I280" s="396">
        <f t="shared" si="107"/>
        <v>0</v>
      </c>
      <c r="J280" s="396">
        <f t="shared" si="107"/>
        <v>0</v>
      </c>
      <c r="K280" s="396">
        <f t="shared" si="107"/>
        <v>0</v>
      </c>
      <c r="L280" s="396">
        <f t="shared" si="107"/>
        <v>0</v>
      </c>
      <c r="M280" s="396">
        <f t="shared" si="107"/>
        <v>0</v>
      </c>
      <c r="N280" s="396">
        <f t="shared" si="107"/>
        <v>0</v>
      </c>
      <c r="O280" s="396">
        <f t="shared" si="107"/>
        <v>0</v>
      </c>
      <c r="P280" s="396">
        <f t="shared" si="107"/>
        <v>0</v>
      </c>
      <c r="Q280" s="396">
        <f t="shared" si="107"/>
        <v>0</v>
      </c>
      <c r="R280" s="396">
        <f t="shared" si="107"/>
        <v>0</v>
      </c>
      <c r="S280" s="396">
        <f t="shared" si="107"/>
        <v>0</v>
      </c>
      <c r="T280" s="396">
        <f t="shared" si="107"/>
        <v>0</v>
      </c>
      <c r="U280" s="396">
        <f t="shared" si="107"/>
        <v>0</v>
      </c>
      <c r="V280" s="396">
        <f t="shared" si="107"/>
        <v>0</v>
      </c>
      <c r="W280" s="396">
        <f t="shared" si="107"/>
        <v>0</v>
      </c>
      <c r="X280" s="396">
        <f t="shared" si="107"/>
        <v>0</v>
      </c>
      <c r="Y280" s="396">
        <f t="shared" si="107"/>
        <v>0</v>
      </c>
      <c r="Z280" s="396">
        <f t="shared" si="107"/>
        <v>0</v>
      </c>
      <c r="AA280" s="396">
        <f t="shared" si="107"/>
        <v>0</v>
      </c>
      <c r="AB280" s="284"/>
      <c r="AC280" s="284"/>
      <c r="AD280" s="284"/>
      <c r="AE280" s="284"/>
      <c r="AF280" s="284"/>
      <c r="AG280" s="284"/>
      <c r="AH280" s="284"/>
      <c r="AI280" s="284"/>
      <c r="AJ280" s="284"/>
      <c r="AK280" s="284"/>
    </row>
    <row r="281" spans="1:37" ht="12.75" customHeight="1" x14ac:dyDescent="0.45">
      <c r="A281" s="335"/>
      <c r="B281" s="335"/>
      <c r="C281" s="335"/>
      <c r="E281" s="335"/>
      <c r="F281" s="335"/>
      <c r="G281" s="335"/>
      <c r="H281" s="335"/>
      <c r="I281" s="335"/>
      <c r="J281" s="284"/>
      <c r="K281" s="284"/>
      <c r="L281" s="284"/>
      <c r="M281" s="284"/>
      <c r="N281" s="333"/>
      <c r="O281" s="284"/>
      <c r="P281" s="284"/>
      <c r="Q281" s="284"/>
      <c r="R281" s="284"/>
      <c r="S281" s="284"/>
      <c r="T281" s="284"/>
      <c r="U281" s="284"/>
      <c r="V281" s="284"/>
      <c r="W281" s="284"/>
      <c r="X281" s="284"/>
      <c r="Y281" s="284"/>
      <c r="Z281" s="284"/>
      <c r="AA281" s="284"/>
      <c r="AB281" s="284"/>
      <c r="AC281" s="284"/>
      <c r="AD281" s="284"/>
      <c r="AE281" s="284"/>
      <c r="AF281" s="284"/>
      <c r="AG281" s="284"/>
      <c r="AH281" s="284"/>
      <c r="AI281" s="284"/>
      <c r="AJ281" s="284"/>
      <c r="AK281" s="284"/>
    </row>
    <row r="282" spans="1:37" s="409" customFormat="1" ht="23.25" customHeight="1" x14ac:dyDescent="0.45">
      <c r="A282" s="402" t="s">
        <v>383</v>
      </c>
      <c r="B282" s="403"/>
      <c r="C282" s="404"/>
      <c r="D282" s="405"/>
      <c r="E282" s="405" t="s">
        <v>384</v>
      </c>
      <c r="F282" s="406" t="s">
        <v>385</v>
      </c>
      <c r="G282" s="407"/>
      <c r="H282" s="407"/>
      <c r="I282" s="407"/>
      <c r="J282" s="407"/>
      <c r="K282" s="407"/>
      <c r="L282" s="407"/>
      <c r="M282" s="407"/>
      <c r="N282" s="407"/>
      <c r="O282" s="407"/>
      <c r="P282" s="407"/>
      <c r="Q282" s="407"/>
      <c r="R282" s="407"/>
      <c r="S282" s="407"/>
      <c r="T282" s="407"/>
      <c r="U282" s="407"/>
      <c r="V282" s="407"/>
      <c r="W282" s="407"/>
      <c r="X282" s="407"/>
      <c r="Y282" s="407"/>
      <c r="Z282" s="407"/>
      <c r="AA282" s="407"/>
      <c r="AB282" s="408"/>
      <c r="AC282" s="408"/>
      <c r="AD282" s="408"/>
      <c r="AE282" s="408"/>
      <c r="AF282" s="408"/>
      <c r="AG282" s="408"/>
      <c r="AH282" s="408"/>
      <c r="AI282" s="408"/>
      <c r="AJ282" s="408"/>
      <c r="AK282" s="408"/>
    </row>
    <row r="283" spans="1:37" s="409" customFormat="1" ht="12.95" customHeight="1" x14ac:dyDescent="0.45">
      <c r="A283" s="402"/>
      <c r="B283" s="403"/>
      <c r="C283" s="410" t="s">
        <v>481</v>
      </c>
      <c r="D283" s="404"/>
      <c r="E283" s="411">
        <f t="shared" ref="E283:E291" si="108">E5</f>
        <v>0</v>
      </c>
      <c r="F283" s="412">
        <f t="shared" ref="F283:F291" si="109">F5</f>
        <v>0</v>
      </c>
      <c r="G283" s="413">
        <f>G5*$E283</f>
        <v>0</v>
      </c>
      <c r="H283" s="413">
        <f t="shared" ref="H283:AA283" si="110">H5*$E283</f>
        <v>0</v>
      </c>
      <c r="I283" s="413">
        <f t="shared" si="110"/>
        <v>0</v>
      </c>
      <c r="J283" s="413">
        <f t="shared" si="110"/>
        <v>0</v>
      </c>
      <c r="K283" s="413">
        <f t="shared" si="110"/>
        <v>0</v>
      </c>
      <c r="L283" s="413">
        <f t="shared" si="110"/>
        <v>0</v>
      </c>
      <c r="M283" s="413">
        <f t="shared" si="110"/>
        <v>0</v>
      </c>
      <c r="N283" s="413">
        <f t="shared" si="110"/>
        <v>0</v>
      </c>
      <c r="O283" s="413">
        <f t="shared" si="110"/>
        <v>0</v>
      </c>
      <c r="P283" s="413">
        <f t="shared" si="110"/>
        <v>0</v>
      </c>
      <c r="Q283" s="413">
        <f t="shared" si="110"/>
        <v>0</v>
      </c>
      <c r="R283" s="413">
        <f t="shared" si="110"/>
        <v>0</v>
      </c>
      <c r="S283" s="413">
        <f t="shared" si="110"/>
        <v>0</v>
      </c>
      <c r="T283" s="413">
        <f t="shared" si="110"/>
        <v>0</v>
      </c>
      <c r="U283" s="413">
        <f t="shared" si="110"/>
        <v>0</v>
      </c>
      <c r="V283" s="413">
        <f t="shared" si="110"/>
        <v>0</v>
      </c>
      <c r="W283" s="413">
        <f t="shared" si="110"/>
        <v>0</v>
      </c>
      <c r="X283" s="413">
        <f t="shared" si="110"/>
        <v>0</v>
      </c>
      <c r="Y283" s="413">
        <f t="shared" si="110"/>
        <v>0</v>
      </c>
      <c r="Z283" s="413">
        <f t="shared" si="110"/>
        <v>0</v>
      </c>
      <c r="AA283" s="413">
        <f t="shared" si="110"/>
        <v>0</v>
      </c>
      <c r="AB283" s="408"/>
      <c r="AC283" s="408"/>
      <c r="AD283" s="408"/>
      <c r="AE283" s="408"/>
      <c r="AF283" s="408"/>
      <c r="AG283" s="408"/>
      <c r="AH283" s="408"/>
      <c r="AI283" s="408"/>
      <c r="AJ283" s="408"/>
      <c r="AK283" s="408"/>
    </row>
    <row r="284" spans="1:37" s="409" customFormat="1" ht="12.95" customHeight="1" x14ac:dyDescent="0.45">
      <c r="A284" s="402"/>
      <c r="B284" s="403"/>
      <c r="C284" s="410" t="s">
        <v>483</v>
      </c>
      <c r="D284" s="404"/>
      <c r="E284" s="411">
        <f t="shared" si="108"/>
        <v>0</v>
      </c>
      <c r="F284" s="412">
        <f t="shared" si="109"/>
        <v>0</v>
      </c>
      <c r="G284" s="413">
        <f t="shared" ref="G284:AA284" si="111">G6*$E284</f>
        <v>0</v>
      </c>
      <c r="H284" s="413">
        <f t="shared" si="111"/>
        <v>0</v>
      </c>
      <c r="I284" s="413">
        <f t="shared" si="111"/>
        <v>0</v>
      </c>
      <c r="J284" s="413">
        <f t="shared" si="111"/>
        <v>0</v>
      </c>
      <c r="K284" s="413">
        <f t="shared" si="111"/>
        <v>0</v>
      </c>
      <c r="L284" s="413">
        <f t="shared" si="111"/>
        <v>0</v>
      </c>
      <c r="M284" s="413">
        <f t="shared" si="111"/>
        <v>0</v>
      </c>
      <c r="N284" s="413">
        <f t="shared" si="111"/>
        <v>0</v>
      </c>
      <c r="O284" s="413">
        <f t="shared" si="111"/>
        <v>0</v>
      </c>
      <c r="P284" s="413">
        <f t="shared" si="111"/>
        <v>0</v>
      </c>
      <c r="Q284" s="413">
        <f t="shared" si="111"/>
        <v>0</v>
      </c>
      <c r="R284" s="413">
        <f t="shared" si="111"/>
        <v>0</v>
      </c>
      <c r="S284" s="413">
        <f t="shared" si="111"/>
        <v>0</v>
      </c>
      <c r="T284" s="413">
        <f t="shared" si="111"/>
        <v>0</v>
      </c>
      <c r="U284" s="413">
        <f t="shared" si="111"/>
        <v>0</v>
      </c>
      <c r="V284" s="413">
        <f t="shared" si="111"/>
        <v>0</v>
      </c>
      <c r="W284" s="413">
        <f t="shared" si="111"/>
        <v>0</v>
      </c>
      <c r="X284" s="413">
        <f t="shared" si="111"/>
        <v>0</v>
      </c>
      <c r="Y284" s="413">
        <f t="shared" si="111"/>
        <v>0</v>
      </c>
      <c r="Z284" s="413">
        <f t="shared" si="111"/>
        <v>0</v>
      </c>
      <c r="AA284" s="413">
        <f t="shared" si="111"/>
        <v>0</v>
      </c>
      <c r="AB284" s="408"/>
      <c r="AC284" s="408"/>
      <c r="AD284" s="408"/>
      <c r="AE284" s="408"/>
      <c r="AF284" s="408"/>
      <c r="AG284" s="408"/>
      <c r="AH284" s="408"/>
      <c r="AI284" s="408"/>
      <c r="AJ284" s="408"/>
      <c r="AK284" s="408"/>
    </row>
    <row r="285" spans="1:37" s="409" customFormat="1" ht="12.95" customHeight="1" x14ac:dyDescent="0.45">
      <c r="A285" s="402"/>
      <c r="B285" s="403"/>
      <c r="C285" s="410" t="s">
        <v>484</v>
      </c>
      <c r="D285" s="404"/>
      <c r="E285" s="411">
        <f t="shared" si="108"/>
        <v>0</v>
      </c>
      <c r="F285" s="412">
        <f t="shared" si="109"/>
        <v>0</v>
      </c>
      <c r="G285" s="413">
        <f t="shared" ref="G285:AA285" si="112">G7*$E285</f>
        <v>0</v>
      </c>
      <c r="H285" s="413">
        <f t="shared" si="112"/>
        <v>0</v>
      </c>
      <c r="I285" s="413">
        <f t="shared" si="112"/>
        <v>0</v>
      </c>
      <c r="J285" s="413">
        <f t="shared" si="112"/>
        <v>0</v>
      </c>
      <c r="K285" s="413">
        <f t="shared" si="112"/>
        <v>0</v>
      </c>
      <c r="L285" s="413">
        <f t="shared" si="112"/>
        <v>0</v>
      </c>
      <c r="M285" s="413">
        <f t="shared" si="112"/>
        <v>0</v>
      </c>
      <c r="N285" s="413">
        <f t="shared" si="112"/>
        <v>0</v>
      </c>
      <c r="O285" s="413">
        <f t="shared" si="112"/>
        <v>0</v>
      </c>
      <c r="P285" s="413">
        <f t="shared" si="112"/>
        <v>0</v>
      </c>
      <c r="Q285" s="413">
        <f t="shared" si="112"/>
        <v>0</v>
      </c>
      <c r="R285" s="413">
        <f t="shared" si="112"/>
        <v>0</v>
      </c>
      <c r="S285" s="413">
        <f t="shared" si="112"/>
        <v>0</v>
      </c>
      <c r="T285" s="413">
        <f t="shared" si="112"/>
        <v>0</v>
      </c>
      <c r="U285" s="413">
        <f t="shared" si="112"/>
        <v>0</v>
      </c>
      <c r="V285" s="413">
        <f t="shared" si="112"/>
        <v>0</v>
      </c>
      <c r="W285" s="413">
        <f t="shared" si="112"/>
        <v>0</v>
      </c>
      <c r="X285" s="413">
        <f t="shared" si="112"/>
        <v>0</v>
      </c>
      <c r="Y285" s="413">
        <f t="shared" si="112"/>
        <v>0</v>
      </c>
      <c r="Z285" s="413">
        <f t="shared" si="112"/>
        <v>0</v>
      </c>
      <c r="AA285" s="413">
        <f t="shared" si="112"/>
        <v>0</v>
      </c>
      <c r="AB285" s="408"/>
      <c r="AC285" s="408"/>
      <c r="AD285" s="408"/>
      <c r="AE285" s="408"/>
      <c r="AF285" s="408"/>
      <c r="AG285" s="408"/>
      <c r="AH285" s="408"/>
      <c r="AI285" s="408"/>
      <c r="AJ285" s="408"/>
      <c r="AK285" s="408"/>
    </row>
    <row r="286" spans="1:37" s="409" customFormat="1" ht="12.95" customHeight="1" x14ac:dyDescent="0.45">
      <c r="A286" s="402"/>
      <c r="B286" s="403"/>
      <c r="C286" s="410" t="s">
        <v>482</v>
      </c>
      <c r="D286" s="404"/>
      <c r="E286" s="411">
        <f t="shared" si="108"/>
        <v>0</v>
      </c>
      <c r="F286" s="412">
        <f t="shared" si="109"/>
        <v>0</v>
      </c>
      <c r="G286" s="413">
        <f t="shared" ref="G286:AA286" si="113">G8*$E286</f>
        <v>0</v>
      </c>
      <c r="H286" s="413">
        <f t="shared" si="113"/>
        <v>0</v>
      </c>
      <c r="I286" s="413">
        <f t="shared" si="113"/>
        <v>0</v>
      </c>
      <c r="J286" s="413">
        <f t="shared" si="113"/>
        <v>0</v>
      </c>
      <c r="K286" s="413">
        <f t="shared" si="113"/>
        <v>0</v>
      </c>
      <c r="L286" s="413">
        <f t="shared" si="113"/>
        <v>0</v>
      </c>
      <c r="M286" s="413">
        <f t="shared" si="113"/>
        <v>0</v>
      </c>
      <c r="N286" s="413">
        <f t="shared" si="113"/>
        <v>0</v>
      </c>
      <c r="O286" s="413">
        <f t="shared" si="113"/>
        <v>0</v>
      </c>
      <c r="P286" s="413">
        <f t="shared" si="113"/>
        <v>0</v>
      </c>
      <c r="Q286" s="413">
        <f t="shared" si="113"/>
        <v>0</v>
      </c>
      <c r="R286" s="413">
        <f t="shared" si="113"/>
        <v>0</v>
      </c>
      <c r="S286" s="413">
        <f t="shared" si="113"/>
        <v>0</v>
      </c>
      <c r="T286" s="413">
        <f t="shared" si="113"/>
        <v>0</v>
      </c>
      <c r="U286" s="413">
        <f t="shared" si="113"/>
        <v>0</v>
      </c>
      <c r="V286" s="413">
        <f t="shared" si="113"/>
        <v>0</v>
      </c>
      <c r="W286" s="413">
        <f t="shared" si="113"/>
        <v>0</v>
      </c>
      <c r="X286" s="413">
        <f t="shared" si="113"/>
        <v>0</v>
      </c>
      <c r="Y286" s="413">
        <f t="shared" si="113"/>
        <v>0</v>
      </c>
      <c r="Z286" s="413">
        <f t="shared" si="113"/>
        <v>0</v>
      </c>
      <c r="AA286" s="413">
        <f t="shared" si="113"/>
        <v>0</v>
      </c>
      <c r="AB286" s="408"/>
      <c r="AC286" s="408"/>
      <c r="AD286" s="408"/>
      <c r="AE286" s="408"/>
      <c r="AF286" s="408"/>
      <c r="AG286" s="408"/>
      <c r="AH286" s="408"/>
      <c r="AI286" s="408"/>
      <c r="AJ286" s="408"/>
      <c r="AK286" s="408"/>
    </row>
    <row r="287" spans="1:37" s="409" customFormat="1" ht="12.95" customHeight="1" x14ac:dyDescent="0.45">
      <c r="A287" s="402"/>
      <c r="B287" s="403"/>
      <c r="C287" s="410" t="s">
        <v>480</v>
      </c>
      <c r="D287" s="404"/>
      <c r="E287" s="411">
        <f t="shared" si="108"/>
        <v>0</v>
      </c>
      <c r="F287" s="412">
        <f t="shared" si="109"/>
        <v>0</v>
      </c>
      <c r="G287" s="413">
        <f t="shared" ref="G287:AA287" si="114">G9*$E287</f>
        <v>0</v>
      </c>
      <c r="H287" s="413">
        <f t="shared" si="114"/>
        <v>0</v>
      </c>
      <c r="I287" s="413">
        <f t="shared" si="114"/>
        <v>0</v>
      </c>
      <c r="J287" s="413">
        <f t="shared" si="114"/>
        <v>0</v>
      </c>
      <c r="K287" s="413">
        <f t="shared" si="114"/>
        <v>0</v>
      </c>
      <c r="L287" s="413">
        <f t="shared" si="114"/>
        <v>0</v>
      </c>
      <c r="M287" s="413">
        <f t="shared" si="114"/>
        <v>0</v>
      </c>
      <c r="N287" s="413">
        <f t="shared" si="114"/>
        <v>0</v>
      </c>
      <c r="O287" s="413">
        <f t="shared" si="114"/>
        <v>0</v>
      </c>
      <c r="P287" s="413">
        <f t="shared" si="114"/>
        <v>0</v>
      </c>
      <c r="Q287" s="413">
        <f t="shared" si="114"/>
        <v>0</v>
      </c>
      <c r="R287" s="413">
        <f t="shared" si="114"/>
        <v>0</v>
      </c>
      <c r="S287" s="413">
        <f t="shared" si="114"/>
        <v>0</v>
      </c>
      <c r="T287" s="413">
        <f t="shared" si="114"/>
        <v>0</v>
      </c>
      <c r="U287" s="413">
        <f t="shared" si="114"/>
        <v>0</v>
      </c>
      <c r="V287" s="413">
        <f t="shared" si="114"/>
        <v>0</v>
      </c>
      <c r="W287" s="413">
        <f t="shared" si="114"/>
        <v>0</v>
      </c>
      <c r="X287" s="413">
        <f t="shared" si="114"/>
        <v>0</v>
      </c>
      <c r="Y287" s="413">
        <f t="shared" si="114"/>
        <v>0</v>
      </c>
      <c r="Z287" s="413">
        <f t="shared" si="114"/>
        <v>0</v>
      </c>
      <c r="AA287" s="413">
        <f t="shared" si="114"/>
        <v>0</v>
      </c>
      <c r="AB287" s="408"/>
      <c r="AC287" s="408"/>
      <c r="AD287" s="408"/>
      <c r="AE287" s="408"/>
      <c r="AF287" s="408"/>
      <c r="AG287" s="408"/>
      <c r="AH287" s="408"/>
      <c r="AI287" s="408"/>
      <c r="AJ287" s="408"/>
      <c r="AK287" s="408"/>
    </row>
    <row r="288" spans="1:37" s="409" customFormat="1" ht="12.95" customHeight="1" x14ac:dyDescent="0.45">
      <c r="A288" s="402"/>
      <c r="B288" s="403"/>
      <c r="C288" s="410" t="s">
        <v>387</v>
      </c>
      <c r="D288" s="404"/>
      <c r="E288" s="411">
        <f t="shared" si="108"/>
        <v>0</v>
      </c>
      <c r="F288" s="412">
        <f t="shared" si="109"/>
        <v>0</v>
      </c>
      <c r="G288" s="413">
        <f t="shared" ref="G288:AA288" si="115">G10*$E288</f>
        <v>0</v>
      </c>
      <c r="H288" s="413">
        <f t="shared" si="115"/>
        <v>0</v>
      </c>
      <c r="I288" s="413">
        <f t="shared" si="115"/>
        <v>0</v>
      </c>
      <c r="J288" s="413">
        <f t="shared" si="115"/>
        <v>0</v>
      </c>
      <c r="K288" s="413">
        <f t="shared" si="115"/>
        <v>0</v>
      </c>
      <c r="L288" s="413">
        <f t="shared" si="115"/>
        <v>0</v>
      </c>
      <c r="M288" s="413">
        <f t="shared" si="115"/>
        <v>0</v>
      </c>
      <c r="N288" s="413">
        <f t="shared" si="115"/>
        <v>0</v>
      </c>
      <c r="O288" s="413">
        <f t="shared" si="115"/>
        <v>0</v>
      </c>
      <c r="P288" s="413">
        <f t="shared" si="115"/>
        <v>0</v>
      </c>
      <c r="Q288" s="413">
        <f t="shared" si="115"/>
        <v>0</v>
      </c>
      <c r="R288" s="413">
        <f t="shared" si="115"/>
        <v>0</v>
      </c>
      <c r="S288" s="413">
        <f t="shared" si="115"/>
        <v>0</v>
      </c>
      <c r="T288" s="413">
        <f t="shared" si="115"/>
        <v>0</v>
      </c>
      <c r="U288" s="413">
        <f t="shared" si="115"/>
        <v>0</v>
      </c>
      <c r="V288" s="413">
        <f t="shared" si="115"/>
        <v>0</v>
      </c>
      <c r="W288" s="413">
        <f t="shared" si="115"/>
        <v>0</v>
      </c>
      <c r="X288" s="413">
        <f t="shared" si="115"/>
        <v>0</v>
      </c>
      <c r="Y288" s="413">
        <f t="shared" si="115"/>
        <v>0</v>
      </c>
      <c r="Z288" s="413">
        <f t="shared" si="115"/>
        <v>0</v>
      </c>
      <c r="AA288" s="413">
        <f t="shared" si="115"/>
        <v>0</v>
      </c>
      <c r="AB288" s="408"/>
      <c r="AC288" s="408"/>
      <c r="AD288" s="408"/>
      <c r="AE288" s="408"/>
      <c r="AF288" s="408"/>
      <c r="AG288" s="408"/>
      <c r="AH288" s="408"/>
      <c r="AI288" s="408"/>
      <c r="AJ288" s="408"/>
      <c r="AK288" s="408"/>
    </row>
    <row r="289" spans="1:37" s="409" customFormat="1" ht="12.95" customHeight="1" x14ac:dyDescent="0.45">
      <c r="A289" s="402"/>
      <c r="B289" s="403"/>
      <c r="C289" s="410" t="s">
        <v>486</v>
      </c>
      <c r="D289" s="404"/>
      <c r="E289" s="411">
        <f t="shared" si="108"/>
        <v>0</v>
      </c>
      <c r="F289" s="412">
        <f t="shared" si="109"/>
        <v>0</v>
      </c>
      <c r="G289" s="413">
        <f t="shared" ref="G289:AA289" si="116">G11*$E289</f>
        <v>0</v>
      </c>
      <c r="H289" s="413">
        <f t="shared" si="116"/>
        <v>0</v>
      </c>
      <c r="I289" s="413">
        <f t="shared" si="116"/>
        <v>0</v>
      </c>
      <c r="J289" s="413">
        <f t="shared" si="116"/>
        <v>0</v>
      </c>
      <c r="K289" s="413">
        <f t="shared" si="116"/>
        <v>0</v>
      </c>
      <c r="L289" s="413">
        <f t="shared" si="116"/>
        <v>0</v>
      </c>
      <c r="M289" s="413">
        <f t="shared" si="116"/>
        <v>0</v>
      </c>
      <c r="N289" s="413">
        <f t="shared" si="116"/>
        <v>0</v>
      </c>
      <c r="O289" s="413">
        <f t="shared" si="116"/>
        <v>0</v>
      </c>
      <c r="P289" s="413">
        <f t="shared" si="116"/>
        <v>0</v>
      </c>
      <c r="Q289" s="413">
        <f t="shared" si="116"/>
        <v>0</v>
      </c>
      <c r="R289" s="413">
        <f t="shared" si="116"/>
        <v>0</v>
      </c>
      <c r="S289" s="413">
        <f t="shared" si="116"/>
        <v>0</v>
      </c>
      <c r="T289" s="413">
        <f t="shared" si="116"/>
        <v>0</v>
      </c>
      <c r="U289" s="413">
        <f t="shared" si="116"/>
        <v>0</v>
      </c>
      <c r="V289" s="413">
        <f t="shared" si="116"/>
        <v>0</v>
      </c>
      <c r="W289" s="413">
        <f t="shared" si="116"/>
        <v>0</v>
      </c>
      <c r="X289" s="413">
        <f t="shared" si="116"/>
        <v>0</v>
      </c>
      <c r="Y289" s="413">
        <f t="shared" si="116"/>
        <v>0</v>
      </c>
      <c r="Z289" s="413">
        <f t="shared" si="116"/>
        <v>0</v>
      </c>
      <c r="AA289" s="413">
        <f t="shared" si="116"/>
        <v>0</v>
      </c>
      <c r="AB289" s="408"/>
      <c r="AC289" s="408"/>
      <c r="AD289" s="408"/>
      <c r="AE289" s="408"/>
      <c r="AF289" s="408"/>
      <c r="AG289" s="408"/>
      <c r="AH289" s="408"/>
      <c r="AI289" s="408"/>
      <c r="AJ289" s="408"/>
      <c r="AK289" s="408"/>
    </row>
    <row r="290" spans="1:37" s="409" customFormat="1" ht="12.95" customHeight="1" x14ac:dyDescent="0.45">
      <c r="A290" s="402"/>
      <c r="B290" s="403"/>
      <c r="C290" s="410" t="s">
        <v>479</v>
      </c>
      <c r="D290" s="404"/>
      <c r="E290" s="411">
        <f t="shared" si="108"/>
        <v>0</v>
      </c>
      <c r="F290" s="412">
        <f t="shared" si="109"/>
        <v>0</v>
      </c>
      <c r="G290" s="413">
        <f t="shared" ref="G290:AA290" si="117">G12*$E290</f>
        <v>0</v>
      </c>
      <c r="H290" s="413">
        <f t="shared" si="117"/>
        <v>0</v>
      </c>
      <c r="I290" s="413">
        <f t="shared" si="117"/>
        <v>0</v>
      </c>
      <c r="J290" s="413">
        <f t="shared" si="117"/>
        <v>0</v>
      </c>
      <c r="K290" s="413">
        <f t="shared" si="117"/>
        <v>0</v>
      </c>
      <c r="L290" s="413">
        <f t="shared" si="117"/>
        <v>0</v>
      </c>
      <c r="M290" s="413">
        <f t="shared" si="117"/>
        <v>0</v>
      </c>
      <c r="N290" s="413">
        <f t="shared" si="117"/>
        <v>0</v>
      </c>
      <c r="O290" s="413">
        <f t="shared" si="117"/>
        <v>0</v>
      </c>
      <c r="P290" s="413">
        <f t="shared" si="117"/>
        <v>0</v>
      </c>
      <c r="Q290" s="413">
        <f t="shared" si="117"/>
        <v>0</v>
      </c>
      <c r="R290" s="413">
        <f t="shared" si="117"/>
        <v>0</v>
      </c>
      <c r="S290" s="413">
        <f t="shared" si="117"/>
        <v>0</v>
      </c>
      <c r="T290" s="413">
        <f t="shared" si="117"/>
        <v>0</v>
      </c>
      <c r="U290" s="413">
        <f t="shared" si="117"/>
        <v>0</v>
      </c>
      <c r="V290" s="413">
        <f t="shared" si="117"/>
        <v>0</v>
      </c>
      <c r="W290" s="413">
        <f t="shared" si="117"/>
        <v>0</v>
      </c>
      <c r="X290" s="413">
        <f t="shared" si="117"/>
        <v>0</v>
      </c>
      <c r="Y290" s="413">
        <f t="shared" si="117"/>
        <v>0</v>
      </c>
      <c r="Z290" s="413">
        <f t="shared" si="117"/>
        <v>0</v>
      </c>
      <c r="AA290" s="413">
        <f t="shared" si="117"/>
        <v>0</v>
      </c>
      <c r="AB290" s="408"/>
      <c r="AC290" s="408"/>
      <c r="AD290" s="408"/>
      <c r="AE290" s="408"/>
      <c r="AF290" s="408"/>
      <c r="AG290" s="408"/>
      <c r="AH290" s="408"/>
      <c r="AI290" s="408"/>
      <c r="AJ290" s="408"/>
      <c r="AK290" s="408"/>
    </row>
    <row r="291" spans="1:37" s="409" customFormat="1" ht="12.95" customHeight="1" x14ac:dyDescent="0.45">
      <c r="A291" s="402"/>
      <c r="B291" s="403"/>
      <c r="C291" s="410" t="s">
        <v>485</v>
      </c>
      <c r="D291" s="404"/>
      <c r="E291" s="411">
        <f t="shared" si="108"/>
        <v>0</v>
      </c>
      <c r="F291" s="412">
        <f t="shared" si="109"/>
        <v>0</v>
      </c>
      <c r="G291" s="413">
        <f t="shared" ref="G291:AA291" si="118">G13*$E291</f>
        <v>0</v>
      </c>
      <c r="H291" s="413">
        <f t="shared" si="118"/>
        <v>0</v>
      </c>
      <c r="I291" s="413">
        <f t="shared" si="118"/>
        <v>0</v>
      </c>
      <c r="J291" s="413">
        <f t="shared" si="118"/>
        <v>0</v>
      </c>
      <c r="K291" s="413">
        <f t="shared" si="118"/>
        <v>0</v>
      </c>
      <c r="L291" s="413">
        <f t="shared" si="118"/>
        <v>0</v>
      </c>
      <c r="M291" s="413">
        <f t="shared" si="118"/>
        <v>0</v>
      </c>
      <c r="N291" s="413">
        <f t="shared" si="118"/>
        <v>0</v>
      </c>
      <c r="O291" s="413">
        <f t="shared" si="118"/>
        <v>0</v>
      </c>
      <c r="P291" s="413">
        <f t="shared" si="118"/>
        <v>0</v>
      </c>
      <c r="Q291" s="413">
        <f t="shared" si="118"/>
        <v>0</v>
      </c>
      <c r="R291" s="413">
        <f t="shared" si="118"/>
        <v>0</v>
      </c>
      <c r="S291" s="413">
        <f t="shared" si="118"/>
        <v>0</v>
      </c>
      <c r="T291" s="413">
        <f t="shared" si="118"/>
        <v>0</v>
      </c>
      <c r="U291" s="413">
        <f t="shared" si="118"/>
        <v>0</v>
      </c>
      <c r="V291" s="413">
        <f t="shared" si="118"/>
        <v>0</v>
      </c>
      <c r="W291" s="413">
        <f t="shared" si="118"/>
        <v>0</v>
      </c>
      <c r="X291" s="413">
        <f t="shared" si="118"/>
        <v>0</v>
      </c>
      <c r="Y291" s="413">
        <f t="shared" si="118"/>
        <v>0</v>
      </c>
      <c r="Z291" s="413">
        <f t="shared" si="118"/>
        <v>0</v>
      </c>
      <c r="AA291" s="413">
        <f t="shared" si="118"/>
        <v>0</v>
      </c>
      <c r="AB291" s="408"/>
      <c r="AC291" s="408"/>
      <c r="AD291" s="408"/>
      <c r="AE291" s="408"/>
      <c r="AF291" s="408"/>
      <c r="AG291" s="408"/>
      <c r="AH291" s="408"/>
      <c r="AI291" s="408"/>
      <c r="AJ291" s="408"/>
      <c r="AK291" s="408"/>
    </row>
    <row r="292" spans="1:37" s="409" customFormat="1" ht="12.95" customHeight="1" x14ac:dyDescent="0.45">
      <c r="A292" s="402"/>
      <c r="B292" s="403"/>
      <c r="C292" s="410"/>
      <c r="D292" s="404"/>
      <c r="E292" s="414"/>
      <c r="F292" s="415"/>
      <c r="G292" s="416" t="s">
        <v>390</v>
      </c>
      <c r="H292" s="416" t="s">
        <v>390</v>
      </c>
      <c r="I292" s="416" t="s">
        <v>390</v>
      </c>
      <c r="J292" s="416" t="s">
        <v>390</v>
      </c>
      <c r="K292" s="416" t="s">
        <v>390</v>
      </c>
      <c r="L292" s="416" t="s">
        <v>390</v>
      </c>
      <c r="M292" s="416" t="s">
        <v>390</v>
      </c>
      <c r="N292" s="416" t="s">
        <v>390</v>
      </c>
      <c r="O292" s="416" t="s">
        <v>390</v>
      </c>
      <c r="P292" s="416" t="s">
        <v>390</v>
      </c>
      <c r="Q292" s="416" t="s">
        <v>390</v>
      </c>
      <c r="R292" s="416" t="s">
        <v>390</v>
      </c>
      <c r="S292" s="416" t="s">
        <v>390</v>
      </c>
      <c r="T292" s="416" t="s">
        <v>390</v>
      </c>
      <c r="U292" s="416" t="s">
        <v>390</v>
      </c>
      <c r="V292" s="416" t="s">
        <v>390</v>
      </c>
      <c r="W292" s="416" t="s">
        <v>390</v>
      </c>
      <c r="X292" s="416" t="s">
        <v>390</v>
      </c>
      <c r="Y292" s="416" t="s">
        <v>390</v>
      </c>
      <c r="Z292" s="416" t="s">
        <v>390</v>
      </c>
      <c r="AA292" s="416" t="s">
        <v>390</v>
      </c>
      <c r="AB292" s="408"/>
      <c r="AC292" s="408"/>
      <c r="AD292" s="408"/>
      <c r="AE292" s="408"/>
      <c r="AF292" s="408"/>
      <c r="AG292" s="408"/>
      <c r="AH292" s="408"/>
      <c r="AI292" s="408"/>
      <c r="AJ292" s="408"/>
      <c r="AK292" s="408"/>
    </row>
    <row r="293" spans="1:37" s="409" customFormat="1" ht="12.95" customHeight="1" x14ac:dyDescent="0.45">
      <c r="A293" s="402"/>
      <c r="B293" s="403"/>
      <c r="C293" s="410" t="s">
        <v>23</v>
      </c>
      <c r="D293" s="404"/>
      <c r="E293" s="414"/>
      <c r="F293" s="415"/>
      <c r="G293" s="413">
        <f>SUM(G283:G292)</f>
        <v>0</v>
      </c>
      <c r="H293" s="413">
        <f t="shared" ref="H293:AA293" si="119">SUM(H283:H292)</f>
        <v>0</v>
      </c>
      <c r="I293" s="413">
        <f t="shared" si="119"/>
        <v>0</v>
      </c>
      <c r="J293" s="413">
        <f t="shared" si="119"/>
        <v>0</v>
      </c>
      <c r="K293" s="413">
        <f t="shared" si="119"/>
        <v>0</v>
      </c>
      <c r="L293" s="413">
        <f t="shared" si="119"/>
        <v>0</v>
      </c>
      <c r="M293" s="413">
        <f t="shared" si="119"/>
        <v>0</v>
      </c>
      <c r="N293" s="413">
        <f t="shared" si="119"/>
        <v>0</v>
      </c>
      <c r="O293" s="413">
        <f t="shared" si="119"/>
        <v>0</v>
      </c>
      <c r="P293" s="413">
        <f t="shared" si="119"/>
        <v>0</v>
      </c>
      <c r="Q293" s="413">
        <f t="shared" si="119"/>
        <v>0</v>
      </c>
      <c r="R293" s="413">
        <f t="shared" si="119"/>
        <v>0</v>
      </c>
      <c r="S293" s="413">
        <f t="shared" si="119"/>
        <v>0</v>
      </c>
      <c r="T293" s="413">
        <f t="shared" si="119"/>
        <v>0</v>
      </c>
      <c r="U293" s="413">
        <f t="shared" si="119"/>
        <v>0</v>
      </c>
      <c r="V293" s="413">
        <f t="shared" si="119"/>
        <v>0</v>
      </c>
      <c r="W293" s="413">
        <f t="shared" si="119"/>
        <v>0</v>
      </c>
      <c r="X293" s="413">
        <f t="shared" si="119"/>
        <v>0</v>
      </c>
      <c r="Y293" s="413">
        <f t="shared" si="119"/>
        <v>0</v>
      </c>
      <c r="Z293" s="413">
        <f t="shared" si="119"/>
        <v>0</v>
      </c>
      <c r="AA293" s="413">
        <f t="shared" si="119"/>
        <v>0</v>
      </c>
      <c r="AB293" s="408"/>
      <c r="AC293" s="408"/>
      <c r="AD293" s="408"/>
      <c r="AE293" s="408"/>
      <c r="AF293" s="408"/>
      <c r="AG293" s="408"/>
      <c r="AH293" s="408"/>
      <c r="AI293" s="408"/>
      <c r="AJ293" s="408"/>
      <c r="AK293" s="408"/>
    </row>
    <row r="294" spans="1:37" s="424" customFormat="1" ht="15.75" customHeight="1" x14ac:dyDescent="0.45">
      <c r="A294" s="417"/>
      <c r="B294" s="418"/>
      <c r="C294" s="419" t="s">
        <v>487</v>
      </c>
      <c r="D294" s="420"/>
      <c r="E294" s="421"/>
      <c r="F294" s="422"/>
      <c r="G294" s="423">
        <f>(-'Financial Overview'!G620+'Financial Overview'!G623+'Financial Overview'!G624+'Financial Overview'!G628+'Financial Overview'!G629)</f>
        <v>0</v>
      </c>
      <c r="H294" s="423">
        <f>(-'Financial Overview'!H620+'Financial Overview'!H623+'Financial Overview'!H624+'Financial Overview'!H628+'Financial Overview'!H629)</f>
        <v>0</v>
      </c>
      <c r="I294" s="423">
        <f>(-'Financial Overview'!I620+'Financial Overview'!I623+'Financial Overview'!I624+'Financial Overview'!I628+'Financial Overview'!I629)</f>
        <v>0</v>
      </c>
      <c r="J294" s="423">
        <f>(-'Financial Overview'!J620+'Financial Overview'!J623+'Financial Overview'!J624+'Financial Overview'!J628+'Financial Overview'!J629)</f>
        <v>0</v>
      </c>
      <c r="K294" s="423">
        <f>(-'Financial Overview'!K620+'Financial Overview'!K623+'Financial Overview'!K624+'Financial Overview'!K628+'Financial Overview'!K629)</f>
        <v>0</v>
      </c>
      <c r="L294" s="423">
        <f>(-'Financial Overview'!L620+'Financial Overview'!L623+'Financial Overview'!L624+'Financial Overview'!L628+'Financial Overview'!L629)</f>
        <v>0</v>
      </c>
      <c r="M294" s="423">
        <f>(-'Financial Overview'!M620+'Financial Overview'!M623+'Financial Overview'!M624+'Financial Overview'!M628+'Financial Overview'!M629)</f>
        <v>0</v>
      </c>
      <c r="N294" s="423">
        <f>(-'Financial Overview'!N620+'Financial Overview'!N623+'Financial Overview'!N624+'Financial Overview'!N628+'Financial Overview'!N629)</f>
        <v>0</v>
      </c>
      <c r="O294" s="423">
        <f>(-'Financial Overview'!O620+'Financial Overview'!O623+'Financial Overview'!O624+'Financial Overview'!O628+'Financial Overview'!O629)</f>
        <v>0</v>
      </c>
      <c r="P294" s="423">
        <f>(-'Financial Overview'!P620+'Financial Overview'!P623+'Financial Overview'!P624+'Financial Overview'!P628+'Financial Overview'!P629)</f>
        <v>0</v>
      </c>
      <c r="Q294" s="423">
        <f>(-'Financial Overview'!Q620+'Financial Overview'!Q623+'Financial Overview'!Q624+'Financial Overview'!Q628+'Financial Overview'!Q629)</f>
        <v>0</v>
      </c>
      <c r="R294" s="423">
        <f>(-'Financial Overview'!R620+'Financial Overview'!R623+'Financial Overview'!R624+'Financial Overview'!R628+'Financial Overview'!R629)</f>
        <v>0</v>
      </c>
      <c r="S294" s="423">
        <f>(-'Financial Overview'!S620+'Financial Overview'!S623+'Financial Overview'!S624+'Financial Overview'!S628+'Financial Overview'!S629)</f>
        <v>0</v>
      </c>
      <c r="T294" s="423">
        <f>(-'Financial Overview'!T620+'Financial Overview'!T623+'Financial Overview'!T624+'Financial Overview'!T628+'Financial Overview'!T629)</f>
        <v>0</v>
      </c>
      <c r="U294" s="423">
        <f>(-'Financial Overview'!U620+'Financial Overview'!U623+'Financial Overview'!U624+'Financial Overview'!U628+'Financial Overview'!U629)</f>
        <v>0</v>
      </c>
      <c r="V294" s="423">
        <f>(-'Financial Overview'!V620+'Financial Overview'!V623+'Financial Overview'!V624+'Financial Overview'!V628+'Financial Overview'!V629)</f>
        <v>0</v>
      </c>
      <c r="W294" s="423">
        <f>(-'Financial Overview'!W620+'Financial Overview'!W623+'Financial Overview'!W624+'Financial Overview'!W628+'Financial Overview'!W629)</f>
        <v>0</v>
      </c>
      <c r="X294" s="423">
        <f>(-'Financial Overview'!X620+'Financial Overview'!X623+'Financial Overview'!X624+'Financial Overview'!X628+'Financial Overview'!X629)</f>
        <v>0</v>
      </c>
      <c r="Y294" s="423">
        <f>(-'Financial Overview'!Y620+'Financial Overview'!Y623+'Financial Overview'!Y624+'Financial Overview'!Y628+'Financial Overview'!Y629)</f>
        <v>0</v>
      </c>
      <c r="Z294" s="423">
        <f>(-'Financial Overview'!Z620+'Financial Overview'!Z623+'Financial Overview'!Z624+'Financial Overview'!Z628+'Financial Overview'!Z629)</f>
        <v>0</v>
      </c>
      <c r="AA294" s="423">
        <f>(-'Financial Overview'!AA620+'Financial Overview'!AA623+'Financial Overview'!AA624+'Financial Overview'!AA628+'Financial Overview'!AA629)</f>
        <v>0</v>
      </c>
      <c r="AB294" s="419"/>
      <c r="AC294" s="419"/>
      <c r="AD294" s="419"/>
      <c r="AE294" s="419"/>
      <c r="AF294" s="419"/>
      <c r="AG294" s="419"/>
      <c r="AH294" s="419"/>
      <c r="AI294" s="419"/>
      <c r="AJ294" s="419"/>
      <c r="AK294" s="419"/>
    </row>
    <row r="295" spans="1:37" s="424" customFormat="1" ht="12.95" customHeight="1" x14ac:dyDescent="0.45">
      <c r="A295" s="417"/>
      <c r="B295" s="418"/>
      <c r="C295" s="419"/>
      <c r="D295" s="420"/>
      <c r="E295" s="421"/>
      <c r="F295" s="422"/>
      <c r="G295" s="425" t="s">
        <v>390</v>
      </c>
      <c r="H295" s="425" t="s">
        <v>390</v>
      </c>
      <c r="I295" s="425" t="s">
        <v>390</v>
      </c>
      <c r="J295" s="425" t="s">
        <v>390</v>
      </c>
      <c r="K295" s="425" t="s">
        <v>390</v>
      </c>
      <c r="L295" s="425" t="s">
        <v>390</v>
      </c>
      <c r="M295" s="425" t="s">
        <v>390</v>
      </c>
      <c r="N295" s="425" t="s">
        <v>390</v>
      </c>
      <c r="O295" s="425" t="s">
        <v>390</v>
      </c>
      <c r="P295" s="425" t="s">
        <v>390</v>
      </c>
      <c r="Q295" s="425" t="s">
        <v>390</v>
      </c>
      <c r="R295" s="425" t="s">
        <v>390</v>
      </c>
      <c r="S295" s="425" t="s">
        <v>390</v>
      </c>
      <c r="T295" s="425" t="s">
        <v>390</v>
      </c>
      <c r="U295" s="425" t="s">
        <v>390</v>
      </c>
      <c r="V295" s="425" t="s">
        <v>390</v>
      </c>
      <c r="W295" s="425" t="s">
        <v>390</v>
      </c>
      <c r="X295" s="425" t="s">
        <v>390</v>
      </c>
      <c r="Y295" s="425" t="s">
        <v>390</v>
      </c>
      <c r="Z295" s="425" t="s">
        <v>390</v>
      </c>
      <c r="AA295" s="425" t="s">
        <v>390</v>
      </c>
      <c r="AB295" s="419"/>
      <c r="AC295" s="419"/>
      <c r="AD295" s="419"/>
      <c r="AE295" s="419"/>
      <c r="AF295" s="419"/>
      <c r="AG295" s="419"/>
      <c r="AH295" s="419"/>
      <c r="AI295" s="419"/>
      <c r="AJ295" s="419"/>
      <c r="AK295" s="419"/>
    </row>
    <row r="296" spans="1:37" s="424" customFormat="1" ht="12.95" customHeight="1" x14ac:dyDescent="0.45">
      <c r="A296" s="417"/>
      <c r="B296" s="418"/>
      <c r="C296" s="419" t="s">
        <v>391</v>
      </c>
      <c r="D296" s="420"/>
      <c r="E296" s="421"/>
      <c r="F296" s="422"/>
      <c r="G296" s="423">
        <f t="shared" ref="G296:AA296" si="120">G293+G294</f>
        <v>0</v>
      </c>
      <c r="H296" s="423">
        <f t="shared" si="120"/>
        <v>0</v>
      </c>
      <c r="I296" s="423">
        <f t="shared" si="120"/>
        <v>0</v>
      </c>
      <c r="J296" s="423">
        <f t="shared" si="120"/>
        <v>0</v>
      </c>
      <c r="K296" s="423">
        <f t="shared" si="120"/>
        <v>0</v>
      </c>
      <c r="L296" s="423">
        <f t="shared" si="120"/>
        <v>0</v>
      </c>
      <c r="M296" s="423">
        <f t="shared" si="120"/>
        <v>0</v>
      </c>
      <c r="N296" s="423">
        <f t="shared" si="120"/>
        <v>0</v>
      </c>
      <c r="O296" s="423">
        <f t="shared" si="120"/>
        <v>0</v>
      </c>
      <c r="P296" s="423">
        <f t="shared" si="120"/>
        <v>0</v>
      </c>
      <c r="Q296" s="423">
        <f t="shared" si="120"/>
        <v>0</v>
      </c>
      <c r="R296" s="423">
        <f t="shared" si="120"/>
        <v>0</v>
      </c>
      <c r="S296" s="423">
        <f t="shared" si="120"/>
        <v>0</v>
      </c>
      <c r="T296" s="423">
        <f t="shared" si="120"/>
        <v>0</v>
      </c>
      <c r="U296" s="423">
        <f t="shared" si="120"/>
        <v>0</v>
      </c>
      <c r="V296" s="423">
        <f t="shared" si="120"/>
        <v>0</v>
      </c>
      <c r="W296" s="423">
        <f t="shared" si="120"/>
        <v>0</v>
      </c>
      <c r="X296" s="423">
        <f t="shared" si="120"/>
        <v>0</v>
      </c>
      <c r="Y296" s="423">
        <f t="shared" si="120"/>
        <v>0</v>
      </c>
      <c r="Z296" s="423">
        <f t="shared" si="120"/>
        <v>0</v>
      </c>
      <c r="AA296" s="423">
        <f t="shared" si="120"/>
        <v>0</v>
      </c>
      <c r="AB296" s="419"/>
      <c r="AC296" s="419"/>
      <c r="AD296" s="419"/>
      <c r="AE296" s="419"/>
      <c r="AF296" s="419"/>
      <c r="AG296" s="419"/>
      <c r="AH296" s="419"/>
      <c r="AI296" s="419"/>
      <c r="AJ296" s="419"/>
      <c r="AK296" s="419"/>
    </row>
    <row r="297" spans="1:37" ht="12.75" customHeight="1" x14ac:dyDescent="0.45">
      <c r="A297" s="284"/>
      <c r="B297" s="331"/>
      <c r="C297" s="284"/>
      <c r="D297" s="284"/>
      <c r="E297" s="332"/>
      <c r="F297" s="284"/>
      <c r="G297" s="284"/>
      <c r="H297" s="284"/>
      <c r="I297" s="284"/>
      <c r="J297" s="284"/>
      <c r="K297" s="284"/>
      <c r="L297" s="284"/>
      <c r="M297" s="284"/>
      <c r="N297" s="333"/>
      <c r="O297" s="284"/>
      <c r="P297" s="284"/>
      <c r="Q297" s="284"/>
      <c r="R297" s="284"/>
      <c r="S297" s="284"/>
      <c r="T297" s="284"/>
      <c r="U297" s="284"/>
      <c r="V297" s="284"/>
      <c r="W297" s="284"/>
      <c r="X297" s="284"/>
      <c r="Y297" s="284"/>
      <c r="Z297" s="284"/>
      <c r="AA297" s="284"/>
      <c r="AB297" s="284"/>
      <c r="AC297" s="284"/>
      <c r="AD297" s="284"/>
      <c r="AE297" s="284"/>
      <c r="AF297" s="284"/>
      <c r="AG297" s="284"/>
      <c r="AH297" s="284"/>
      <c r="AI297" s="284"/>
      <c r="AJ297" s="284"/>
      <c r="AK297" s="284"/>
    </row>
    <row r="298" spans="1:37" ht="12.75" customHeight="1" x14ac:dyDescent="0.45">
      <c r="A298" s="284"/>
      <c r="B298" s="331"/>
      <c r="C298" s="284"/>
      <c r="D298" s="284"/>
      <c r="E298" s="332"/>
      <c r="F298" s="284"/>
      <c r="G298" s="284"/>
      <c r="H298" s="284"/>
      <c r="I298" s="284"/>
      <c r="J298" s="284"/>
      <c r="K298" s="284"/>
      <c r="L298" s="284"/>
      <c r="M298" s="284"/>
      <c r="N298" s="333"/>
      <c r="O298" s="284"/>
      <c r="P298" s="284"/>
      <c r="Q298" s="284"/>
      <c r="R298" s="284"/>
      <c r="S298" s="284"/>
      <c r="T298" s="284"/>
      <c r="U298" s="284"/>
      <c r="V298" s="284"/>
      <c r="W298" s="284"/>
      <c r="X298" s="284"/>
      <c r="Y298" s="284"/>
      <c r="Z298" s="284"/>
      <c r="AA298" s="284"/>
      <c r="AB298" s="284"/>
      <c r="AC298" s="284"/>
      <c r="AD298" s="284"/>
      <c r="AE298" s="284"/>
      <c r="AF298" s="284"/>
      <c r="AG298" s="284"/>
      <c r="AH298" s="284"/>
      <c r="AI298" s="284"/>
      <c r="AJ298" s="284"/>
      <c r="AK298" s="284"/>
    </row>
    <row r="299" spans="1:37" ht="12.75" customHeight="1" x14ac:dyDescent="0.45">
      <c r="A299" s="284"/>
      <c r="B299" s="331"/>
      <c r="C299" s="284"/>
      <c r="D299" s="284"/>
      <c r="E299" s="332"/>
      <c r="F299" s="284"/>
      <c r="G299" s="284"/>
      <c r="H299" s="284"/>
      <c r="I299" s="284"/>
      <c r="J299" s="284"/>
      <c r="K299" s="284"/>
      <c r="L299" s="284"/>
      <c r="M299" s="284"/>
      <c r="N299" s="333"/>
      <c r="O299" s="284"/>
      <c r="P299" s="284"/>
      <c r="Q299" s="284"/>
      <c r="R299" s="284"/>
      <c r="S299" s="284"/>
      <c r="T299" s="284"/>
      <c r="U299" s="284"/>
      <c r="V299" s="284"/>
      <c r="W299" s="284"/>
      <c r="X299" s="284"/>
      <c r="Y299" s="284"/>
      <c r="Z299" s="284"/>
      <c r="AA299" s="284"/>
      <c r="AB299" s="284"/>
      <c r="AC299" s="284"/>
      <c r="AD299" s="284"/>
      <c r="AE299" s="284"/>
      <c r="AF299" s="284"/>
      <c r="AG299" s="284"/>
      <c r="AH299" s="284"/>
      <c r="AI299" s="284"/>
      <c r="AJ299" s="284"/>
      <c r="AK299" s="284"/>
    </row>
    <row r="300" spans="1:37" ht="12.75" customHeight="1" x14ac:dyDescent="0.45">
      <c r="A300" s="284"/>
      <c r="B300" s="331"/>
      <c r="C300" s="284"/>
      <c r="D300" s="284"/>
      <c r="E300" s="332"/>
      <c r="F300" s="284"/>
      <c r="G300" s="284"/>
      <c r="H300" s="284"/>
      <c r="I300" s="284"/>
      <c r="J300" s="284"/>
      <c r="K300" s="284"/>
      <c r="L300" s="284"/>
      <c r="M300" s="284"/>
      <c r="N300" s="333"/>
      <c r="O300" s="284"/>
      <c r="P300" s="284"/>
      <c r="Q300" s="284"/>
      <c r="R300" s="284"/>
      <c r="S300" s="284"/>
      <c r="T300" s="284"/>
      <c r="U300" s="284"/>
      <c r="V300" s="284"/>
      <c r="W300" s="284"/>
      <c r="X300" s="284"/>
      <c r="Y300" s="284"/>
      <c r="Z300" s="284"/>
      <c r="AA300" s="284"/>
      <c r="AB300" s="284"/>
      <c r="AC300" s="284"/>
      <c r="AD300" s="284"/>
      <c r="AE300" s="284"/>
      <c r="AF300" s="284"/>
      <c r="AG300" s="284"/>
      <c r="AH300" s="284"/>
      <c r="AI300" s="284"/>
      <c r="AJ300" s="284"/>
      <c r="AK300" s="284"/>
    </row>
    <row r="301" spans="1:37" ht="12.75" customHeight="1" x14ac:dyDescent="0.45">
      <c r="A301" s="284"/>
      <c r="B301" s="331"/>
      <c r="C301" s="284"/>
      <c r="D301" s="284"/>
      <c r="E301" s="332"/>
      <c r="F301" s="284"/>
      <c r="G301" s="284"/>
      <c r="H301" s="284"/>
      <c r="I301" s="284"/>
      <c r="J301" s="284"/>
      <c r="K301" s="284"/>
      <c r="L301" s="284"/>
      <c r="M301" s="284"/>
      <c r="N301" s="333"/>
      <c r="O301" s="284"/>
      <c r="P301" s="284"/>
      <c r="Q301" s="284"/>
      <c r="R301" s="284"/>
      <c r="S301" s="284"/>
      <c r="T301" s="284"/>
      <c r="U301" s="284"/>
      <c r="V301" s="284"/>
      <c r="W301" s="284"/>
      <c r="X301" s="284"/>
      <c r="Y301" s="284"/>
      <c r="Z301" s="284"/>
      <c r="AA301" s="284"/>
      <c r="AB301" s="284"/>
      <c r="AC301" s="284"/>
      <c r="AD301" s="284"/>
      <c r="AE301" s="284"/>
      <c r="AF301" s="284"/>
      <c r="AG301" s="284"/>
      <c r="AH301" s="284"/>
      <c r="AI301" s="284"/>
      <c r="AJ301" s="284"/>
      <c r="AK301" s="284"/>
    </row>
    <row r="302" spans="1:37" ht="12.75" customHeight="1" x14ac:dyDescent="0.45">
      <c r="A302" s="284"/>
      <c r="B302" s="331"/>
      <c r="C302" s="284"/>
      <c r="D302" s="284"/>
      <c r="E302" s="332"/>
      <c r="F302" s="284"/>
      <c r="G302" s="284"/>
      <c r="H302" s="284"/>
      <c r="I302" s="284"/>
      <c r="J302" s="284"/>
      <c r="K302" s="284"/>
      <c r="L302" s="284"/>
      <c r="M302" s="284"/>
      <c r="N302" s="333"/>
      <c r="O302" s="284"/>
      <c r="P302" s="284"/>
      <c r="Q302" s="284"/>
      <c r="R302" s="284"/>
      <c r="S302" s="284"/>
      <c r="T302" s="284"/>
      <c r="U302" s="284"/>
      <c r="V302" s="284"/>
      <c r="W302" s="284"/>
      <c r="X302" s="284"/>
      <c r="Y302" s="284"/>
      <c r="Z302" s="284"/>
      <c r="AA302" s="284"/>
      <c r="AB302" s="284"/>
      <c r="AC302" s="284"/>
      <c r="AD302" s="284"/>
      <c r="AE302" s="284"/>
      <c r="AF302" s="284"/>
      <c r="AG302" s="284"/>
      <c r="AH302" s="284"/>
      <c r="AI302" s="284"/>
      <c r="AJ302" s="284"/>
      <c r="AK302" s="284"/>
    </row>
    <row r="303" spans="1:37" ht="12.75" customHeight="1" x14ac:dyDescent="0.45">
      <c r="A303" s="284"/>
      <c r="B303" s="331"/>
      <c r="C303" s="284"/>
      <c r="D303" s="284"/>
      <c r="E303" s="332"/>
      <c r="F303" s="284"/>
      <c r="G303" s="284"/>
      <c r="H303" s="284"/>
      <c r="I303" s="284"/>
      <c r="J303" s="284"/>
      <c r="K303" s="284"/>
      <c r="L303" s="284"/>
      <c r="M303" s="284"/>
      <c r="N303" s="333"/>
      <c r="O303" s="284"/>
      <c r="P303" s="284"/>
      <c r="Q303" s="284"/>
      <c r="R303" s="284"/>
      <c r="S303" s="284"/>
      <c r="T303" s="284"/>
      <c r="U303" s="284"/>
      <c r="V303" s="284"/>
      <c r="W303" s="284"/>
      <c r="X303" s="284"/>
      <c r="Y303" s="284"/>
      <c r="Z303" s="284"/>
      <c r="AA303" s="284"/>
      <c r="AB303" s="284"/>
      <c r="AC303" s="284"/>
      <c r="AD303" s="284"/>
      <c r="AE303" s="284"/>
      <c r="AF303" s="284"/>
      <c r="AG303" s="284"/>
      <c r="AH303" s="284"/>
      <c r="AI303" s="284"/>
      <c r="AJ303" s="284"/>
      <c r="AK303" s="284"/>
    </row>
    <row r="304" spans="1:37" ht="12.75" customHeight="1" x14ac:dyDescent="0.45">
      <c r="A304" s="284"/>
      <c r="B304" s="331"/>
      <c r="C304" s="284"/>
      <c r="D304" s="284"/>
      <c r="E304" s="332"/>
      <c r="F304" s="284"/>
      <c r="G304" s="284"/>
      <c r="H304" s="284"/>
      <c r="I304" s="284"/>
      <c r="J304" s="284"/>
      <c r="K304" s="284"/>
      <c r="L304" s="284"/>
      <c r="M304" s="284"/>
      <c r="N304" s="333"/>
      <c r="O304" s="284"/>
      <c r="P304" s="284"/>
      <c r="Q304" s="284"/>
      <c r="R304" s="284"/>
      <c r="S304" s="284"/>
      <c r="T304" s="284"/>
      <c r="U304" s="284"/>
      <c r="V304" s="284"/>
      <c r="W304" s="284"/>
      <c r="X304" s="284"/>
      <c r="Y304" s="284"/>
      <c r="Z304" s="284"/>
      <c r="AA304" s="284"/>
      <c r="AB304" s="284"/>
      <c r="AC304" s="284"/>
      <c r="AD304" s="284"/>
      <c r="AE304" s="284"/>
      <c r="AF304" s="284"/>
      <c r="AG304" s="284"/>
      <c r="AH304" s="284"/>
      <c r="AI304" s="284"/>
      <c r="AJ304" s="284"/>
      <c r="AK304" s="284"/>
    </row>
    <row r="305" spans="1:37" ht="12.75" customHeight="1" x14ac:dyDescent="0.45">
      <c r="A305" s="284"/>
      <c r="B305" s="331"/>
      <c r="C305" s="284"/>
      <c r="D305" s="284"/>
      <c r="E305" s="332"/>
      <c r="F305" s="284"/>
      <c r="G305" s="284"/>
      <c r="H305" s="284"/>
      <c r="I305" s="284"/>
      <c r="J305" s="284"/>
      <c r="K305" s="284"/>
      <c r="L305" s="284"/>
      <c r="M305" s="284"/>
      <c r="N305" s="333"/>
      <c r="O305" s="284"/>
      <c r="P305" s="284"/>
      <c r="Q305" s="284"/>
      <c r="R305" s="284"/>
      <c r="S305" s="284"/>
      <c r="T305" s="284"/>
      <c r="U305" s="284"/>
      <c r="V305" s="284"/>
      <c r="W305" s="284"/>
      <c r="X305" s="284"/>
      <c r="Y305" s="284"/>
      <c r="Z305" s="284"/>
      <c r="AA305" s="284"/>
      <c r="AB305" s="284"/>
      <c r="AC305" s="284"/>
      <c r="AD305" s="284"/>
      <c r="AE305" s="284"/>
      <c r="AF305" s="284"/>
      <c r="AG305" s="284"/>
      <c r="AH305" s="284"/>
      <c r="AI305" s="284"/>
      <c r="AJ305" s="284"/>
      <c r="AK305" s="284"/>
    </row>
    <row r="306" spans="1:37" ht="12.75" customHeight="1" x14ac:dyDescent="0.45">
      <c r="A306" s="284"/>
      <c r="B306" s="331"/>
      <c r="C306" s="284"/>
      <c r="D306" s="284"/>
      <c r="E306" s="332"/>
      <c r="F306" s="284"/>
      <c r="G306" s="284"/>
      <c r="H306" s="284"/>
      <c r="I306" s="284"/>
      <c r="J306" s="284"/>
      <c r="K306" s="284"/>
      <c r="L306" s="284"/>
      <c r="M306" s="284"/>
      <c r="N306" s="333"/>
      <c r="O306" s="284"/>
      <c r="P306" s="284"/>
      <c r="Q306" s="284"/>
      <c r="R306" s="284"/>
      <c r="S306" s="284"/>
      <c r="T306" s="284"/>
      <c r="U306" s="284"/>
      <c r="V306" s="284"/>
      <c r="W306" s="284"/>
      <c r="X306" s="284"/>
      <c r="Y306" s="284"/>
      <c r="Z306" s="284"/>
      <c r="AA306" s="284"/>
      <c r="AB306" s="284"/>
      <c r="AC306" s="284"/>
      <c r="AD306" s="284"/>
      <c r="AE306" s="284"/>
      <c r="AF306" s="284"/>
      <c r="AG306" s="284"/>
      <c r="AH306" s="284"/>
      <c r="AI306" s="284"/>
      <c r="AJ306" s="284"/>
      <c r="AK306" s="284"/>
    </row>
    <row r="307" spans="1:37" ht="12.75" customHeight="1" x14ac:dyDescent="0.45">
      <c r="A307" s="284"/>
      <c r="B307" s="331"/>
      <c r="C307" s="284"/>
      <c r="D307" s="284"/>
      <c r="E307" s="332"/>
      <c r="F307" s="284"/>
      <c r="G307" s="284"/>
      <c r="H307" s="284"/>
      <c r="I307" s="284"/>
      <c r="J307" s="284"/>
      <c r="K307" s="284"/>
      <c r="L307" s="284"/>
      <c r="M307" s="284"/>
      <c r="N307" s="333"/>
      <c r="O307" s="284"/>
      <c r="P307" s="284"/>
      <c r="Q307" s="284"/>
      <c r="R307" s="284"/>
      <c r="S307" s="284"/>
      <c r="T307" s="284"/>
      <c r="U307" s="284"/>
      <c r="V307" s="284"/>
      <c r="W307" s="284"/>
      <c r="X307" s="284"/>
      <c r="Y307" s="284"/>
      <c r="Z307" s="284"/>
      <c r="AA307" s="284"/>
      <c r="AB307" s="284"/>
      <c r="AC307" s="284"/>
      <c r="AD307" s="284"/>
      <c r="AE307" s="284"/>
      <c r="AF307" s="284"/>
      <c r="AG307" s="284"/>
      <c r="AH307" s="284"/>
      <c r="AI307" s="284"/>
      <c r="AJ307" s="284"/>
      <c r="AK307" s="284"/>
    </row>
    <row r="308" spans="1:37" ht="12.75" customHeight="1" x14ac:dyDescent="0.45">
      <c r="A308" s="284"/>
      <c r="B308" s="331"/>
      <c r="C308" s="284"/>
      <c r="D308" s="284"/>
      <c r="E308" s="332"/>
      <c r="F308" s="284"/>
      <c r="G308" s="284"/>
      <c r="H308" s="284"/>
      <c r="I308" s="284"/>
      <c r="J308" s="284"/>
      <c r="K308" s="284"/>
      <c r="L308" s="284"/>
      <c r="M308" s="284"/>
      <c r="N308" s="333"/>
      <c r="O308" s="284"/>
      <c r="P308" s="284"/>
      <c r="Q308" s="284"/>
      <c r="R308" s="284"/>
      <c r="S308" s="284"/>
      <c r="T308" s="284"/>
      <c r="U308" s="284"/>
      <c r="V308" s="284"/>
      <c r="W308" s="284"/>
      <c r="X308" s="284"/>
      <c r="Y308" s="284"/>
      <c r="Z308" s="284"/>
      <c r="AA308" s="284"/>
      <c r="AB308" s="284"/>
      <c r="AC308" s="284"/>
      <c r="AD308" s="284"/>
      <c r="AE308" s="284"/>
      <c r="AF308" s="284"/>
      <c r="AG308" s="284"/>
      <c r="AH308" s="284"/>
      <c r="AI308" s="284"/>
      <c r="AJ308" s="284"/>
      <c r="AK308" s="284"/>
    </row>
    <row r="309" spans="1:37" ht="12.75" customHeight="1" x14ac:dyDescent="0.45">
      <c r="A309" s="284"/>
      <c r="B309" s="331"/>
      <c r="C309" s="284"/>
      <c r="D309" s="284"/>
      <c r="E309" s="332"/>
      <c r="F309" s="284"/>
      <c r="G309" s="284"/>
      <c r="H309" s="284"/>
      <c r="I309" s="284"/>
      <c r="J309" s="284"/>
      <c r="K309" s="284"/>
      <c r="L309" s="284"/>
      <c r="M309" s="284"/>
      <c r="N309" s="333"/>
      <c r="O309" s="284"/>
      <c r="P309" s="284"/>
      <c r="Q309" s="284"/>
      <c r="R309" s="284"/>
      <c r="S309" s="284"/>
      <c r="T309" s="284"/>
      <c r="U309" s="284"/>
      <c r="V309" s="284"/>
      <c r="W309" s="284"/>
      <c r="X309" s="284"/>
      <c r="Y309" s="284"/>
      <c r="Z309" s="284"/>
      <c r="AA309" s="284"/>
      <c r="AB309" s="284"/>
      <c r="AC309" s="284"/>
      <c r="AD309" s="284"/>
      <c r="AE309" s="284"/>
      <c r="AF309" s="284"/>
      <c r="AG309" s="284"/>
      <c r="AH309" s="284"/>
      <c r="AI309" s="284"/>
      <c r="AJ309" s="284"/>
      <c r="AK309" s="284"/>
    </row>
    <row r="310" spans="1:37" ht="12.75" customHeight="1" x14ac:dyDescent="0.45">
      <c r="A310" s="284"/>
      <c r="B310" s="331"/>
      <c r="C310" s="284"/>
      <c r="D310" s="284"/>
      <c r="E310" s="332"/>
      <c r="F310" s="284"/>
      <c r="G310" s="284"/>
      <c r="H310" s="284"/>
      <c r="I310" s="284"/>
      <c r="J310" s="284"/>
      <c r="K310" s="284"/>
      <c r="L310" s="284"/>
      <c r="M310" s="284"/>
      <c r="N310" s="333"/>
      <c r="O310" s="284"/>
      <c r="P310" s="284"/>
      <c r="Q310" s="284"/>
      <c r="R310" s="284"/>
      <c r="S310" s="284"/>
      <c r="T310" s="284"/>
      <c r="U310" s="284"/>
      <c r="V310" s="284"/>
      <c r="W310" s="284"/>
      <c r="X310" s="284"/>
      <c r="Y310" s="284"/>
      <c r="Z310" s="284"/>
      <c r="AA310" s="284"/>
      <c r="AB310" s="284"/>
      <c r="AC310" s="284"/>
      <c r="AD310" s="284"/>
      <c r="AE310" s="284"/>
      <c r="AF310" s="284"/>
      <c r="AG310" s="284"/>
      <c r="AH310" s="284"/>
      <c r="AI310" s="284"/>
      <c r="AJ310" s="284"/>
      <c r="AK310" s="284"/>
    </row>
    <row r="311" spans="1:37" ht="12.75" customHeight="1" x14ac:dyDescent="0.45">
      <c r="A311" s="284"/>
      <c r="B311" s="331"/>
      <c r="C311" s="284"/>
      <c r="D311" s="284"/>
      <c r="E311" s="332"/>
      <c r="F311" s="284"/>
      <c r="G311" s="284"/>
      <c r="H311" s="284"/>
      <c r="I311" s="284"/>
      <c r="J311" s="284"/>
      <c r="K311" s="284"/>
      <c r="L311" s="284"/>
      <c r="M311" s="284"/>
      <c r="N311" s="333"/>
      <c r="O311" s="284"/>
      <c r="P311" s="284"/>
      <c r="Q311" s="284"/>
      <c r="R311" s="284"/>
      <c r="S311" s="284"/>
      <c r="T311" s="284"/>
      <c r="U311" s="284"/>
      <c r="V311" s="284"/>
      <c r="W311" s="284"/>
      <c r="X311" s="284"/>
      <c r="Y311" s="284"/>
      <c r="Z311" s="284"/>
      <c r="AA311" s="284"/>
      <c r="AB311" s="284"/>
      <c r="AC311" s="284"/>
      <c r="AD311" s="284"/>
      <c r="AE311" s="284"/>
      <c r="AF311" s="284"/>
      <c r="AG311" s="284"/>
      <c r="AH311" s="284"/>
      <c r="AI311" s="284"/>
      <c r="AJ311" s="284"/>
      <c r="AK311" s="284"/>
    </row>
    <row r="312" spans="1:37" ht="12.75" customHeight="1" x14ac:dyDescent="0.45">
      <c r="A312" s="284"/>
      <c r="B312" s="331"/>
      <c r="C312" s="284"/>
      <c r="D312" s="284"/>
      <c r="E312" s="332"/>
      <c r="F312" s="284"/>
      <c r="G312" s="284"/>
      <c r="H312" s="284"/>
      <c r="I312" s="284"/>
      <c r="J312" s="284"/>
      <c r="K312" s="284"/>
      <c r="L312" s="284"/>
      <c r="M312" s="284"/>
      <c r="N312" s="333"/>
      <c r="O312" s="284"/>
      <c r="P312" s="284"/>
      <c r="Q312" s="284"/>
      <c r="R312" s="284"/>
      <c r="S312" s="284"/>
      <c r="T312" s="284"/>
      <c r="U312" s="284"/>
      <c r="V312" s="284"/>
      <c r="W312" s="284"/>
      <c r="X312" s="284"/>
      <c r="Y312" s="284"/>
      <c r="Z312" s="284"/>
      <c r="AA312" s="284"/>
      <c r="AB312" s="284"/>
      <c r="AC312" s="284"/>
      <c r="AD312" s="284"/>
      <c r="AE312" s="284"/>
      <c r="AF312" s="284"/>
      <c r="AG312" s="284"/>
      <c r="AH312" s="284"/>
      <c r="AI312" s="284"/>
      <c r="AJ312" s="284"/>
      <c r="AK312" s="284"/>
    </row>
    <row r="313" spans="1:37" ht="12.75" customHeight="1" x14ac:dyDescent="0.45">
      <c r="A313" s="284"/>
      <c r="B313" s="331"/>
      <c r="C313" s="284"/>
      <c r="D313" s="284"/>
      <c r="E313" s="332"/>
      <c r="F313" s="284"/>
      <c r="G313" s="284"/>
      <c r="H313" s="284"/>
      <c r="I313" s="284"/>
      <c r="J313" s="284"/>
      <c r="K313" s="284"/>
      <c r="L313" s="284"/>
      <c r="M313" s="284"/>
      <c r="N313" s="333"/>
      <c r="O313" s="284"/>
      <c r="P313" s="284"/>
      <c r="Q313" s="284"/>
      <c r="R313" s="284"/>
      <c r="S313" s="284"/>
      <c r="T313" s="284"/>
      <c r="U313" s="284"/>
      <c r="V313" s="284"/>
      <c r="W313" s="284"/>
      <c r="X313" s="284"/>
      <c r="Y313" s="284"/>
      <c r="Z313" s="284"/>
      <c r="AA313" s="284"/>
      <c r="AB313" s="284"/>
      <c r="AC313" s="284"/>
      <c r="AD313" s="284"/>
      <c r="AE313" s="284"/>
      <c r="AF313" s="284"/>
      <c r="AG313" s="284"/>
      <c r="AH313" s="284"/>
      <c r="AI313" s="284"/>
      <c r="AJ313" s="284"/>
      <c r="AK313" s="284"/>
    </row>
    <row r="314" spans="1:37" ht="12.75" customHeight="1" x14ac:dyDescent="0.45">
      <c r="A314" s="284"/>
      <c r="B314" s="331"/>
      <c r="C314" s="284"/>
      <c r="D314" s="284"/>
      <c r="E314" s="332"/>
      <c r="F314" s="284"/>
      <c r="G314" s="284"/>
      <c r="H314" s="284"/>
      <c r="I314" s="284"/>
      <c r="J314" s="284"/>
      <c r="K314" s="284"/>
      <c r="L314" s="284"/>
      <c r="M314" s="284"/>
      <c r="N314" s="333"/>
      <c r="O314" s="284"/>
      <c r="P314" s="284"/>
      <c r="Q314" s="284"/>
      <c r="R314" s="284"/>
      <c r="S314" s="284"/>
      <c r="T314" s="284"/>
      <c r="U314" s="284"/>
      <c r="V314" s="284"/>
      <c r="W314" s="284"/>
      <c r="X314" s="284"/>
      <c r="Y314" s="284"/>
      <c r="Z314" s="284"/>
      <c r="AA314" s="284"/>
      <c r="AB314" s="284"/>
      <c r="AC314" s="284"/>
      <c r="AD314" s="284"/>
      <c r="AE314" s="284"/>
      <c r="AF314" s="284"/>
      <c r="AG314" s="284"/>
      <c r="AH314" s="284"/>
      <c r="AI314" s="284"/>
      <c r="AJ314" s="284"/>
      <c r="AK314" s="284"/>
    </row>
    <row r="315" spans="1:37" ht="12.75" customHeight="1" x14ac:dyDescent="0.45">
      <c r="A315" s="284"/>
      <c r="B315" s="331"/>
      <c r="C315" s="284"/>
      <c r="D315" s="284"/>
      <c r="E315" s="332"/>
      <c r="F315" s="284"/>
      <c r="G315" s="284"/>
      <c r="H315" s="284"/>
      <c r="I315" s="284"/>
      <c r="J315" s="284"/>
      <c r="K315" s="284"/>
      <c r="L315" s="284"/>
      <c r="M315" s="284"/>
      <c r="N315" s="333"/>
      <c r="O315" s="284"/>
      <c r="P315" s="284"/>
      <c r="Q315" s="284"/>
      <c r="R315" s="284"/>
      <c r="S315" s="284"/>
      <c r="T315" s="284"/>
      <c r="U315" s="284"/>
      <c r="V315" s="284"/>
      <c r="W315" s="284"/>
      <c r="X315" s="284"/>
      <c r="Y315" s="284"/>
      <c r="Z315" s="284"/>
      <c r="AA315" s="284"/>
      <c r="AB315" s="284"/>
      <c r="AC315" s="284"/>
      <c r="AD315" s="284"/>
      <c r="AE315" s="284"/>
      <c r="AF315" s="284"/>
      <c r="AG315" s="284"/>
      <c r="AH315" s="284"/>
      <c r="AI315" s="284"/>
      <c r="AJ315" s="284"/>
      <c r="AK315" s="284"/>
    </row>
    <row r="316" spans="1:37" ht="12.75" customHeight="1" x14ac:dyDescent="0.45">
      <c r="A316" s="284"/>
      <c r="B316" s="331"/>
      <c r="C316" s="284"/>
      <c r="D316" s="284"/>
      <c r="E316" s="332"/>
      <c r="F316" s="284"/>
      <c r="G316" s="284"/>
      <c r="H316" s="284"/>
      <c r="I316" s="284"/>
      <c r="J316" s="284"/>
      <c r="K316" s="284"/>
      <c r="L316" s="284"/>
      <c r="M316" s="284"/>
      <c r="N316" s="333"/>
      <c r="O316" s="284"/>
      <c r="P316" s="284"/>
      <c r="Q316" s="284"/>
      <c r="R316" s="284"/>
      <c r="S316" s="284"/>
      <c r="T316" s="284"/>
      <c r="U316" s="284"/>
      <c r="V316" s="284"/>
      <c r="W316" s="284"/>
      <c r="X316" s="284"/>
      <c r="Y316" s="284"/>
      <c r="Z316" s="284"/>
      <c r="AA316" s="284"/>
      <c r="AB316" s="284"/>
      <c r="AC316" s="284"/>
      <c r="AD316" s="284"/>
      <c r="AE316" s="284"/>
      <c r="AF316" s="284"/>
      <c r="AG316" s="284"/>
      <c r="AH316" s="284"/>
      <c r="AI316" s="284"/>
      <c r="AJ316" s="284"/>
      <c r="AK316" s="284"/>
    </row>
    <row r="317" spans="1:37" ht="12.75" customHeight="1" x14ac:dyDescent="0.45">
      <c r="A317" s="284"/>
      <c r="B317" s="331"/>
      <c r="C317" s="284"/>
      <c r="D317" s="284"/>
      <c r="E317" s="332"/>
      <c r="F317" s="284"/>
      <c r="G317" s="284"/>
      <c r="H317" s="284"/>
      <c r="I317" s="284"/>
      <c r="J317" s="284"/>
      <c r="K317" s="284"/>
      <c r="L317" s="284"/>
      <c r="M317" s="284"/>
      <c r="N317" s="333"/>
      <c r="O317" s="284"/>
      <c r="P317" s="284"/>
      <c r="Q317" s="284"/>
      <c r="R317" s="284"/>
      <c r="S317" s="284"/>
      <c r="T317" s="284"/>
      <c r="U317" s="284"/>
      <c r="V317" s="284"/>
      <c r="W317" s="284"/>
      <c r="X317" s="284"/>
      <c r="Y317" s="284"/>
      <c r="Z317" s="284"/>
      <c r="AA317" s="284"/>
      <c r="AB317" s="284"/>
      <c r="AC317" s="284"/>
      <c r="AD317" s="284"/>
      <c r="AE317" s="284"/>
      <c r="AF317" s="284"/>
      <c r="AG317" s="284"/>
      <c r="AH317" s="284"/>
      <c r="AI317" s="284"/>
      <c r="AJ317" s="284"/>
      <c r="AK317" s="284"/>
    </row>
    <row r="318" spans="1:37" ht="12.75" customHeight="1" x14ac:dyDescent="0.45">
      <c r="A318" s="284"/>
      <c r="B318" s="331"/>
      <c r="C318" s="284"/>
      <c r="D318" s="284"/>
      <c r="E318" s="332"/>
      <c r="F318" s="284"/>
      <c r="G318" s="284"/>
      <c r="H318" s="284"/>
      <c r="I318" s="284"/>
      <c r="J318" s="284"/>
      <c r="K318" s="284"/>
      <c r="L318" s="284"/>
      <c r="M318" s="284"/>
      <c r="N318" s="333"/>
      <c r="O318" s="284"/>
      <c r="P318" s="284"/>
      <c r="Q318" s="284"/>
      <c r="R318" s="284"/>
      <c r="S318" s="284"/>
      <c r="T318" s="284"/>
      <c r="U318" s="284"/>
      <c r="V318" s="284"/>
      <c r="W318" s="284"/>
      <c r="X318" s="284"/>
      <c r="Y318" s="284"/>
      <c r="Z318" s="284"/>
      <c r="AA318" s="284"/>
      <c r="AB318" s="284"/>
      <c r="AC318" s="284"/>
      <c r="AD318" s="284"/>
      <c r="AE318" s="284"/>
      <c r="AF318" s="284"/>
      <c r="AG318" s="284"/>
      <c r="AH318" s="284"/>
      <c r="AI318" s="284"/>
      <c r="AJ318" s="284"/>
      <c r="AK318" s="284"/>
    </row>
    <row r="319" spans="1:37" ht="12.75" customHeight="1" x14ac:dyDescent="0.45">
      <c r="A319" s="284"/>
      <c r="B319" s="331"/>
      <c r="C319" s="284"/>
      <c r="D319" s="284"/>
      <c r="E319" s="332"/>
      <c r="F319" s="284"/>
      <c r="G319" s="284"/>
      <c r="H319" s="284"/>
      <c r="I319" s="284"/>
      <c r="J319" s="284"/>
      <c r="K319" s="284"/>
      <c r="L319" s="284"/>
      <c r="M319" s="284"/>
      <c r="N319" s="333"/>
      <c r="O319" s="284"/>
      <c r="P319" s="284"/>
      <c r="Q319" s="284"/>
      <c r="R319" s="284"/>
      <c r="S319" s="284"/>
      <c r="T319" s="284"/>
      <c r="U319" s="284"/>
      <c r="V319" s="284"/>
      <c r="W319" s="284"/>
      <c r="X319" s="284"/>
      <c r="Y319" s="284"/>
      <c r="Z319" s="284"/>
      <c r="AA319" s="284"/>
      <c r="AB319" s="284"/>
      <c r="AC319" s="284"/>
      <c r="AD319" s="284"/>
      <c r="AE319" s="284"/>
      <c r="AF319" s="284"/>
      <c r="AG319" s="284"/>
      <c r="AH319" s="284"/>
      <c r="AI319" s="284"/>
      <c r="AJ319" s="284"/>
      <c r="AK319" s="284"/>
    </row>
    <row r="320" spans="1:37" ht="12.75" customHeight="1" x14ac:dyDescent="0.45">
      <c r="A320" s="284"/>
      <c r="B320" s="331"/>
      <c r="C320" s="284"/>
      <c r="D320" s="284"/>
      <c r="E320" s="332"/>
      <c r="F320" s="284"/>
      <c r="G320" s="284"/>
      <c r="H320" s="284"/>
      <c r="I320" s="284"/>
      <c r="J320" s="284"/>
      <c r="K320" s="284"/>
      <c r="L320" s="284"/>
      <c r="M320" s="284"/>
      <c r="N320" s="333"/>
      <c r="O320" s="284"/>
      <c r="P320" s="284"/>
      <c r="Q320" s="284"/>
      <c r="R320" s="284"/>
      <c r="S320" s="284"/>
      <c r="T320" s="284"/>
      <c r="U320" s="284"/>
      <c r="V320" s="284"/>
      <c r="W320" s="284"/>
      <c r="X320" s="284"/>
      <c r="Y320" s="284"/>
      <c r="Z320" s="284"/>
      <c r="AA320" s="284"/>
      <c r="AB320" s="284"/>
      <c r="AC320" s="284"/>
      <c r="AD320" s="284"/>
      <c r="AE320" s="284"/>
      <c r="AF320" s="284"/>
      <c r="AG320" s="284"/>
      <c r="AH320" s="284"/>
      <c r="AI320" s="284"/>
      <c r="AJ320" s="284"/>
      <c r="AK320" s="284"/>
    </row>
    <row r="321" spans="1:37" ht="12.75" customHeight="1" x14ac:dyDescent="0.45">
      <c r="A321" s="284"/>
      <c r="B321" s="331"/>
      <c r="C321" s="284"/>
      <c r="D321" s="284"/>
      <c r="E321" s="332"/>
      <c r="F321" s="284"/>
      <c r="G321" s="284"/>
      <c r="H321" s="284"/>
      <c r="I321" s="284"/>
      <c r="J321" s="284"/>
      <c r="K321" s="284"/>
      <c r="L321" s="284"/>
      <c r="M321" s="284"/>
      <c r="N321" s="333"/>
      <c r="O321" s="284"/>
      <c r="P321" s="284"/>
      <c r="Q321" s="284"/>
      <c r="R321" s="284"/>
      <c r="S321" s="284"/>
      <c r="T321" s="284"/>
      <c r="U321" s="284"/>
      <c r="V321" s="284"/>
      <c r="W321" s="284"/>
      <c r="X321" s="284"/>
      <c r="Y321" s="284"/>
      <c r="Z321" s="284"/>
      <c r="AA321" s="284"/>
      <c r="AB321" s="284"/>
      <c r="AC321" s="284"/>
      <c r="AD321" s="284"/>
      <c r="AE321" s="284"/>
      <c r="AF321" s="284"/>
      <c r="AG321" s="284"/>
      <c r="AH321" s="284"/>
      <c r="AI321" s="284"/>
      <c r="AJ321" s="284"/>
      <c r="AK321" s="284"/>
    </row>
    <row r="322" spans="1:37" ht="12.75" customHeight="1" x14ac:dyDescent="0.45">
      <c r="A322" s="284"/>
      <c r="B322" s="331"/>
      <c r="C322" s="284"/>
      <c r="D322" s="284"/>
      <c r="E322" s="332"/>
      <c r="F322" s="284"/>
      <c r="G322" s="284"/>
      <c r="H322" s="284"/>
      <c r="I322" s="284"/>
      <c r="J322" s="284"/>
      <c r="K322" s="284"/>
      <c r="L322" s="284"/>
      <c r="M322" s="284"/>
      <c r="N322" s="333"/>
      <c r="O322" s="284"/>
      <c r="P322" s="284"/>
      <c r="Q322" s="284"/>
      <c r="R322" s="284"/>
      <c r="S322" s="284"/>
      <c r="T322" s="284"/>
      <c r="U322" s="284"/>
      <c r="V322" s="284"/>
      <c r="W322" s="284"/>
      <c r="X322" s="284"/>
      <c r="Y322" s="284"/>
      <c r="Z322" s="284"/>
      <c r="AA322" s="284"/>
      <c r="AB322" s="284"/>
      <c r="AC322" s="284"/>
      <c r="AD322" s="284"/>
      <c r="AE322" s="284"/>
      <c r="AF322" s="284"/>
      <c r="AG322" s="284"/>
      <c r="AH322" s="284"/>
      <c r="AI322" s="284"/>
      <c r="AJ322" s="284"/>
      <c r="AK322" s="284"/>
    </row>
    <row r="323" spans="1:37" ht="12.75" customHeight="1" x14ac:dyDescent="0.45">
      <c r="A323" s="284"/>
      <c r="B323" s="331"/>
      <c r="C323" s="284"/>
      <c r="D323" s="284"/>
      <c r="E323" s="332"/>
      <c r="F323" s="284"/>
      <c r="G323" s="284"/>
      <c r="H323" s="284"/>
      <c r="I323" s="284"/>
      <c r="J323" s="284"/>
      <c r="K323" s="284"/>
      <c r="L323" s="284"/>
      <c r="M323" s="284"/>
      <c r="N323" s="333"/>
      <c r="O323" s="284"/>
      <c r="P323" s="284"/>
      <c r="Q323" s="284"/>
      <c r="R323" s="284"/>
      <c r="S323" s="284"/>
      <c r="T323" s="284"/>
      <c r="U323" s="284"/>
      <c r="V323" s="284"/>
      <c r="W323" s="284"/>
      <c r="X323" s="284"/>
      <c r="Y323" s="284"/>
      <c r="Z323" s="284"/>
      <c r="AA323" s="284"/>
      <c r="AB323" s="284"/>
      <c r="AC323" s="284"/>
      <c r="AD323" s="284"/>
      <c r="AE323" s="284"/>
      <c r="AF323" s="284"/>
      <c r="AG323" s="284"/>
      <c r="AH323" s="284"/>
      <c r="AI323" s="284"/>
      <c r="AJ323" s="284"/>
      <c r="AK323" s="284"/>
    </row>
    <row r="324" spans="1:37" ht="12.75" customHeight="1" x14ac:dyDescent="0.45">
      <c r="A324" s="284"/>
      <c r="B324" s="331"/>
      <c r="C324" s="284"/>
      <c r="D324" s="284"/>
      <c r="E324" s="332"/>
      <c r="F324" s="284"/>
      <c r="G324" s="284"/>
      <c r="H324" s="284"/>
      <c r="I324" s="284"/>
      <c r="J324" s="284"/>
      <c r="K324" s="284"/>
      <c r="L324" s="284"/>
      <c r="M324" s="284"/>
      <c r="N324" s="333"/>
      <c r="O324" s="284"/>
      <c r="P324" s="284"/>
      <c r="Q324" s="284"/>
      <c r="R324" s="284"/>
      <c r="S324" s="284"/>
      <c r="T324" s="284"/>
      <c r="U324" s="284"/>
      <c r="V324" s="284"/>
      <c r="W324" s="284"/>
      <c r="X324" s="284"/>
      <c r="Y324" s="284"/>
      <c r="Z324" s="284"/>
      <c r="AA324" s="284"/>
      <c r="AB324" s="284"/>
      <c r="AC324" s="284"/>
      <c r="AD324" s="284"/>
      <c r="AE324" s="284"/>
      <c r="AF324" s="284"/>
      <c r="AG324" s="284"/>
      <c r="AH324" s="284"/>
      <c r="AI324" s="284"/>
      <c r="AJ324" s="284"/>
      <c r="AK324" s="284"/>
    </row>
    <row r="325" spans="1:37" ht="12.75" customHeight="1" x14ac:dyDescent="0.45">
      <c r="A325" s="284"/>
      <c r="B325" s="331"/>
      <c r="C325" s="284"/>
      <c r="D325" s="284"/>
      <c r="E325" s="332"/>
      <c r="F325" s="284"/>
      <c r="G325" s="284"/>
      <c r="H325" s="284"/>
      <c r="I325" s="284"/>
      <c r="J325" s="284"/>
      <c r="K325" s="284"/>
      <c r="L325" s="284"/>
      <c r="M325" s="284"/>
      <c r="N325" s="333"/>
      <c r="O325" s="284"/>
      <c r="P325" s="284"/>
      <c r="Q325" s="284"/>
      <c r="R325" s="284"/>
      <c r="S325" s="284"/>
      <c r="T325" s="284"/>
      <c r="U325" s="284"/>
      <c r="V325" s="284"/>
      <c r="W325" s="284"/>
      <c r="X325" s="284"/>
      <c r="Y325" s="284"/>
      <c r="Z325" s="284"/>
      <c r="AA325" s="284"/>
      <c r="AB325" s="284"/>
      <c r="AC325" s="284"/>
      <c r="AD325" s="284"/>
      <c r="AE325" s="284"/>
      <c r="AF325" s="284"/>
      <c r="AG325" s="284"/>
      <c r="AH325" s="284"/>
      <c r="AI325" s="284"/>
      <c r="AJ325" s="284"/>
      <c r="AK325" s="284"/>
    </row>
    <row r="326" spans="1:37" ht="12.75" customHeight="1" x14ac:dyDescent="0.45">
      <c r="A326" s="284"/>
      <c r="B326" s="331"/>
      <c r="C326" s="284"/>
      <c r="D326" s="284"/>
      <c r="E326" s="332"/>
      <c r="F326" s="284"/>
      <c r="G326" s="284"/>
      <c r="H326" s="284"/>
      <c r="I326" s="284"/>
      <c r="J326" s="284"/>
      <c r="K326" s="284"/>
      <c r="L326" s="284"/>
      <c r="M326" s="284"/>
      <c r="N326" s="333"/>
      <c r="O326" s="284"/>
      <c r="P326" s="284"/>
      <c r="Q326" s="284"/>
      <c r="R326" s="284"/>
      <c r="S326" s="284"/>
      <c r="T326" s="284"/>
      <c r="U326" s="284"/>
      <c r="V326" s="284"/>
      <c r="W326" s="284"/>
      <c r="X326" s="284"/>
      <c r="Y326" s="284"/>
      <c r="Z326" s="284"/>
      <c r="AA326" s="284"/>
      <c r="AB326" s="284"/>
      <c r="AC326" s="284"/>
      <c r="AD326" s="284"/>
      <c r="AE326" s="284"/>
      <c r="AF326" s="284"/>
      <c r="AG326" s="284"/>
      <c r="AH326" s="284"/>
      <c r="AI326" s="284"/>
      <c r="AJ326" s="284"/>
      <c r="AK326" s="284"/>
    </row>
    <row r="327" spans="1:37" ht="12.75" customHeight="1" x14ac:dyDescent="0.45">
      <c r="A327" s="284"/>
      <c r="B327" s="331"/>
      <c r="C327" s="284"/>
      <c r="D327" s="284"/>
      <c r="E327" s="332"/>
      <c r="F327" s="284"/>
      <c r="G327" s="284"/>
      <c r="H327" s="284"/>
      <c r="I327" s="284"/>
      <c r="J327" s="284"/>
      <c r="K327" s="284"/>
      <c r="L327" s="284"/>
      <c r="M327" s="284"/>
      <c r="N327" s="333"/>
      <c r="O327" s="284"/>
      <c r="P327" s="284"/>
      <c r="Q327" s="284"/>
      <c r="R327" s="284"/>
      <c r="S327" s="284"/>
      <c r="T327" s="284"/>
      <c r="U327" s="284"/>
      <c r="V327" s="284"/>
      <c r="W327" s="284"/>
      <c r="X327" s="284"/>
      <c r="Y327" s="284"/>
      <c r="Z327" s="284"/>
      <c r="AA327" s="284"/>
      <c r="AB327" s="284"/>
      <c r="AC327" s="284"/>
      <c r="AD327" s="284"/>
      <c r="AE327" s="284"/>
      <c r="AF327" s="284"/>
      <c r="AG327" s="284"/>
      <c r="AH327" s="284"/>
      <c r="AI327" s="284"/>
      <c r="AJ327" s="284"/>
      <c r="AK327" s="284"/>
    </row>
    <row r="328" spans="1:37" ht="12.75" customHeight="1" x14ac:dyDescent="0.45">
      <c r="A328" s="284"/>
      <c r="B328" s="331"/>
      <c r="C328" s="284"/>
      <c r="D328" s="284"/>
      <c r="E328" s="332"/>
      <c r="F328" s="284"/>
      <c r="G328" s="284"/>
      <c r="H328" s="284"/>
      <c r="I328" s="284"/>
      <c r="J328" s="284"/>
      <c r="K328" s="284"/>
      <c r="L328" s="284"/>
      <c r="M328" s="284"/>
      <c r="N328" s="333"/>
      <c r="O328" s="284"/>
      <c r="P328" s="284"/>
      <c r="Q328" s="284"/>
      <c r="R328" s="284"/>
      <c r="S328" s="284"/>
      <c r="T328" s="284"/>
      <c r="U328" s="284"/>
      <c r="V328" s="284"/>
      <c r="W328" s="284"/>
      <c r="X328" s="284"/>
      <c r="Y328" s="284"/>
      <c r="Z328" s="284"/>
      <c r="AA328" s="284"/>
      <c r="AB328" s="284"/>
      <c r="AC328" s="284"/>
      <c r="AD328" s="284"/>
      <c r="AE328" s="284"/>
      <c r="AF328" s="284"/>
      <c r="AG328" s="284"/>
      <c r="AH328" s="284"/>
      <c r="AI328" s="284"/>
      <c r="AJ328" s="284"/>
      <c r="AK328" s="284"/>
    </row>
    <row r="329" spans="1:37" ht="12.75" customHeight="1" x14ac:dyDescent="0.45">
      <c r="A329" s="284"/>
      <c r="B329" s="331"/>
      <c r="C329" s="284"/>
      <c r="D329" s="284"/>
      <c r="E329" s="332"/>
      <c r="F329" s="284"/>
      <c r="G329" s="284"/>
      <c r="H329" s="284"/>
      <c r="I329" s="284"/>
      <c r="J329" s="284"/>
      <c r="K329" s="284"/>
      <c r="L329" s="284"/>
      <c r="M329" s="284"/>
      <c r="N329" s="333"/>
      <c r="O329" s="284"/>
      <c r="P329" s="284"/>
      <c r="Q329" s="284"/>
      <c r="R329" s="284"/>
      <c r="S329" s="284"/>
      <c r="T329" s="284"/>
      <c r="U329" s="284"/>
      <c r="V329" s="284"/>
      <c r="W329" s="284"/>
      <c r="X329" s="284"/>
      <c r="Y329" s="284"/>
      <c r="Z329" s="284"/>
      <c r="AA329" s="284"/>
      <c r="AB329" s="284"/>
      <c r="AC329" s="284"/>
      <c r="AD329" s="284"/>
      <c r="AE329" s="284"/>
      <c r="AF329" s="284"/>
      <c r="AG329" s="284"/>
      <c r="AH329" s="284"/>
      <c r="AI329" s="284"/>
      <c r="AJ329" s="284"/>
      <c r="AK329" s="284"/>
    </row>
    <row r="330" spans="1:37" ht="12.75" customHeight="1" x14ac:dyDescent="0.45">
      <c r="A330" s="284"/>
      <c r="B330" s="331"/>
      <c r="C330" s="284"/>
      <c r="D330" s="284"/>
      <c r="E330" s="332"/>
      <c r="F330" s="284"/>
      <c r="G330" s="284"/>
      <c r="H330" s="284"/>
      <c r="I330" s="284"/>
      <c r="J330" s="284"/>
      <c r="K330" s="284"/>
      <c r="L330" s="284"/>
      <c r="M330" s="284"/>
      <c r="N330" s="333"/>
      <c r="O330" s="284"/>
      <c r="P330" s="284"/>
      <c r="Q330" s="284"/>
      <c r="R330" s="284"/>
      <c r="S330" s="284"/>
      <c r="T330" s="284"/>
      <c r="U330" s="284"/>
      <c r="V330" s="284"/>
      <c r="W330" s="284"/>
      <c r="X330" s="284"/>
      <c r="Y330" s="284"/>
      <c r="Z330" s="284"/>
      <c r="AA330" s="284"/>
      <c r="AB330" s="284"/>
      <c r="AC330" s="284"/>
      <c r="AD330" s="284"/>
      <c r="AE330" s="284"/>
      <c r="AF330" s="284"/>
      <c r="AG330" s="284"/>
      <c r="AH330" s="284"/>
      <c r="AI330" s="284"/>
      <c r="AJ330" s="284"/>
      <c r="AK330" s="284"/>
    </row>
    <row r="331" spans="1:37" ht="12.75" customHeight="1" x14ac:dyDescent="0.45">
      <c r="A331" s="284"/>
      <c r="B331" s="331"/>
      <c r="C331" s="284"/>
      <c r="D331" s="284"/>
      <c r="E331" s="332"/>
      <c r="F331" s="284"/>
      <c r="G331" s="284"/>
      <c r="H331" s="284"/>
      <c r="I331" s="284"/>
      <c r="J331" s="284"/>
      <c r="K331" s="284"/>
      <c r="L331" s="284"/>
      <c r="M331" s="284"/>
      <c r="N331" s="333"/>
      <c r="O331" s="284"/>
      <c r="P331" s="284"/>
      <c r="Q331" s="284"/>
      <c r="R331" s="284"/>
      <c r="S331" s="284"/>
      <c r="T331" s="284"/>
      <c r="U331" s="284"/>
      <c r="V331" s="284"/>
      <c r="W331" s="284"/>
      <c r="X331" s="284"/>
      <c r="Y331" s="284"/>
      <c r="Z331" s="284"/>
      <c r="AA331" s="284"/>
      <c r="AB331" s="284"/>
      <c r="AC331" s="284"/>
      <c r="AD331" s="284"/>
      <c r="AE331" s="284"/>
      <c r="AF331" s="284"/>
      <c r="AG331" s="284"/>
      <c r="AH331" s="284"/>
      <c r="AI331" s="284"/>
      <c r="AJ331" s="284"/>
      <c r="AK331" s="284"/>
    </row>
    <row r="332" spans="1:37" ht="12.75" customHeight="1" x14ac:dyDescent="0.45">
      <c r="A332" s="284"/>
      <c r="B332" s="331"/>
      <c r="C332" s="284"/>
      <c r="D332" s="284"/>
      <c r="E332" s="332"/>
      <c r="F332" s="284"/>
      <c r="G332" s="284"/>
      <c r="H332" s="284"/>
      <c r="I332" s="284"/>
      <c r="J332" s="284"/>
      <c r="K332" s="284"/>
      <c r="L332" s="284"/>
      <c r="M332" s="284"/>
      <c r="N332" s="333"/>
      <c r="O332" s="284"/>
      <c r="P332" s="284"/>
      <c r="Q332" s="284"/>
      <c r="R332" s="284"/>
      <c r="S332" s="284"/>
      <c r="T332" s="284"/>
      <c r="U332" s="284"/>
      <c r="V332" s="284"/>
      <c r="W332" s="284"/>
      <c r="X332" s="284"/>
      <c r="Y332" s="284"/>
      <c r="Z332" s="284"/>
      <c r="AA332" s="284"/>
      <c r="AB332" s="284"/>
      <c r="AC332" s="284"/>
      <c r="AD332" s="284"/>
      <c r="AE332" s="284"/>
      <c r="AF332" s="284"/>
      <c r="AG332" s="284"/>
      <c r="AH332" s="284"/>
      <c r="AI332" s="284"/>
      <c r="AJ332" s="284"/>
      <c r="AK332" s="284"/>
    </row>
    <row r="333" spans="1:37" ht="12.75" customHeight="1" x14ac:dyDescent="0.45">
      <c r="A333" s="284"/>
      <c r="B333" s="331"/>
      <c r="C333" s="284"/>
      <c r="D333" s="284"/>
      <c r="E333" s="332"/>
      <c r="F333" s="284"/>
      <c r="G333" s="284"/>
      <c r="H333" s="284"/>
      <c r="I333" s="284"/>
      <c r="J333" s="284"/>
      <c r="K333" s="284"/>
      <c r="L333" s="284"/>
      <c r="M333" s="284"/>
      <c r="N333" s="333"/>
      <c r="O333" s="284"/>
      <c r="P333" s="284"/>
      <c r="Q333" s="284"/>
      <c r="R333" s="284"/>
      <c r="S333" s="284"/>
      <c r="T333" s="284"/>
      <c r="U333" s="284"/>
      <c r="V333" s="284"/>
      <c r="W333" s="284"/>
      <c r="X333" s="284"/>
      <c r="Y333" s="284"/>
      <c r="Z333" s="284"/>
      <c r="AA333" s="284"/>
      <c r="AB333" s="284"/>
      <c r="AC333" s="284"/>
      <c r="AD333" s="284"/>
      <c r="AE333" s="284"/>
      <c r="AF333" s="284"/>
      <c r="AG333" s="284"/>
      <c r="AH333" s="284"/>
      <c r="AI333" s="284"/>
      <c r="AJ333" s="284"/>
      <c r="AK333" s="284"/>
    </row>
    <row r="334" spans="1:37" ht="12.75" customHeight="1" x14ac:dyDescent="0.45">
      <c r="A334" s="284"/>
      <c r="B334" s="331"/>
      <c r="C334" s="284"/>
      <c r="D334" s="284"/>
      <c r="E334" s="332"/>
      <c r="F334" s="284"/>
      <c r="G334" s="284"/>
      <c r="H334" s="284"/>
      <c r="I334" s="284"/>
      <c r="J334" s="284"/>
      <c r="K334" s="284"/>
      <c r="L334" s="284"/>
      <c r="M334" s="284"/>
      <c r="N334" s="333"/>
      <c r="O334" s="284"/>
      <c r="P334" s="284"/>
      <c r="Q334" s="284"/>
      <c r="R334" s="284"/>
      <c r="S334" s="284"/>
      <c r="T334" s="284"/>
      <c r="U334" s="284"/>
      <c r="V334" s="284"/>
      <c r="W334" s="284"/>
      <c r="X334" s="284"/>
      <c r="Y334" s="284"/>
      <c r="Z334" s="284"/>
      <c r="AA334" s="284"/>
      <c r="AB334" s="284"/>
      <c r="AC334" s="284"/>
      <c r="AD334" s="284"/>
      <c r="AE334" s="284"/>
      <c r="AF334" s="284"/>
      <c r="AG334" s="284"/>
      <c r="AH334" s="284"/>
      <c r="AI334" s="284"/>
      <c r="AJ334" s="284"/>
      <c r="AK334" s="284"/>
    </row>
    <row r="335" spans="1:37" ht="12.75" customHeight="1" x14ac:dyDescent="0.45">
      <c r="A335" s="284"/>
      <c r="B335" s="331"/>
      <c r="C335" s="284"/>
      <c r="D335" s="284"/>
      <c r="E335" s="332"/>
      <c r="F335" s="284"/>
      <c r="G335" s="284"/>
      <c r="H335" s="284"/>
      <c r="I335" s="284"/>
      <c r="J335" s="284"/>
      <c r="K335" s="284"/>
      <c r="L335" s="284"/>
      <c r="M335" s="284"/>
      <c r="N335" s="333"/>
      <c r="O335" s="284"/>
      <c r="P335" s="284"/>
      <c r="Q335" s="284"/>
      <c r="R335" s="284"/>
      <c r="S335" s="284"/>
      <c r="T335" s="284"/>
      <c r="U335" s="284"/>
      <c r="V335" s="284"/>
      <c r="W335" s="284"/>
      <c r="X335" s="284"/>
      <c r="Y335" s="284"/>
      <c r="Z335" s="284"/>
      <c r="AA335" s="284"/>
      <c r="AB335" s="284"/>
      <c r="AC335" s="284"/>
      <c r="AD335" s="284"/>
      <c r="AE335" s="284"/>
      <c r="AF335" s="284"/>
      <c r="AG335" s="284"/>
      <c r="AH335" s="284"/>
      <c r="AI335" s="284"/>
      <c r="AJ335" s="284"/>
      <c r="AK335" s="284"/>
    </row>
    <row r="336" spans="1:37" ht="12.75" customHeight="1" x14ac:dyDescent="0.45">
      <c r="A336" s="284"/>
      <c r="B336" s="331"/>
      <c r="C336" s="284"/>
      <c r="D336" s="284"/>
      <c r="E336" s="332"/>
      <c r="F336" s="284"/>
      <c r="G336" s="284"/>
      <c r="H336" s="284"/>
      <c r="I336" s="284"/>
      <c r="J336" s="284"/>
      <c r="K336" s="284"/>
      <c r="L336" s="284"/>
      <c r="M336" s="284"/>
      <c r="N336" s="333"/>
      <c r="O336" s="284"/>
      <c r="P336" s="284"/>
      <c r="Q336" s="284"/>
      <c r="R336" s="284"/>
      <c r="S336" s="284"/>
      <c r="T336" s="284"/>
      <c r="U336" s="284"/>
      <c r="V336" s="284"/>
      <c r="W336" s="284"/>
      <c r="X336" s="284"/>
      <c r="Y336" s="284"/>
      <c r="Z336" s="284"/>
      <c r="AA336" s="284"/>
      <c r="AB336" s="284"/>
      <c r="AC336" s="284"/>
      <c r="AD336" s="284"/>
      <c r="AE336" s="284"/>
      <c r="AF336" s="284"/>
      <c r="AG336" s="284"/>
      <c r="AH336" s="284"/>
      <c r="AI336" s="284"/>
      <c r="AJ336" s="284"/>
      <c r="AK336" s="284"/>
    </row>
    <row r="337" spans="1:37" ht="12.75" customHeight="1" x14ac:dyDescent="0.45">
      <c r="A337" s="284"/>
      <c r="B337" s="331"/>
      <c r="C337" s="284"/>
      <c r="D337" s="284"/>
      <c r="E337" s="332"/>
      <c r="F337" s="284"/>
      <c r="G337" s="284"/>
      <c r="H337" s="284"/>
      <c r="I337" s="284"/>
      <c r="J337" s="284"/>
      <c r="K337" s="284"/>
      <c r="L337" s="284"/>
      <c r="M337" s="284"/>
      <c r="N337" s="333"/>
      <c r="O337" s="284"/>
      <c r="P337" s="284"/>
      <c r="Q337" s="284"/>
      <c r="R337" s="284"/>
      <c r="S337" s="284"/>
      <c r="T337" s="284"/>
      <c r="U337" s="284"/>
      <c r="V337" s="284"/>
      <c r="W337" s="284"/>
      <c r="X337" s="284"/>
      <c r="Y337" s="284"/>
      <c r="Z337" s="284"/>
      <c r="AA337" s="284"/>
      <c r="AB337" s="284"/>
      <c r="AC337" s="284"/>
      <c r="AD337" s="284"/>
      <c r="AE337" s="284"/>
      <c r="AF337" s="284"/>
      <c r="AG337" s="284"/>
      <c r="AH337" s="284"/>
      <c r="AI337" s="284"/>
      <c r="AJ337" s="284"/>
      <c r="AK337" s="284"/>
    </row>
    <row r="338" spans="1:37" ht="12.75" customHeight="1" x14ac:dyDescent="0.45">
      <c r="A338" s="284"/>
      <c r="B338" s="331"/>
      <c r="C338" s="284"/>
      <c r="D338" s="284"/>
      <c r="E338" s="332"/>
      <c r="F338" s="284"/>
      <c r="G338" s="284"/>
      <c r="H338" s="284"/>
      <c r="I338" s="284"/>
      <c r="J338" s="284"/>
      <c r="K338" s="284"/>
      <c r="L338" s="284"/>
      <c r="M338" s="284"/>
      <c r="N338" s="333"/>
      <c r="O338" s="284"/>
      <c r="P338" s="284"/>
      <c r="Q338" s="284"/>
      <c r="R338" s="284"/>
      <c r="S338" s="284"/>
      <c r="T338" s="284"/>
      <c r="U338" s="284"/>
      <c r="V338" s="284"/>
      <c r="W338" s="284"/>
      <c r="X338" s="284"/>
      <c r="Y338" s="284"/>
      <c r="Z338" s="284"/>
      <c r="AA338" s="284"/>
      <c r="AB338" s="284"/>
      <c r="AC338" s="284"/>
      <c r="AD338" s="284"/>
      <c r="AE338" s="284"/>
      <c r="AF338" s="284"/>
      <c r="AG338" s="284"/>
      <c r="AH338" s="284"/>
      <c r="AI338" s="284"/>
      <c r="AJ338" s="284"/>
      <c r="AK338" s="284"/>
    </row>
    <row r="339" spans="1:37" ht="12.75" customHeight="1" x14ac:dyDescent="0.45">
      <c r="A339" s="284"/>
      <c r="B339" s="331"/>
      <c r="C339" s="284"/>
      <c r="D339" s="284"/>
      <c r="E339" s="332"/>
      <c r="F339" s="284"/>
      <c r="G339" s="284"/>
      <c r="H339" s="284"/>
      <c r="I339" s="284"/>
      <c r="J339" s="284"/>
      <c r="K339" s="284"/>
      <c r="L339" s="284"/>
      <c r="M339" s="284"/>
      <c r="N339" s="333"/>
      <c r="O339" s="284"/>
      <c r="P339" s="284"/>
      <c r="Q339" s="284"/>
      <c r="R339" s="284"/>
      <c r="S339" s="284"/>
      <c r="T339" s="284"/>
      <c r="U339" s="284"/>
      <c r="V339" s="284"/>
      <c r="W339" s="284"/>
      <c r="X339" s="284"/>
      <c r="Y339" s="284"/>
      <c r="Z339" s="284"/>
      <c r="AA339" s="284"/>
      <c r="AB339" s="284"/>
      <c r="AC339" s="284"/>
      <c r="AD339" s="284"/>
      <c r="AE339" s="284"/>
      <c r="AF339" s="284"/>
      <c r="AG339" s="284"/>
      <c r="AH339" s="284"/>
      <c r="AI339" s="284"/>
      <c r="AJ339" s="284"/>
      <c r="AK339" s="284"/>
    </row>
    <row r="340" spans="1:37" ht="12.75" customHeight="1" x14ac:dyDescent="0.45">
      <c r="A340" s="284"/>
      <c r="B340" s="331"/>
      <c r="C340" s="284"/>
      <c r="D340" s="284"/>
      <c r="E340" s="332"/>
      <c r="F340" s="284"/>
      <c r="G340" s="284"/>
      <c r="H340" s="284"/>
      <c r="I340" s="284"/>
      <c r="J340" s="284"/>
      <c r="K340" s="284"/>
      <c r="L340" s="284"/>
      <c r="M340" s="284"/>
      <c r="N340" s="333"/>
      <c r="O340" s="284"/>
      <c r="P340" s="284"/>
      <c r="Q340" s="284"/>
      <c r="R340" s="284"/>
      <c r="S340" s="284"/>
      <c r="T340" s="284"/>
      <c r="U340" s="284"/>
      <c r="V340" s="284"/>
      <c r="W340" s="284"/>
      <c r="X340" s="284"/>
      <c r="Y340" s="284"/>
      <c r="Z340" s="284"/>
      <c r="AA340" s="284"/>
      <c r="AB340" s="284"/>
      <c r="AC340" s="284"/>
      <c r="AD340" s="284"/>
      <c r="AE340" s="284"/>
      <c r="AF340" s="284"/>
      <c r="AG340" s="284"/>
      <c r="AH340" s="284"/>
      <c r="AI340" s="284"/>
      <c r="AJ340" s="284"/>
      <c r="AK340" s="284"/>
    </row>
    <row r="341" spans="1:37" ht="12.75" customHeight="1" x14ac:dyDescent="0.45">
      <c r="A341" s="284"/>
      <c r="B341" s="331"/>
      <c r="C341" s="284"/>
      <c r="D341" s="284"/>
      <c r="E341" s="332"/>
      <c r="F341" s="284"/>
      <c r="G341" s="284"/>
      <c r="H341" s="284"/>
      <c r="I341" s="284"/>
      <c r="J341" s="284"/>
      <c r="K341" s="284"/>
      <c r="L341" s="284"/>
      <c r="M341" s="284"/>
      <c r="N341" s="333"/>
      <c r="O341" s="284"/>
      <c r="P341" s="284"/>
      <c r="Q341" s="284"/>
      <c r="R341" s="284"/>
      <c r="S341" s="284"/>
      <c r="T341" s="284"/>
      <c r="U341" s="284"/>
      <c r="V341" s="284"/>
      <c r="W341" s="284"/>
      <c r="X341" s="284"/>
      <c r="Y341" s="284"/>
      <c r="Z341" s="284"/>
      <c r="AA341" s="284"/>
      <c r="AB341" s="284"/>
      <c r="AC341" s="284"/>
      <c r="AD341" s="284"/>
      <c r="AE341" s="284"/>
      <c r="AF341" s="284"/>
      <c r="AG341" s="284"/>
      <c r="AH341" s="284"/>
      <c r="AI341" s="284"/>
      <c r="AJ341" s="284"/>
      <c r="AK341" s="284"/>
    </row>
    <row r="342" spans="1:37" ht="12.75" customHeight="1" x14ac:dyDescent="0.45">
      <c r="A342" s="284"/>
      <c r="B342" s="331"/>
      <c r="C342" s="284"/>
      <c r="D342" s="284"/>
      <c r="E342" s="332"/>
      <c r="F342" s="284"/>
      <c r="G342" s="284"/>
      <c r="H342" s="284"/>
      <c r="I342" s="284"/>
      <c r="J342" s="284"/>
      <c r="K342" s="284"/>
      <c r="L342" s="284"/>
      <c r="M342" s="284"/>
      <c r="N342" s="333"/>
      <c r="O342" s="284"/>
      <c r="P342" s="284"/>
      <c r="Q342" s="284"/>
      <c r="R342" s="284"/>
      <c r="S342" s="284"/>
      <c r="T342" s="284"/>
      <c r="U342" s="284"/>
      <c r="V342" s="284"/>
      <c r="W342" s="284"/>
      <c r="X342" s="284"/>
      <c r="Y342" s="284"/>
      <c r="Z342" s="284"/>
      <c r="AA342" s="284"/>
      <c r="AB342" s="284"/>
      <c r="AC342" s="284"/>
      <c r="AD342" s="284"/>
      <c r="AE342" s="284"/>
      <c r="AF342" s="284"/>
      <c r="AG342" s="284"/>
      <c r="AH342" s="284"/>
      <c r="AI342" s="284"/>
      <c r="AJ342" s="284"/>
      <c r="AK342" s="284"/>
    </row>
    <row r="343" spans="1:37" ht="12.75" customHeight="1" x14ac:dyDescent="0.45">
      <c r="A343" s="284"/>
      <c r="B343" s="331"/>
      <c r="C343" s="284"/>
      <c r="D343" s="284"/>
      <c r="E343" s="332"/>
      <c r="F343" s="284"/>
      <c r="G343" s="284"/>
      <c r="H343" s="284"/>
      <c r="I343" s="284"/>
      <c r="J343" s="284"/>
      <c r="K343" s="284"/>
      <c r="L343" s="284"/>
      <c r="M343" s="284"/>
      <c r="N343" s="333"/>
      <c r="O343" s="284"/>
      <c r="P343" s="284"/>
      <c r="Q343" s="284"/>
      <c r="R343" s="284"/>
      <c r="S343" s="284"/>
      <c r="T343" s="284"/>
      <c r="U343" s="284"/>
      <c r="V343" s="284"/>
      <c r="W343" s="284"/>
      <c r="X343" s="284"/>
      <c r="Y343" s="284"/>
      <c r="Z343" s="284"/>
      <c r="AA343" s="284"/>
      <c r="AB343" s="284"/>
      <c r="AC343" s="284"/>
      <c r="AD343" s="284"/>
      <c r="AE343" s="284"/>
      <c r="AF343" s="284"/>
      <c r="AG343" s="284"/>
      <c r="AH343" s="284"/>
      <c r="AI343" s="284"/>
      <c r="AJ343" s="284"/>
      <c r="AK343" s="284"/>
    </row>
    <row r="344" spans="1:37" ht="12.75" customHeight="1" x14ac:dyDescent="0.45">
      <c r="A344" s="284"/>
      <c r="B344" s="331"/>
      <c r="C344" s="284"/>
      <c r="D344" s="284"/>
      <c r="E344" s="332"/>
      <c r="F344" s="284"/>
      <c r="G344" s="284"/>
      <c r="H344" s="284"/>
      <c r="I344" s="284"/>
      <c r="J344" s="284"/>
      <c r="K344" s="284"/>
      <c r="L344" s="284"/>
      <c r="M344" s="284"/>
      <c r="N344" s="333"/>
      <c r="O344" s="284"/>
      <c r="P344" s="284"/>
      <c r="Q344" s="284"/>
      <c r="R344" s="284"/>
      <c r="S344" s="284"/>
      <c r="T344" s="284"/>
      <c r="U344" s="284"/>
      <c r="V344" s="284"/>
      <c r="W344" s="284"/>
      <c r="X344" s="284"/>
      <c r="Y344" s="284"/>
      <c r="Z344" s="284"/>
      <c r="AA344" s="284"/>
      <c r="AB344" s="284"/>
      <c r="AC344" s="284"/>
      <c r="AD344" s="284"/>
      <c r="AE344" s="284"/>
      <c r="AF344" s="284"/>
      <c r="AG344" s="284"/>
      <c r="AH344" s="284"/>
      <c r="AI344" s="284"/>
      <c r="AJ344" s="284"/>
      <c r="AK344" s="284"/>
    </row>
    <row r="345" spans="1:37" ht="12.75" customHeight="1" x14ac:dyDescent="0.45">
      <c r="A345" s="284"/>
      <c r="B345" s="331"/>
      <c r="C345" s="284"/>
      <c r="D345" s="284"/>
      <c r="E345" s="332"/>
      <c r="F345" s="284"/>
      <c r="G345" s="284"/>
      <c r="H345" s="284"/>
      <c r="I345" s="284"/>
      <c r="J345" s="284"/>
      <c r="K345" s="284"/>
      <c r="L345" s="284"/>
      <c r="M345" s="284"/>
      <c r="N345" s="333"/>
      <c r="O345" s="284"/>
      <c r="P345" s="284"/>
      <c r="Q345" s="284"/>
      <c r="R345" s="284"/>
      <c r="S345" s="284"/>
      <c r="T345" s="284"/>
      <c r="U345" s="284"/>
      <c r="V345" s="284"/>
      <c r="W345" s="284"/>
      <c r="X345" s="284"/>
      <c r="Y345" s="284"/>
      <c r="Z345" s="284"/>
      <c r="AA345" s="284"/>
      <c r="AB345" s="284"/>
      <c r="AC345" s="284"/>
      <c r="AD345" s="284"/>
      <c r="AE345" s="284"/>
      <c r="AF345" s="284"/>
      <c r="AG345" s="284"/>
      <c r="AH345" s="284"/>
      <c r="AI345" s="284"/>
      <c r="AJ345" s="284"/>
      <c r="AK345" s="284"/>
    </row>
    <row r="346" spans="1:37" ht="12.75" customHeight="1" x14ac:dyDescent="0.45">
      <c r="A346" s="284"/>
      <c r="B346" s="331"/>
      <c r="C346" s="284"/>
      <c r="D346" s="284"/>
      <c r="E346" s="332"/>
      <c r="F346" s="284"/>
      <c r="G346" s="284"/>
      <c r="H346" s="284"/>
      <c r="I346" s="284"/>
      <c r="J346" s="284"/>
      <c r="K346" s="284"/>
      <c r="L346" s="284"/>
      <c r="M346" s="284"/>
      <c r="N346" s="333"/>
      <c r="O346" s="284"/>
      <c r="P346" s="284"/>
      <c r="Q346" s="284"/>
      <c r="R346" s="284"/>
      <c r="S346" s="284"/>
      <c r="T346" s="284"/>
      <c r="U346" s="284"/>
      <c r="V346" s="284"/>
      <c r="W346" s="284"/>
      <c r="X346" s="284"/>
      <c r="Y346" s="284"/>
      <c r="Z346" s="284"/>
      <c r="AA346" s="284"/>
      <c r="AB346" s="284"/>
      <c r="AC346" s="284"/>
      <c r="AD346" s="284"/>
      <c r="AE346" s="284"/>
      <c r="AF346" s="284"/>
      <c r="AG346" s="284"/>
      <c r="AH346" s="284"/>
      <c r="AI346" s="284"/>
      <c r="AJ346" s="284"/>
      <c r="AK346" s="284"/>
    </row>
    <row r="347" spans="1:37" ht="12.75" customHeight="1" x14ac:dyDescent="0.45">
      <c r="A347" s="284"/>
      <c r="B347" s="331"/>
      <c r="C347" s="284"/>
      <c r="D347" s="284"/>
      <c r="E347" s="332"/>
      <c r="F347" s="284"/>
      <c r="G347" s="284"/>
      <c r="H347" s="284"/>
      <c r="I347" s="284"/>
      <c r="J347" s="284"/>
      <c r="K347" s="284"/>
      <c r="L347" s="284"/>
      <c r="M347" s="284"/>
      <c r="N347" s="333"/>
      <c r="O347" s="284"/>
      <c r="P347" s="284"/>
      <c r="Q347" s="284"/>
      <c r="R347" s="284"/>
      <c r="S347" s="284"/>
      <c r="T347" s="284"/>
      <c r="U347" s="284"/>
      <c r="V347" s="284"/>
      <c r="W347" s="284"/>
      <c r="X347" s="284"/>
      <c r="Y347" s="284"/>
      <c r="Z347" s="284"/>
      <c r="AA347" s="284"/>
      <c r="AB347" s="284"/>
      <c r="AC347" s="284"/>
      <c r="AD347" s="284"/>
      <c r="AE347" s="284"/>
      <c r="AF347" s="284"/>
      <c r="AG347" s="284"/>
      <c r="AH347" s="284"/>
      <c r="AI347" s="284"/>
      <c r="AJ347" s="284"/>
      <c r="AK347" s="284"/>
    </row>
    <row r="348" spans="1:37" ht="12.75" customHeight="1" x14ac:dyDescent="0.45">
      <c r="A348" s="284"/>
      <c r="B348" s="331"/>
      <c r="C348" s="284"/>
      <c r="D348" s="284"/>
      <c r="E348" s="332"/>
      <c r="F348" s="284"/>
      <c r="G348" s="284"/>
      <c r="H348" s="284"/>
      <c r="I348" s="284"/>
      <c r="J348" s="284"/>
      <c r="K348" s="284"/>
      <c r="L348" s="284"/>
      <c r="M348" s="284"/>
      <c r="N348" s="333"/>
      <c r="O348" s="284"/>
      <c r="P348" s="284"/>
      <c r="Q348" s="284"/>
      <c r="R348" s="284"/>
      <c r="S348" s="284"/>
      <c r="T348" s="284"/>
      <c r="U348" s="284"/>
      <c r="V348" s="284"/>
      <c r="W348" s="284"/>
      <c r="X348" s="284"/>
      <c r="Y348" s="284"/>
      <c r="Z348" s="284"/>
      <c r="AA348" s="284"/>
      <c r="AB348" s="284"/>
      <c r="AC348" s="284"/>
      <c r="AD348" s="284"/>
      <c r="AE348" s="284"/>
      <c r="AF348" s="284"/>
      <c r="AG348" s="284"/>
      <c r="AH348" s="284"/>
      <c r="AI348" s="284"/>
      <c r="AJ348" s="284"/>
      <c r="AK348" s="284"/>
    </row>
    <row r="349" spans="1:37" ht="12.75" customHeight="1" x14ac:dyDescent="0.45">
      <c r="A349" s="284"/>
      <c r="B349" s="331"/>
      <c r="C349" s="284"/>
      <c r="D349" s="284"/>
      <c r="E349" s="332"/>
      <c r="F349" s="284"/>
      <c r="G349" s="284"/>
      <c r="H349" s="284"/>
      <c r="I349" s="284"/>
      <c r="J349" s="284"/>
      <c r="K349" s="284"/>
      <c r="L349" s="284"/>
      <c r="M349" s="284"/>
      <c r="N349" s="333"/>
      <c r="O349" s="284"/>
      <c r="P349" s="284"/>
      <c r="Q349" s="284"/>
      <c r="R349" s="284"/>
      <c r="S349" s="284"/>
      <c r="T349" s="284"/>
      <c r="U349" s="284"/>
      <c r="V349" s="284"/>
      <c r="W349" s="284"/>
      <c r="X349" s="284"/>
      <c r="Y349" s="284"/>
      <c r="Z349" s="284"/>
      <c r="AA349" s="284"/>
      <c r="AB349" s="284"/>
      <c r="AC349" s="284"/>
      <c r="AD349" s="284"/>
      <c r="AE349" s="284"/>
      <c r="AF349" s="284"/>
      <c r="AG349" s="284"/>
      <c r="AH349" s="284"/>
      <c r="AI349" s="284"/>
      <c r="AJ349" s="284"/>
      <c r="AK349" s="284"/>
    </row>
    <row r="350" spans="1:37" ht="12.75" customHeight="1" x14ac:dyDescent="0.45">
      <c r="A350" s="284"/>
      <c r="B350" s="331"/>
      <c r="C350" s="284"/>
      <c r="D350" s="284"/>
      <c r="E350" s="332"/>
      <c r="F350" s="284"/>
      <c r="G350" s="284"/>
      <c r="H350" s="284"/>
      <c r="I350" s="284"/>
      <c r="J350" s="284"/>
      <c r="K350" s="284"/>
      <c r="L350" s="284"/>
      <c r="M350" s="284"/>
      <c r="N350" s="333"/>
      <c r="O350" s="284"/>
      <c r="P350" s="284"/>
      <c r="Q350" s="284"/>
      <c r="R350" s="284"/>
      <c r="S350" s="284"/>
      <c r="T350" s="284"/>
      <c r="U350" s="284"/>
      <c r="V350" s="284"/>
      <c r="W350" s="284"/>
      <c r="X350" s="284"/>
      <c r="Y350" s="284"/>
      <c r="Z350" s="284"/>
      <c r="AA350" s="284"/>
      <c r="AB350" s="284"/>
      <c r="AC350" s="284"/>
      <c r="AD350" s="284"/>
      <c r="AE350" s="284"/>
      <c r="AF350" s="284"/>
      <c r="AG350" s="284"/>
      <c r="AH350" s="284"/>
      <c r="AI350" s="284"/>
      <c r="AJ350" s="284"/>
      <c r="AK350" s="284"/>
    </row>
    <row r="351" spans="1:37" ht="12.75" customHeight="1" x14ac:dyDescent="0.45">
      <c r="A351" s="284"/>
      <c r="B351" s="331"/>
      <c r="C351" s="284"/>
      <c r="D351" s="284"/>
      <c r="E351" s="332"/>
      <c r="F351" s="284"/>
      <c r="G351" s="284"/>
      <c r="H351" s="284"/>
      <c r="I351" s="284"/>
      <c r="J351" s="284"/>
      <c r="K351" s="284"/>
      <c r="L351" s="284"/>
      <c r="M351" s="284"/>
      <c r="N351" s="333"/>
      <c r="O351" s="284"/>
      <c r="P351" s="284"/>
      <c r="Q351" s="284"/>
      <c r="R351" s="284"/>
      <c r="S351" s="284"/>
      <c r="T351" s="284"/>
      <c r="U351" s="284"/>
      <c r="V351" s="284"/>
      <c r="W351" s="284"/>
      <c r="X351" s="284"/>
      <c r="Y351" s="284"/>
      <c r="Z351" s="284"/>
      <c r="AA351" s="284"/>
      <c r="AB351" s="284"/>
      <c r="AC351" s="284"/>
      <c r="AD351" s="284"/>
      <c r="AE351" s="284"/>
      <c r="AF351" s="284"/>
      <c r="AG351" s="284"/>
      <c r="AH351" s="284"/>
      <c r="AI351" s="284"/>
      <c r="AJ351" s="284"/>
      <c r="AK351" s="284"/>
    </row>
    <row r="352" spans="1:37" ht="12.75" customHeight="1" x14ac:dyDescent="0.45">
      <c r="A352" s="284"/>
      <c r="B352" s="331"/>
      <c r="C352" s="284"/>
      <c r="D352" s="284"/>
      <c r="E352" s="332"/>
      <c r="F352" s="284"/>
      <c r="G352" s="284"/>
      <c r="H352" s="284"/>
      <c r="I352" s="284"/>
      <c r="J352" s="284"/>
      <c r="K352" s="284"/>
      <c r="L352" s="284"/>
      <c r="M352" s="284"/>
      <c r="N352" s="333"/>
      <c r="O352" s="284"/>
      <c r="P352" s="284"/>
      <c r="Q352" s="284"/>
      <c r="R352" s="284"/>
      <c r="S352" s="284"/>
      <c r="T352" s="284"/>
      <c r="U352" s="284"/>
      <c r="V352" s="284"/>
      <c r="W352" s="284"/>
      <c r="X352" s="284"/>
      <c r="Y352" s="284"/>
      <c r="Z352" s="284"/>
      <c r="AA352" s="284"/>
      <c r="AB352" s="284"/>
      <c r="AC352" s="284"/>
      <c r="AD352" s="284"/>
      <c r="AE352" s="284"/>
      <c r="AF352" s="284"/>
      <c r="AG352" s="284"/>
      <c r="AH352" s="284"/>
      <c r="AI352" s="284"/>
      <c r="AJ352" s="284"/>
      <c r="AK352" s="284"/>
    </row>
    <row r="353" spans="1:37" ht="12.75" customHeight="1" x14ac:dyDescent="0.45">
      <c r="A353" s="284"/>
      <c r="B353" s="331"/>
      <c r="C353" s="284"/>
      <c r="D353" s="284"/>
      <c r="E353" s="332"/>
      <c r="F353" s="284"/>
      <c r="G353" s="284"/>
      <c r="H353" s="284"/>
      <c r="I353" s="284"/>
      <c r="J353" s="284"/>
      <c r="K353" s="284"/>
      <c r="L353" s="284"/>
      <c r="M353" s="284"/>
      <c r="N353" s="333"/>
      <c r="O353" s="284"/>
      <c r="P353" s="284"/>
      <c r="Q353" s="284"/>
      <c r="R353" s="284"/>
      <c r="S353" s="284"/>
      <c r="T353" s="284"/>
      <c r="U353" s="284"/>
      <c r="V353" s="284"/>
      <c r="W353" s="284"/>
      <c r="X353" s="284"/>
      <c r="Y353" s="284"/>
      <c r="Z353" s="284"/>
      <c r="AA353" s="284"/>
      <c r="AB353" s="284"/>
      <c r="AC353" s="284"/>
      <c r="AD353" s="284"/>
      <c r="AE353" s="284"/>
      <c r="AF353" s="284"/>
      <c r="AG353" s="284"/>
      <c r="AH353" s="284"/>
      <c r="AI353" s="284"/>
      <c r="AJ353" s="284"/>
      <c r="AK353" s="284"/>
    </row>
    <row r="354" spans="1:37" ht="12.75" customHeight="1" x14ac:dyDescent="0.45">
      <c r="A354" s="284"/>
      <c r="B354" s="331"/>
      <c r="C354" s="284"/>
      <c r="D354" s="284"/>
      <c r="E354" s="332"/>
      <c r="F354" s="284"/>
      <c r="G354" s="284"/>
      <c r="H354" s="284"/>
      <c r="I354" s="284"/>
      <c r="J354" s="284"/>
      <c r="K354" s="284"/>
      <c r="L354" s="284"/>
      <c r="M354" s="284"/>
      <c r="N354" s="333"/>
      <c r="O354" s="284"/>
      <c r="P354" s="284"/>
      <c r="Q354" s="284"/>
      <c r="R354" s="284"/>
      <c r="S354" s="284"/>
      <c r="T354" s="284"/>
      <c r="U354" s="284"/>
      <c r="V354" s="284"/>
      <c r="W354" s="284"/>
      <c r="X354" s="284"/>
      <c r="Y354" s="284"/>
      <c r="Z354" s="284"/>
      <c r="AA354" s="284"/>
      <c r="AB354" s="284"/>
      <c r="AC354" s="284"/>
      <c r="AD354" s="284"/>
      <c r="AE354" s="284"/>
      <c r="AF354" s="284"/>
      <c r="AG354" s="284"/>
      <c r="AH354" s="284"/>
      <c r="AI354" s="284"/>
      <c r="AJ354" s="284"/>
      <c r="AK354" s="284"/>
    </row>
    <row r="355" spans="1:37" ht="12.75" customHeight="1" x14ac:dyDescent="0.45">
      <c r="A355" s="284"/>
      <c r="B355" s="331"/>
      <c r="C355" s="284"/>
      <c r="D355" s="284"/>
      <c r="E355" s="332"/>
      <c r="F355" s="284"/>
      <c r="G355" s="284"/>
      <c r="H355" s="284"/>
      <c r="I355" s="284"/>
      <c r="J355" s="284"/>
      <c r="K355" s="284"/>
      <c r="L355" s="284"/>
      <c r="M355" s="284"/>
      <c r="N355" s="333"/>
      <c r="O355" s="284"/>
      <c r="P355" s="284"/>
      <c r="Q355" s="284"/>
      <c r="R355" s="284"/>
      <c r="S355" s="284"/>
      <c r="T355" s="284"/>
      <c r="U355" s="284"/>
      <c r="V355" s="284"/>
      <c r="W355" s="284"/>
      <c r="X355" s="284"/>
      <c r="Y355" s="284"/>
      <c r="Z355" s="284"/>
      <c r="AA355" s="284"/>
      <c r="AB355" s="284"/>
      <c r="AC355" s="284"/>
      <c r="AD355" s="284"/>
      <c r="AE355" s="284"/>
      <c r="AF355" s="284"/>
      <c r="AG355" s="284"/>
      <c r="AH355" s="284"/>
      <c r="AI355" s="284"/>
      <c r="AJ355" s="284"/>
      <c r="AK355" s="284"/>
    </row>
    <row r="356" spans="1:37" ht="12.75" customHeight="1" x14ac:dyDescent="0.45">
      <c r="A356" s="284"/>
      <c r="B356" s="331"/>
      <c r="C356" s="284"/>
      <c r="D356" s="284"/>
      <c r="E356" s="332"/>
      <c r="F356" s="284"/>
      <c r="G356" s="284"/>
      <c r="H356" s="284"/>
      <c r="I356" s="284"/>
      <c r="J356" s="284"/>
      <c r="K356" s="284"/>
      <c r="L356" s="284"/>
      <c r="M356" s="284"/>
      <c r="N356" s="333"/>
      <c r="O356" s="284"/>
      <c r="P356" s="284"/>
      <c r="Q356" s="284"/>
      <c r="R356" s="284"/>
      <c r="S356" s="284"/>
      <c r="T356" s="284"/>
      <c r="U356" s="284"/>
      <c r="V356" s="284"/>
      <c r="W356" s="284"/>
      <c r="X356" s="284"/>
      <c r="Y356" s="284"/>
      <c r="Z356" s="284"/>
      <c r="AA356" s="284"/>
      <c r="AB356" s="284"/>
      <c r="AC356" s="284"/>
      <c r="AD356" s="284"/>
      <c r="AE356" s="284"/>
      <c r="AF356" s="284"/>
      <c r="AG356" s="284"/>
      <c r="AH356" s="284"/>
      <c r="AI356" s="284"/>
      <c r="AJ356" s="284"/>
      <c r="AK356" s="284"/>
    </row>
    <row r="357" spans="1:37" ht="12.75" customHeight="1" x14ac:dyDescent="0.45">
      <c r="A357" s="284"/>
      <c r="B357" s="331"/>
      <c r="C357" s="284"/>
      <c r="D357" s="284"/>
      <c r="E357" s="332"/>
      <c r="F357" s="284"/>
      <c r="G357" s="284"/>
      <c r="H357" s="284"/>
      <c r="I357" s="284"/>
      <c r="J357" s="284"/>
      <c r="K357" s="284"/>
      <c r="L357" s="284"/>
      <c r="M357" s="284"/>
      <c r="N357" s="333"/>
      <c r="O357" s="284"/>
      <c r="P357" s="284"/>
      <c r="Q357" s="284"/>
      <c r="R357" s="284"/>
      <c r="S357" s="284"/>
      <c r="T357" s="284"/>
      <c r="U357" s="284"/>
      <c r="V357" s="284"/>
      <c r="W357" s="284"/>
      <c r="X357" s="284"/>
      <c r="Y357" s="284"/>
      <c r="Z357" s="284"/>
      <c r="AA357" s="284"/>
      <c r="AB357" s="284"/>
      <c r="AC357" s="284"/>
      <c r="AD357" s="284"/>
      <c r="AE357" s="284"/>
      <c r="AF357" s="284"/>
      <c r="AG357" s="284"/>
      <c r="AH357" s="284"/>
      <c r="AI357" s="284"/>
      <c r="AJ357" s="284"/>
      <c r="AK357" s="284"/>
    </row>
    <row r="358" spans="1:37" ht="12.75" customHeight="1" x14ac:dyDescent="0.45">
      <c r="A358" s="284"/>
      <c r="B358" s="331"/>
      <c r="C358" s="284"/>
      <c r="D358" s="284"/>
      <c r="E358" s="332"/>
      <c r="F358" s="284"/>
      <c r="G358" s="284"/>
      <c r="H358" s="284"/>
      <c r="I358" s="284"/>
      <c r="J358" s="284"/>
      <c r="K358" s="284"/>
      <c r="L358" s="284"/>
      <c r="M358" s="284"/>
      <c r="N358" s="333"/>
      <c r="O358" s="284"/>
      <c r="P358" s="284"/>
      <c r="Q358" s="284"/>
      <c r="R358" s="284"/>
      <c r="S358" s="284"/>
      <c r="T358" s="284"/>
      <c r="U358" s="284"/>
      <c r="V358" s="284"/>
      <c r="W358" s="284"/>
      <c r="X358" s="284"/>
      <c r="Y358" s="284"/>
      <c r="Z358" s="284"/>
      <c r="AA358" s="284"/>
      <c r="AB358" s="284"/>
      <c r="AC358" s="284"/>
      <c r="AD358" s="284"/>
      <c r="AE358" s="284"/>
      <c r="AF358" s="284"/>
      <c r="AG358" s="284"/>
      <c r="AH358" s="284"/>
      <c r="AI358" s="284"/>
      <c r="AJ358" s="284"/>
      <c r="AK358" s="284"/>
    </row>
    <row r="359" spans="1:37" ht="12.75" customHeight="1" x14ac:dyDescent="0.45">
      <c r="A359" s="284"/>
      <c r="B359" s="331"/>
      <c r="C359" s="284"/>
      <c r="D359" s="284"/>
      <c r="E359" s="332"/>
      <c r="F359" s="284"/>
      <c r="G359" s="284"/>
      <c r="H359" s="284"/>
      <c r="I359" s="284"/>
      <c r="J359" s="284"/>
      <c r="K359" s="284"/>
      <c r="L359" s="284"/>
      <c r="M359" s="284"/>
      <c r="N359" s="333"/>
      <c r="O359" s="284"/>
      <c r="P359" s="284"/>
      <c r="Q359" s="284"/>
      <c r="R359" s="284"/>
      <c r="S359" s="284"/>
      <c r="T359" s="284"/>
      <c r="U359" s="284"/>
      <c r="V359" s="284"/>
      <c r="W359" s="284"/>
      <c r="X359" s="284"/>
      <c r="Y359" s="284"/>
      <c r="Z359" s="284"/>
      <c r="AA359" s="284"/>
      <c r="AB359" s="284"/>
      <c r="AC359" s="284"/>
      <c r="AD359" s="284"/>
      <c r="AE359" s="284"/>
      <c r="AF359" s="284"/>
      <c r="AG359" s="284"/>
      <c r="AH359" s="284"/>
      <c r="AI359" s="284"/>
      <c r="AJ359" s="284"/>
      <c r="AK359" s="284"/>
    </row>
    <row r="360" spans="1:37" ht="12.75" customHeight="1" x14ac:dyDescent="0.45">
      <c r="A360" s="284"/>
      <c r="B360" s="331"/>
      <c r="C360" s="284"/>
      <c r="D360" s="284"/>
      <c r="E360" s="332"/>
      <c r="F360" s="284"/>
      <c r="G360" s="284"/>
      <c r="H360" s="284"/>
      <c r="I360" s="284"/>
      <c r="J360" s="284"/>
      <c r="K360" s="284"/>
      <c r="L360" s="284"/>
      <c r="M360" s="284"/>
      <c r="N360" s="333"/>
      <c r="O360" s="284"/>
      <c r="P360" s="284"/>
      <c r="Q360" s="284"/>
      <c r="R360" s="284"/>
      <c r="S360" s="284"/>
      <c r="T360" s="284"/>
      <c r="U360" s="284"/>
      <c r="V360" s="284"/>
      <c r="W360" s="284"/>
      <c r="X360" s="284"/>
      <c r="Y360" s="284"/>
      <c r="Z360" s="284"/>
      <c r="AA360" s="284"/>
      <c r="AB360" s="284"/>
      <c r="AC360" s="284"/>
      <c r="AD360" s="284"/>
      <c r="AE360" s="284"/>
      <c r="AF360" s="284"/>
      <c r="AG360" s="284"/>
      <c r="AH360" s="284"/>
      <c r="AI360" s="284"/>
      <c r="AJ360" s="284"/>
      <c r="AK360" s="284"/>
    </row>
    <row r="361" spans="1:37" ht="12.75" customHeight="1" x14ac:dyDescent="0.45">
      <c r="A361" s="284"/>
      <c r="B361" s="331"/>
      <c r="C361" s="284"/>
      <c r="D361" s="284"/>
      <c r="E361" s="332"/>
      <c r="F361" s="284"/>
      <c r="G361" s="284"/>
      <c r="H361" s="284"/>
      <c r="I361" s="284"/>
      <c r="J361" s="284"/>
      <c r="K361" s="284"/>
      <c r="L361" s="284"/>
      <c r="M361" s="284"/>
      <c r="N361" s="333"/>
      <c r="O361" s="284"/>
      <c r="P361" s="284"/>
      <c r="Q361" s="284"/>
      <c r="R361" s="284"/>
      <c r="S361" s="284"/>
      <c r="T361" s="284"/>
      <c r="U361" s="284"/>
      <c r="V361" s="284"/>
      <c r="W361" s="284"/>
      <c r="X361" s="284"/>
      <c r="Y361" s="284"/>
      <c r="Z361" s="284"/>
      <c r="AA361" s="284"/>
      <c r="AB361" s="284"/>
      <c r="AC361" s="284"/>
      <c r="AD361" s="284"/>
      <c r="AE361" s="284"/>
      <c r="AF361" s="284"/>
      <c r="AG361" s="284"/>
      <c r="AH361" s="284"/>
      <c r="AI361" s="284"/>
      <c r="AJ361" s="284"/>
      <c r="AK361" s="284"/>
    </row>
    <row r="362" spans="1:37" ht="12.75" customHeight="1" x14ac:dyDescent="0.45">
      <c r="A362" s="284"/>
      <c r="B362" s="331"/>
      <c r="C362" s="284"/>
      <c r="D362" s="284"/>
      <c r="E362" s="332"/>
      <c r="F362" s="284"/>
      <c r="G362" s="284"/>
      <c r="H362" s="284"/>
      <c r="I362" s="284"/>
      <c r="J362" s="284"/>
      <c r="K362" s="284"/>
      <c r="L362" s="284"/>
      <c r="M362" s="284"/>
      <c r="N362" s="333"/>
      <c r="O362" s="284"/>
      <c r="P362" s="284"/>
      <c r="Q362" s="284"/>
      <c r="R362" s="284"/>
      <c r="S362" s="284"/>
      <c r="T362" s="284"/>
      <c r="U362" s="284"/>
      <c r="V362" s="284"/>
      <c r="W362" s="284"/>
      <c r="X362" s="284"/>
      <c r="Y362" s="284"/>
      <c r="Z362" s="284"/>
      <c r="AA362" s="284"/>
      <c r="AB362" s="284"/>
      <c r="AC362" s="284"/>
      <c r="AD362" s="284"/>
      <c r="AE362" s="284"/>
      <c r="AF362" s="284"/>
      <c r="AG362" s="284"/>
      <c r="AH362" s="284"/>
      <c r="AI362" s="284"/>
      <c r="AJ362" s="284"/>
      <c r="AK362" s="284"/>
    </row>
    <row r="363" spans="1:37" ht="12.75" customHeight="1" x14ac:dyDescent="0.45">
      <c r="A363" s="284"/>
      <c r="B363" s="331"/>
      <c r="C363" s="284"/>
      <c r="D363" s="284"/>
      <c r="E363" s="332"/>
      <c r="F363" s="284"/>
      <c r="G363" s="284"/>
      <c r="H363" s="284"/>
      <c r="I363" s="284"/>
      <c r="J363" s="284"/>
      <c r="K363" s="284"/>
      <c r="L363" s="284"/>
      <c r="M363" s="284"/>
      <c r="N363" s="333"/>
      <c r="O363" s="284"/>
      <c r="P363" s="284"/>
      <c r="Q363" s="284"/>
      <c r="R363" s="284"/>
      <c r="S363" s="284"/>
      <c r="T363" s="284"/>
      <c r="U363" s="284"/>
      <c r="V363" s="284"/>
      <c r="W363" s="284"/>
      <c r="X363" s="284"/>
      <c r="Y363" s="284"/>
      <c r="Z363" s="284"/>
      <c r="AA363" s="284"/>
      <c r="AB363" s="284"/>
      <c r="AC363" s="284"/>
      <c r="AD363" s="284"/>
      <c r="AE363" s="284"/>
      <c r="AF363" s="284"/>
      <c r="AG363" s="284"/>
      <c r="AH363" s="284"/>
      <c r="AI363" s="284"/>
      <c r="AJ363" s="284"/>
      <c r="AK363" s="284"/>
    </row>
    <row r="364" spans="1:37" ht="12.75" customHeight="1" x14ac:dyDescent="0.45">
      <c r="A364" s="284"/>
      <c r="B364" s="331"/>
      <c r="C364" s="284"/>
      <c r="D364" s="284"/>
      <c r="E364" s="332"/>
      <c r="F364" s="284"/>
      <c r="G364" s="284"/>
      <c r="H364" s="284"/>
      <c r="I364" s="284"/>
      <c r="J364" s="284"/>
      <c r="K364" s="284"/>
      <c r="L364" s="284"/>
      <c r="M364" s="284"/>
      <c r="N364" s="333"/>
      <c r="O364" s="284"/>
      <c r="P364" s="284"/>
      <c r="Q364" s="284"/>
      <c r="R364" s="284"/>
      <c r="S364" s="284"/>
      <c r="T364" s="284"/>
      <c r="U364" s="284"/>
      <c r="V364" s="284"/>
      <c r="W364" s="284"/>
      <c r="X364" s="284"/>
      <c r="Y364" s="284"/>
      <c r="Z364" s="284"/>
      <c r="AA364" s="284"/>
      <c r="AB364" s="284"/>
      <c r="AC364" s="284"/>
      <c r="AD364" s="284"/>
      <c r="AE364" s="284"/>
      <c r="AF364" s="284"/>
      <c r="AG364" s="284"/>
      <c r="AH364" s="284"/>
      <c r="AI364" s="284"/>
      <c r="AJ364" s="284"/>
      <c r="AK364" s="284"/>
    </row>
    <row r="365" spans="1:37" ht="12.75" customHeight="1" x14ac:dyDescent="0.45">
      <c r="A365" s="284"/>
      <c r="B365" s="331"/>
      <c r="C365" s="284"/>
      <c r="D365" s="284"/>
      <c r="E365" s="332"/>
      <c r="F365" s="284"/>
      <c r="G365" s="284"/>
      <c r="H365" s="284"/>
      <c r="I365" s="284"/>
      <c r="J365" s="284"/>
      <c r="K365" s="284"/>
      <c r="L365" s="284"/>
      <c r="M365" s="284"/>
      <c r="N365" s="333"/>
      <c r="O365" s="284"/>
      <c r="P365" s="284"/>
      <c r="Q365" s="284"/>
      <c r="R365" s="284"/>
      <c r="S365" s="284"/>
      <c r="T365" s="284"/>
      <c r="U365" s="284"/>
      <c r="V365" s="284"/>
      <c r="W365" s="284"/>
      <c r="X365" s="284"/>
      <c r="Y365" s="284"/>
      <c r="Z365" s="284"/>
      <c r="AA365" s="284"/>
      <c r="AB365" s="284"/>
      <c r="AC365" s="284"/>
      <c r="AD365" s="284"/>
      <c r="AE365" s="284"/>
      <c r="AF365" s="284"/>
      <c r="AG365" s="284"/>
      <c r="AH365" s="284"/>
      <c r="AI365" s="284"/>
      <c r="AJ365" s="284"/>
      <c r="AK365" s="284"/>
    </row>
    <row r="366" spans="1:37" ht="12.75" customHeight="1" x14ac:dyDescent="0.45">
      <c r="A366" s="284"/>
      <c r="B366" s="331"/>
      <c r="C366" s="284"/>
      <c r="D366" s="284"/>
      <c r="E366" s="332"/>
      <c r="F366" s="284"/>
      <c r="G366" s="284"/>
      <c r="H366" s="284"/>
      <c r="I366" s="284"/>
      <c r="J366" s="284"/>
      <c r="K366" s="284"/>
      <c r="L366" s="284"/>
      <c r="M366" s="284"/>
      <c r="N366" s="333"/>
      <c r="O366" s="284"/>
      <c r="P366" s="284"/>
      <c r="Q366" s="284"/>
      <c r="R366" s="284"/>
      <c r="S366" s="284"/>
      <c r="T366" s="284"/>
      <c r="U366" s="284"/>
      <c r="V366" s="284"/>
      <c r="W366" s="284"/>
      <c r="X366" s="284"/>
      <c r="Y366" s="284"/>
      <c r="Z366" s="284"/>
      <c r="AA366" s="284"/>
      <c r="AB366" s="284"/>
      <c r="AC366" s="284"/>
      <c r="AD366" s="284"/>
      <c r="AE366" s="284"/>
      <c r="AF366" s="284"/>
      <c r="AG366" s="284"/>
      <c r="AH366" s="284"/>
      <c r="AI366" s="284"/>
      <c r="AJ366" s="284"/>
      <c r="AK366" s="284"/>
    </row>
    <row r="367" spans="1:37" ht="12.75" customHeight="1" x14ac:dyDescent="0.45">
      <c r="A367" s="284"/>
      <c r="B367" s="331"/>
      <c r="C367" s="284"/>
      <c r="D367" s="284"/>
      <c r="E367" s="332"/>
      <c r="F367" s="284"/>
      <c r="G367" s="284"/>
      <c r="H367" s="284"/>
      <c r="I367" s="284"/>
      <c r="J367" s="284"/>
      <c r="K367" s="284"/>
      <c r="L367" s="284"/>
      <c r="M367" s="284"/>
      <c r="N367" s="333"/>
      <c r="O367" s="284"/>
      <c r="P367" s="284"/>
      <c r="Q367" s="284"/>
      <c r="R367" s="284"/>
      <c r="S367" s="284"/>
      <c r="T367" s="284"/>
      <c r="U367" s="284"/>
      <c r="V367" s="284"/>
      <c r="W367" s="284"/>
      <c r="X367" s="284"/>
      <c r="Y367" s="284"/>
      <c r="Z367" s="284"/>
      <c r="AA367" s="284"/>
      <c r="AB367" s="284"/>
      <c r="AC367" s="284"/>
      <c r="AD367" s="284"/>
      <c r="AE367" s="284"/>
      <c r="AF367" s="284"/>
      <c r="AG367" s="284"/>
      <c r="AH367" s="284"/>
      <c r="AI367" s="284"/>
      <c r="AJ367" s="284"/>
      <c r="AK367" s="284"/>
    </row>
    <row r="368" spans="1:37" ht="12.75" customHeight="1" x14ac:dyDescent="0.45">
      <c r="A368" s="284"/>
      <c r="B368" s="331"/>
      <c r="C368" s="284"/>
      <c r="D368" s="284"/>
      <c r="E368" s="332"/>
      <c r="F368" s="284"/>
      <c r="G368" s="284"/>
      <c r="H368" s="284"/>
      <c r="I368" s="284"/>
      <c r="J368" s="284"/>
      <c r="K368" s="284"/>
      <c r="L368" s="284"/>
      <c r="M368" s="284"/>
      <c r="N368" s="333"/>
      <c r="O368" s="284"/>
      <c r="P368" s="284"/>
      <c r="Q368" s="284"/>
      <c r="R368" s="284"/>
      <c r="S368" s="284"/>
      <c r="T368" s="284"/>
      <c r="U368" s="284"/>
      <c r="V368" s="284"/>
      <c r="W368" s="284"/>
      <c r="X368" s="284"/>
      <c r="Y368" s="284"/>
      <c r="Z368" s="284"/>
      <c r="AA368" s="284"/>
      <c r="AB368" s="284"/>
      <c r="AC368" s="284"/>
      <c r="AD368" s="284"/>
      <c r="AE368" s="284"/>
      <c r="AF368" s="284"/>
      <c r="AG368" s="284"/>
      <c r="AH368" s="284"/>
      <c r="AI368" s="284"/>
      <c r="AJ368" s="284"/>
      <c r="AK368" s="284"/>
    </row>
    <row r="369" spans="1:37" ht="12.75" customHeight="1" x14ac:dyDescent="0.45">
      <c r="A369" s="284"/>
      <c r="B369" s="331"/>
      <c r="C369" s="284"/>
      <c r="D369" s="284"/>
      <c r="E369" s="332"/>
      <c r="F369" s="284"/>
      <c r="G369" s="284"/>
      <c r="H369" s="284"/>
      <c r="I369" s="284"/>
      <c r="J369" s="284"/>
      <c r="K369" s="284"/>
      <c r="L369" s="284"/>
      <c r="M369" s="284"/>
      <c r="N369" s="333"/>
      <c r="O369" s="284"/>
      <c r="P369" s="284"/>
      <c r="Q369" s="284"/>
      <c r="R369" s="284"/>
      <c r="S369" s="284"/>
      <c r="T369" s="284"/>
      <c r="U369" s="284"/>
      <c r="V369" s="284"/>
      <c r="W369" s="284"/>
      <c r="X369" s="284"/>
      <c r="Y369" s="284"/>
      <c r="Z369" s="284"/>
      <c r="AA369" s="284"/>
      <c r="AB369" s="284"/>
      <c r="AC369" s="284"/>
      <c r="AD369" s="284"/>
      <c r="AE369" s="284"/>
      <c r="AF369" s="284"/>
      <c r="AG369" s="284"/>
      <c r="AH369" s="284"/>
      <c r="AI369" s="284"/>
      <c r="AJ369" s="284"/>
      <c r="AK369" s="284"/>
    </row>
    <row r="370" spans="1:37" ht="12.75" customHeight="1" x14ac:dyDescent="0.45">
      <c r="A370" s="284"/>
      <c r="B370" s="331"/>
      <c r="C370" s="284"/>
      <c r="D370" s="284"/>
      <c r="E370" s="332"/>
      <c r="F370" s="284"/>
      <c r="G370" s="284"/>
      <c r="H370" s="284"/>
      <c r="I370" s="284"/>
      <c r="J370" s="284"/>
      <c r="K370" s="284"/>
      <c r="L370" s="284"/>
      <c r="M370" s="284"/>
      <c r="N370" s="333"/>
      <c r="O370" s="284"/>
      <c r="P370" s="284"/>
      <c r="Q370" s="284"/>
      <c r="R370" s="284"/>
      <c r="S370" s="284"/>
      <c r="T370" s="284"/>
      <c r="U370" s="284"/>
      <c r="V370" s="284"/>
      <c r="W370" s="284"/>
      <c r="X370" s="284"/>
      <c r="Y370" s="284"/>
      <c r="Z370" s="284"/>
      <c r="AA370" s="284"/>
      <c r="AB370" s="284"/>
      <c r="AC370" s="284"/>
      <c r="AD370" s="284"/>
      <c r="AE370" s="284"/>
      <c r="AF370" s="284"/>
      <c r="AG370" s="284"/>
      <c r="AH370" s="284"/>
      <c r="AI370" s="284"/>
      <c r="AJ370" s="284"/>
      <c r="AK370" s="284"/>
    </row>
    <row r="371" spans="1:37" ht="12.75" customHeight="1" x14ac:dyDescent="0.45">
      <c r="A371" s="284"/>
      <c r="B371" s="331"/>
      <c r="C371" s="284"/>
      <c r="D371" s="284"/>
      <c r="E371" s="332"/>
      <c r="F371" s="284"/>
      <c r="G371" s="284"/>
      <c r="H371" s="284"/>
      <c r="I371" s="284"/>
      <c r="J371" s="284"/>
      <c r="K371" s="284"/>
      <c r="L371" s="284"/>
      <c r="M371" s="284"/>
      <c r="N371" s="333"/>
      <c r="O371" s="284"/>
      <c r="P371" s="284"/>
      <c r="Q371" s="284"/>
      <c r="R371" s="284"/>
      <c r="S371" s="284"/>
      <c r="T371" s="284"/>
      <c r="U371" s="284"/>
      <c r="V371" s="284"/>
      <c r="W371" s="284"/>
      <c r="X371" s="284"/>
      <c r="Y371" s="284"/>
      <c r="Z371" s="284"/>
      <c r="AA371" s="284"/>
      <c r="AB371" s="284"/>
      <c r="AC371" s="284"/>
      <c r="AD371" s="284"/>
      <c r="AE371" s="284"/>
      <c r="AF371" s="284"/>
      <c r="AG371" s="284"/>
      <c r="AH371" s="284"/>
      <c r="AI371" s="284"/>
      <c r="AJ371" s="284"/>
      <c r="AK371" s="284"/>
    </row>
    <row r="372" spans="1:37" ht="12.75" customHeight="1" x14ac:dyDescent="0.45">
      <c r="A372" s="284"/>
      <c r="B372" s="331"/>
      <c r="C372" s="284"/>
      <c r="D372" s="284"/>
      <c r="E372" s="332"/>
      <c r="F372" s="284"/>
      <c r="G372" s="284"/>
      <c r="H372" s="284"/>
      <c r="I372" s="284"/>
      <c r="J372" s="284"/>
      <c r="K372" s="284"/>
      <c r="L372" s="284"/>
      <c r="M372" s="284"/>
      <c r="N372" s="333"/>
      <c r="O372" s="284"/>
      <c r="P372" s="284"/>
      <c r="Q372" s="284"/>
      <c r="R372" s="284"/>
      <c r="S372" s="284"/>
      <c r="T372" s="284"/>
      <c r="U372" s="284"/>
      <c r="V372" s="284"/>
      <c r="W372" s="284"/>
      <c r="X372" s="284"/>
      <c r="Y372" s="284"/>
      <c r="Z372" s="284"/>
      <c r="AA372" s="284"/>
      <c r="AB372" s="284"/>
      <c r="AC372" s="284"/>
      <c r="AD372" s="284"/>
      <c r="AE372" s="284"/>
      <c r="AF372" s="284"/>
      <c r="AG372" s="284"/>
      <c r="AH372" s="284"/>
      <c r="AI372" s="284"/>
      <c r="AJ372" s="284"/>
      <c r="AK372" s="284"/>
    </row>
    <row r="373" spans="1:37" ht="12.75" customHeight="1" x14ac:dyDescent="0.45">
      <c r="A373" s="284"/>
      <c r="B373" s="331"/>
      <c r="C373" s="284"/>
      <c r="D373" s="284"/>
      <c r="E373" s="332"/>
      <c r="F373" s="284"/>
      <c r="G373" s="284"/>
      <c r="H373" s="284"/>
      <c r="I373" s="284"/>
      <c r="J373" s="284"/>
      <c r="K373" s="284"/>
      <c r="L373" s="284"/>
      <c r="M373" s="284"/>
      <c r="N373" s="333"/>
      <c r="O373" s="284"/>
      <c r="P373" s="284"/>
      <c r="Q373" s="284"/>
      <c r="R373" s="284"/>
      <c r="S373" s="284"/>
      <c r="T373" s="284"/>
      <c r="U373" s="284"/>
      <c r="V373" s="284"/>
      <c r="W373" s="284"/>
      <c r="X373" s="284"/>
      <c r="Y373" s="284"/>
      <c r="Z373" s="284"/>
      <c r="AA373" s="284"/>
      <c r="AB373" s="284"/>
      <c r="AC373" s="284"/>
      <c r="AD373" s="284"/>
      <c r="AE373" s="284"/>
      <c r="AF373" s="284"/>
      <c r="AG373" s="284"/>
      <c r="AH373" s="284"/>
      <c r="AI373" s="284"/>
      <c r="AJ373" s="284"/>
      <c r="AK373" s="284"/>
    </row>
    <row r="374" spans="1:37" ht="12.75" customHeight="1" x14ac:dyDescent="0.45">
      <c r="A374" s="284"/>
      <c r="B374" s="331"/>
      <c r="C374" s="284"/>
      <c r="D374" s="284"/>
      <c r="E374" s="332"/>
      <c r="F374" s="284"/>
      <c r="G374" s="284"/>
      <c r="H374" s="284"/>
      <c r="I374" s="284"/>
      <c r="J374" s="284"/>
      <c r="K374" s="284"/>
      <c r="L374" s="284"/>
      <c r="M374" s="284"/>
      <c r="N374" s="333"/>
      <c r="O374" s="284"/>
      <c r="P374" s="284"/>
      <c r="Q374" s="284"/>
      <c r="R374" s="284"/>
      <c r="S374" s="284"/>
      <c r="T374" s="284"/>
      <c r="U374" s="284"/>
      <c r="V374" s="284"/>
      <c r="W374" s="284"/>
      <c r="X374" s="284"/>
      <c r="Y374" s="284"/>
      <c r="Z374" s="284"/>
      <c r="AA374" s="284"/>
      <c r="AB374" s="284"/>
      <c r="AC374" s="284"/>
      <c r="AD374" s="284"/>
      <c r="AE374" s="284"/>
      <c r="AF374" s="284"/>
      <c r="AG374" s="284"/>
      <c r="AH374" s="284"/>
      <c r="AI374" s="284"/>
      <c r="AJ374" s="284"/>
      <c r="AK374" s="284"/>
    </row>
    <row r="375" spans="1:37" ht="12.75" customHeight="1" x14ac:dyDescent="0.45">
      <c r="A375" s="284"/>
      <c r="B375" s="331"/>
      <c r="C375" s="284"/>
      <c r="D375" s="284"/>
      <c r="E375" s="332"/>
      <c r="F375" s="284"/>
      <c r="G375" s="284"/>
      <c r="H375" s="284"/>
      <c r="I375" s="284"/>
      <c r="J375" s="284"/>
      <c r="K375" s="284"/>
      <c r="L375" s="284"/>
      <c r="M375" s="284"/>
      <c r="N375" s="333"/>
      <c r="O375" s="284"/>
      <c r="P375" s="284"/>
      <c r="Q375" s="284"/>
      <c r="R375" s="284"/>
      <c r="S375" s="284"/>
      <c r="T375" s="284"/>
      <c r="U375" s="284"/>
      <c r="V375" s="284"/>
      <c r="W375" s="284"/>
      <c r="X375" s="284"/>
      <c r="Y375" s="284"/>
      <c r="Z375" s="284"/>
      <c r="AA375" s="284"/>
      <c r="AB375" s="284"/>
      <c r="AC375" s="284"/>
      <c r="AD375" s="284"/>
      <c r="AE375" s="284"/>
      <c r="AF375" s="284"/>
      <c r="AG375" s="284"/>
      <c r="AH375" s="284"/>
      <c r="AI375" s="284"/>
      <c r="AJ375" s="284"/>
      <c r="AK375" s="284"/>
    </row>
    <row r="376" spans="1:37" ht="12.75" customHeight="1" x14ac:dyDescent="0.45">
      <c r="A376" s="284"/>
      <c r="B376" s="331"/>
      <c r="C376" s="284"/>
      <c r="D376" s="284"/>
      <c r="E376" s="332"/>
      <c r="F376" s="284"/>
      <c r="G376" s="284"/>
      <c r="H376" s="284"/>
      <c r="I376" s="284"/>
      <c r="J376" s="284"/>
      <c r="K376" s="284"/>
      <c r="L376" s="284"/>
      <c r="M376" s="284"/>
      <c r="N376" s="333"/>
      <c r="O376" s="284"/>
      <c r="P376" s="284"/>
      <c r="Q376" s="284"/>
      <c r="R376" s="284"/>
      <c r="S376" s="284"/>
      <c r="T376" s="284"/>
      <c r="U376" s="284"/>
      <c r="V376" s="284"/>
      <c r="W376" s="284"/>
      <c r="X376" s="284"/>
      <c r="Y376" s="284"/>
      <c r="Z376" s="284"/>
      <c r="AA376" s="284"/>
      <c r="AB376" s="284"/>
      <c r="AC376" s="284"/>
      <c r="AD376" s="284"/>
      <c r="AE376" s="284"/>
      <c r="AF376" s="284"/>
      <c r="AG376" s="284"/>
      <c r="AH376" s="284"/>
      <c r="AI376" s="284"/>
      <c r="AJ376" s="284"/>
      <c r="AK376" s="284"/>
    </row>
    <row r="377" spans="1:37" ht="12.75" customHeight="1" x14ac:dyDescent="0.45">
      <c r="A377" s="284"/>
      <c r="B377" s="331"/>
      <c r="C377" s="284"/>
      <c r="D377" s="284"/>
      <c r="E377" s="332"/>
      <c r="F377" s="284"/>
      <c r="G377" s="284"/>
      <c r="H377" s="284"/>
      <c r="I377" s="284"/>
      <c r="J377" s="284"/>
      <c r="K377" s="284"/>
      <c r="L377" s="284"/>
      <c r="M377" s="284"/>
      <c r="N377" s="333"/>
      <c r="O377" s="284"/>
      <c r="P377" s="284"/>
      <c r="Q377" s="284"/>
      <c r="R377" s="284"/>
      <c r="S377" s="284"/>
      <c r="T377" s="284"/>
      <c r="U377" s="284"/>
      <c r="V377" s="284"/>
      <c r="W377" s="284"/>
      <c r="X377" s="284"/>
      <c r="Y377" s="284"/>
      <c r="Z377" s="284"/>
      <c r="AA377" s="284"/>
      <c r="AB377" s="284"/>
      <c r="AC377" s="284"/>
      <c r="AD377" s="284"/>
      <c r="AE377" s="284"/>
      <c r="AF377" s="284"/>
      <c r="AG377" s="284"/>
      <c r="AH377" s="284"/>
      <c r="AI377" s="284"/>
      <c r="AJ377" s="284"/>
      <c r="AK377" s="284"/>
    </row>
    <row r="378" spans="1:37" ht="12.75" customHeight="1" x14ac:dyDescent="0.45">
      <c r="A378" s="284"/>
      <c r="B378" s="331"/>
      <c r="C378" s="284"/>
      <c r="D378" s="284"/>
      <c r="E378" s="332"/>
      <c r="F378" s="284"/>
      <c r="G378" s="284"/>
      <c r="H378" s="284"/>
      <c r="I378" s="284"/>
      <c r="J378" s="284"/>
      <c r="K378" s="284"/>
      <c r="L378" s="284"/>
      <c r="M378" s="284"/>
      <c r="N378" s="333"/>
      <c r="O378" s="284"/>
      <c r="P378" s="284"/>
      <c r="Q378" s="284"/>
      <c r="R378" s="284"/>
      <c r="S378" s="284"/>
      <c r="T378" s="284"/>
      <c r="U378" s="284"/>
      <c r="V378" s="284"/>
      <c r="W378" s="284"/>
      <c r="X378" s="284"/>
      <c r="Y378" s="284"/>
      <c r="Z378" s="284"/>
      <c r="AA378" s="284"/>
      <c r="AB378" s="284"/>
      <c r="AC378" s="284"/>
      <c r="AD378" s="284"/>
      <c r="AE378" s="284"/>
      <c r="AF378" s="284"/>
      <c r="AG378" s="284"/>
      <c r="AH378" s="284"/>
      <c r="AI378" s="284"/>
      <c r="AJ378" s="284"/>
      <c r="AK378" s="284"/>
    </row>
    <row r="379" spans="1:37" ht="12.75" customHeight="1" x14ac:dyDescent="0.45">
      <c r="A379" s="284"/>
      <c r="B379" s="331"/>
      <c r="C379" s="284"/>
      <c r="D379" s="284"/>
      <c r="E379" s="332"/>
      <c r="F379" s="284"/>
      <c r="G379" s="284"/>
      <c r="H379" s="284"/>
      <c r="I379" s="284"/>
      <c r="J379" s="284"/>
      <c r="K379" s="284"/>
      <c r="L379" s="284"/>
      <c r="M379" s="284"/>
      <c r="N379" s="333"/>
      <c r="O379" s="284"/>
      <c r="P379" s="284"/>
      <c r="Q379" s="284"/>
      <c r="R379" s="284"/>
      <c r="S379" s="284"/>
      <c r="T379" s="284"/>
      <c r="U379" s="284"/>
      <c r="V379" s="284"/>
      <c r="W379" s="284"/>
      <c r="X379" s="284"/>
      <c r="Y379" s="284"/>
      <c r="Z379" s="284"/>
      <c r="AA379" s="284"/>
      <c r="AB379" s="284"/>
      <c r="AC379" s="284"/>
      <c r="AD379" s="284"/>
      <c r="AE379" s="284"/>
      <c r="AF379" s="284"/>
      <c r="AG379" s="284"/>
      <c r="AH379" s="284"/>
      <c r="AI379" s="284"/>
      <c r="AJ379" s="284"/>
      <c r="AK379" s="284"/>
    </row>
    <row r="380" spans="1:37" ht="12.75" customHeight="1" x14ac:dyDescent="0.45">
      <c r="A380" s="284"/>
      <c r="B380" s="331"/>
      <c r="C380" s="284"/>
      <c r="D380" s="284"/>
      <c r="E380" s="332"/>
      <c r="F380" s="284"/>
      <c r="G380" s="284"/>
      <c r="H380" s="284"/>
      <c r="I380" s="284"/>
      <c r="J380" s="284"/>
      <c r="K380" s="284"/>
      <c r="L380" s="284"/>
      <c r="M380" s="284"/>
      <c r="N380" s="333"/>
      <c r="O380" s="284"/>
      <c r="P380" s="284"/>
      <c r="Q380" s="284"/>
      <c r="R380" s="284"/>
      <c r="S380" s="284"/>
      <c r="T380" s="284"/>
      <c r="U380" s="284"/>
      <c r="V380" s="284"/>
      <c r="W380" s="284"/>
      <c r="X380" s="284"/>
      <c r="Y380" s="284"/>
      <c r="Z380" s="284"/>
      <c r="AA380" s="284"/>
      <c r="AB380" s="284"/>
      <c r="AC380" s="284"/>
      <c r="AD380" s="284"/>
      <c r="AE380" s="284"/>
      <c r="AF380" s="284"/>
      <c r="AG380" s="284"/>
      <c r="AH380" s="284"/>
      <c r="AI380" s="284"/>
      <c r="AJ380" s="284"/>
      <c r="AK380" s="284"/>
    </row>
    <row r="381" spans="1:37" ht="12.75" customHeight="1" x14ac:dyDescent="0.45">
      <c r="A381" s="284"/>
      <c r="B381" s="331"/>
      <c r="C381" s="284"/>
      <c r="D381" s="284"/>
      <c r="E381" s="332"/>
      <c r="F381" s="284"/>
      <c r="G381" s="284"/>
      <c r="H381" s="284"/>
      <c r="I381" s="284"/>
      <c r="J381" s="284"/>
      <c r="K381" s="284"/>
      <c r="L381" s="284"/>
      <c r="M381" s="284"/>
      <c r="N381" s="333"/>
      <c r="O381" s="284"/>
      <c r="P381" s="284"/>
      <c r="Q381" s="284"/>
      <c r="R381" s="284"/>
      <c r="S381" s="284"/>
      <c r="T381" s="284"/>
      <c r="U381" s="284"/>
      <c r="V381" s="284"/>
      <c r="W381" s="284"/>
      <c r="X381" s="284"/>
      <c r="Y381" s="284"/>
      <c r="Z381" s="284"/>
      <c r="AA381" s="284"/>
      <c r="AB381" s="284"/>
      <c r="AC381" s="284"/>
      <c r="AD381" s="284"/>
      <c r="AE381" s="284"/>
      <c r="AF381" s="284"/>
      <c r="AG381" s="284"/>
      <c r="AH381" s="284"/>
      <c r="AI381" s="284"/>
      <c r="AJ381" s="284"/>
      <c r="AK381" s="284"/>
    </row>
    <row r="382" spans="1:37" ht="12.75" customHeight="1" x14ac:dyDescent="0.45">
      <c r="A382" s="284"/>
      <c r="B382" s="331"/>
      <c r="C382" s="284"/>
      <c r="D382" s="284"/>
      <c r="E382" s="332"/>
      <c r="F382" s="284"/>
      <c r="G382" s="284"/>
      <c r="H382" s="284"/>
      <c r="I382" s="284"/>
      <c r="J382" s="284"/>
      <c r="K382" s="284"/>
      <c r="L382" s="284"/>
      <c r="M382" s="284"/>
      <c r="N382" s="333"/>
      <c r="O382" s="284"/>
      <c r="P382" s="284"/>
      <c r="Q382" s="284"/>
      <c r="R382" s="284"/>
      <c r="S382" s="284"/>
      <c r="T382" s="284"/>
      <c r="U382" s="284"/>
      <c r="V382" s="284"/>
      <c r="W382" s="284"/>
      <c r="X382" s="284"/>
      <c r="Y382" s="284"/>
      <c r="Z382" s="284"/>
      <c r="AA382" s="284"/>
      <c r="AB382" s="284"/>
      <c r="AC382" s="284"/>
      <c r="AD382" s="284"/>
      <c r="AE382" s="284"/>
      <c r="AF382" s="284"/>
      <c r="AG382" s="284"/>
      <c r="AH382" s="284"/>
      <c r="AI382" s="284"/>
      <c r="AJ382" s="284"/>
      <c r="AK382" s="284"/>
    </row>
    <row r="383" spans="1:37" ht="12.75" customHeight="1" x14ac:dyDescent="0.45">
      <c r="A383" s="284"/>
      <c r="B383" s="331"/>
      <c r="C383" s="284"/>
      <c r="D383" s="284"/>
      <c r="E383" s="332"/>
      <c r="F383" s="284"/>
      <c r="G383" s="284"/>
      <c r="H383" s="284"/>
      <c r="I383" s="284"/>
      <c r="J383" s="284"/>
      <c r="K383" s="284"/>
      <c r="L383" s="284"/>
      <c r="M383" s="284"/>
      <c r="N383" s="333"/>
      <c r="O383" s="284"/>
      <c r="P383" s="284"/>
      <c r="Q383" s="284"/>
      <c r="R383" s="284"/>
      <c r="S383" s="284"/>
      <c r="T383" s="284"/>
      <c r="U383" s="284"/>
      <c r="V383" s="284"/>
      <c r="W383" s="284"/>
      <c r="X383" s="284"/>
      <c r="Y383" s="284"/>
      <c r="Z383" s="284"/>
      <c r="AA383" s="284"/>
      <c r="AB383" s="284"/>
      <c r="AC383" s="284"/>
      <c r="AD383" s="284"/>
      <c r="AE383" s="284"/>
      <c r="AF383" s="284"/>
      <c r="AG383" s="284"/>
      <c r="AH383" s="284"/>
      <c r="AI383" s="284"/>
      <c r="AJ383" s="284"/>
      <c r="AK383" s="284"/>
    </row>
    <row r="384" spans="1:37" ht="12.75" customHeight="1" x14ac:dyDescent="0.45">
      <c r="A384" s="284"/>
      <c r="B384" s="331"/>
      <c r="C384" s="284"/>
      <c r="D384" s="284"/>
      <c r="E384" s="332"/>
      <c r="F384" s="284"/>
      <c r="G384" s="284"/>
      <c r="H384" s="284"/>
      <c r="I384" s="284"/>
      <c r="J384" s="284"/>
      <c r="K384" s="284"/>
      <c r="L384" s="284"/>
      <c r="M384" s="284"/>
      <c r="N384" s="333"/>
      <c r="O384" s="284"/>
      <c r="P384" s="284"/>
      <c r="Q384" s="284"/>
      <c r="R384" s="284"/>
      <c r="S384" s="284"/>
      <c r="T384" s="284"/>
      <c r="U384" s="284"/>
      <c r="V384" s="284"/>
      <c r="W384" s="284"/>
      <c r="X384" s="284"/>
      <c r="Y384" s="284"/>
      <c r="Z384" s="284"/>
      <c r="AA384" s="284"/>
      <c r="AB384" s="284"/>
      <c r="AC384" s="284"/>
      <c r="AD384" s="284"/>
      <c r="AE384" s="284"/>
      <c r="AF384" s="284"/>
      <c r="AG384" s="284"/>
      <c r="AH384" s="284"/>
      <c r="AI384" s="284"/>
      <c r="AJ384" s="284"/>
      <c r="AK384" s="284"/>
    </row>
    <row r="385" spans="1:37" ht="12.75" customHeight="1" x14ac:dyDescent="0.45">
      <c r="A385" s="284"/>
      <c r="B385" s="331"/>
      <c r="C385" s="284"/>
      <c r="D385" s="284"/>
      <c r="E385" s="332"/>
      <c r="F385" s="284"/>
      <c r="G385" s="284"/>
      <c r="H385" s="284"/>
      <c r="I385" s="284"/>
      <c r="J385" s="284"/>
      <c r="K385" s="284"/>
      <c r="L385" s="284"/>
      <c r="M385" s="284"/>
      <c r="N385" s="333"/>
      <c r="O385" s="284"/>
      <c r="P385" s="284"/>
      <c r="Q385" s="284"/>
      <c r="R385" s="284"/>
      <c r="S385" s="284"/>
      <c r="T385" s="284"/>
      <c r="U385" s="284"/>
      <c r="V385" s="284"/>
      <c r="W385" s="284"/>
      <c r="X385" s="284"/>
      <c r="Y385" s="284"/>
      <c r="Z385" s="284"/>
      <c r="AA385" s="284"/>
      <c r="AB385" s="284"/>
      <c r="AC385" s="284"/>
      <c r="AD385" s="284"/>
      <c r="AE385" s="284"/>
      <c r="AF385" s="284"/>
      <c r="AG385" s="284"/>
      <c r="AH385" s="284"/>
      <c r="AI385" s="284"/>
      <c r="AJ385" s="284"/>
      <c r="AK385" s="284"/>
    </row>
    <row r="386" spans="1:37" ht="12.75" customHeight="1" x14ac:dyDescent="0.45">
      <c r="A386" s="284"/>
      <c r="B386" s="331"/>
      <c r="C386" s="284"/>
      <c r="D386" s="284"/>
      <c r="E386" s="332"/>
      <c r="F386" s="284"/>
      <c r="G386" s="284"/>
      <c r="H386" s="284"/>
      <c r="I386" s="284"/>
      <c r="J386" s="284"/>
      <c r="K386" s="284"/>
      <c r="L386" s="284"/>
      <c r="M386" s="284"/>
      <c r="N386" s="333"/>
      <c r="O386" s="284"/>
      <c r="P386" s="284"/>
      <c r="Q386" s="284"/>
      <c r="R386" s="284"/>
      <c r="S386" s="284"/>
      <c r="T386" s="284"/>
      <c r="U386" s="284"/>
      <c r="V386" s="284"/>
      <c r="W386" s="284"/>
      <c r="X386" s="284"/>
      <c r="Y386" s="284"/>
      <c r="Z386" s="284"/>
      <c r="AA386" s="284"/>
      <c r="AB386" s="284"/>
      <c r="AC386" s="284"/>
      <c r="AD386" s="284"/>
      <c r="AE386" s="284"/>
      <c r="AF386" s="284"/>
      <c r="AG386" s="284"/>
      <c r="AH386" s="284"/>
      <c r="AI386" s="284"/>
      <c r="AJ386" s="284"/>
      <c r="AK386" s="284"/>
    </row>
    <row r="387" spans="1:37" ht="12.75" customHeight="1" x14ac:dyDescent="0.45">
      <c r="A387" s="284"/>
      <c r="B387" s="331"/>
      <c r="C387" s="284"/>
      <c r="D387" s="284"/>
      <c r="E387" s="332"/>
      <c r="F387" s="284"/>
      <c r="G387" s="284"/>
      <c r="H387" s="284"/>
      <c r="I387" s="284"/>
      <c r="J387" s="284"/>
      <c r="K387" s="284"/>
      <c r="L387" s="284"/>
      <c r="M387" s="284"/>
      <c r="N387" s="333"/>
      <c r="O387" s="284"/>
      <c r="P387" s="284"/>
      <c r="Q387" s="284"/>
      <c r="R387" s="284"/>
      <c r="S387" s="284"/>
      <c r="T387" s="284"/>
      <c r="U387" s="284"/>
      <c r="V387" s="284"/>
      <c r="W387" s="284"/>
      <c r="X387" s="284"/>
      <c r="Y387" s="284"/>
      <c r="Z387" s="284"/>
      <c r="AA387" s="284"/>
      <c r="AB387" s="284"/>
      <c r="AC387" s="284"/>
      <c r="AD387" s="284"/>
      <c r="AE387" s="284"/>
      <c r="AF387" s="284"/>
      <c r="AG387" s="284"/>
      <c r="AH387" s="284"/>
      <c r="AI387" s="284"/>
      <c r="AJ387" s="284"/>
      <c r="AK387" s="284"/>
    </row>
    <row r="388" spans="1:37" ht="12.75" customHeight="1" x14ac:dyDescent="0.45">
      <c r="A388" s="284"/>
      <c r="B388" s="331"/>
      <c r="C388" s="284"/>
      <c r="D388" s="284"/>
      <c r="E388" s="332"/>
      <c r="F388" s="284"/>
      <c r="G388" s="284"/>
      <c r="H388" s="284"/>
      <c r="I388" s="284"/>
      <c r="J388" s="284"/>
      <c r="K388" s="284"/>
      <c r="L388" s="284"/>
      <c r="M388" s="284"/>
      <c r="N388" s="333"/>
      <c r="O388" s="284"/>
      <c r="P388" s="284"/>
      <c r="Q388" s="284"/>
      <c r="R388" s="284"/>
      <c r="S388" s="284"/>
      <c r="T388" s="284"/>
      <c r="U388" s="284"/>
      <c r="V388" s="284"/>
      <c r="W388" s="284"/>
      <c r="X388" s="284"/>
      <c r="Y388" s="284"/>
      <c r="Z388" s="284"/>
      <c r="AA388" s="284"/>
      <c r="AB388" s="284"/>
      <c r="AC388" s="284"/>
      <c r="AD388" s="284"/>
      <c r="AE388" s="284"/>
      <c r="AF388" s="284"/>
      <c r="AG388" s="284"/>
      <c r="AH388" s="284"/>
      <c r="AI388" s="284"/>
      <c r="AJ388" s="284"/>
      <c r="AK388" s="284"/>
    </row>
    <row r="389" spans="1:37" ht="12.75" customHeight="1" x14ac:dyDescent="0.45">
      <c r="A389" s="284"/>
      <c r="B389" s="331"/>
      <c r="C389" s="284"/>
      <c r="D389" s="284"/>
      <c r="E389" s="332"/>
      <c r="F389" s="284"/>
      <c r="G389" s="284"/>
      <c r="H389" s="284"/>
      <c r="I389" s="284"/>
      <c r="J389" s="284"/>
      <c r="K389" s="284"/>
      <c r="L389" s="284"/>
      <c r="M389" s="284"/>
      <c r="N389" s="333"/>
      <c r="O389" s="284"/>
      <c r="P389" s="284"/>
      <c r="Q389" s="284"/>
      <c r="R389" s="284"/>
      <c r="S389" s="284"/>
      <c r="T389" s="284"/>
      <c r="U389" s="284"/>
      <c r="V389" s="284"/>
      <c r="W389" s="284"/>
      <c r="X389" s="284"/>
      <c r="Y389" s="284"/>
      <c r="Z389" s="284"/>
      <c r="AA389" s="284"/>
      <c r="AB389" s="284"/>
      <c r="AC389" s="284"/>
      <c r="AD389" s="284"/>
      <c r="AE389" s="284"/>
      <c r="AF389" s="284"/>
      <c r="AG389" s="284"/>
      <c r="AH389" s="284"/>
      <c r="AI389" s="284"/>
      <c r="AJ389" s="284"/>
      <c r="AK389" s="284"/>
    </row>
    <row r="390" spans="1:37" ht="12.75" customHeight="1" x14ac:dyDescent="0.45">
      <c r="A390" s="284"/>
      <c r="B390" s="331"/>
      <c r="C390" s="284"/>
      <c r="D390" s="284"/>
      <c r="E390" s="332"/>
      <c r="F390" s="284"/>
      <c r="G390" s="284"/>
      <c r="H390" s="284"/>
      <c r="I390" s="284"/>
      <c r="J390" s="284"/>
      <c r="K390" s="284"/>
      <c r="L390" s="284"/>
      <c r="M390" s="284"/>
      <c r="N390" s="333"/>
      <c r="O390" s="284"/>
      <c r="P390" s="284"/>
      <c r="Q390" s="284"/>
      <c r="R390" s="284"/>
      <c r="S390" s="284"/>
      <c r="T390" s="284"/>
      <c r="U390" s="284"/>
      <c r="V390" s="284"/>
      <c r="W390" s="284"/>
      <c r="X390" s="284"/>
      <c r="Y390" s="284"/>
      <c r="Z390" s="284"/>
      <c r="AA390" s="284"/>
      <c r="AB390" s="284"/>
      <c r="AC390" s="284"/>
      <c r="AD390" s="284"/>
      <c r="AE390" s="284"/>
      <c r="AF390" s="284"/>
      <c r="AG390" s="284"/>
      <c r="AH390" s="284"/>
      <c r="AI390" s="284"/>
      <c r="AJ390" s="284"/>
      <c r="AK390" s="284"/>
    </row>
    <row r="391" spans="1:37" ht="12.75" customHeight="1" x14ac:dyDescent="0.45">
      <c r="A391" s="284"/>
      <c r="B391" s="331"/>
      <c r="C391" s="284"/>
      <c r="D391" s="284"/>
      <c r="E391" s="332"/>
      <c r="F391" s="284"/>
      <c r="G391" s="284"/>
      <c r="H391" s="284"/>
      <c r="I391" s="284"/>
      <c r="J391" s="284"/>
      <c r="K391" s="284"/>
      <c r="L391" s="284"/>
      <c r="M391" s="284"/>
      <c r="N391" s="333"/>
      <c r="O391" s="284"/>
      <c r="P391" s="284"/>
      <c r="Q391" s="284"/>
      <c r="R391" s="284"/>
      <c r="S391" s="284"/>
      <c r="T391" s="284"/>
      <c r="U391" s="284"/>
      <c r="V391" s="284"/>
      <c r="W391" s="284"/>
      <c r="X391" s="284"/>
      <c r="Y391" s="284"/>
      <c r="Z391" s="284"/>
      <c r="AA391" s="284"/>
      <c r="AB391" s="284"/>
      <c r="AC391" s="284"/>
      <c r="AD391" s="284"/>
      <c r="AE391" s="284"/>
      <c r="AF391" s="284"/>
      <c r="AG391" s="284"/>
      <c r="AH391" s="284"/>
      <c r="AI391" s="284"/>
      <c r="AJ391" s="284"/>
      <c r="AK391" s="284"/>
    </row>
    <row r="392" spans="1:37" ht="12.75" customHeight="1" x14ac:dyDescent="0.45">
      <c r="A392" s="284"/>
      <c r="B392" s="331"/>
      <c r="C392" s="284"/>
      <c r="D392" s="284"/>
      <c r="E392" s="332"/>
      <c r="F392" s="284"/>
      <c r="G392" s="284"/>
      <c r="H392" s="284"/>
      <c r="I392" s="284"/>
      <c r="J392" s="284"/>
      <c r="K392" s="284"/>
      <c r="L392" s="284"/>
      <c r="M392" s="284"/>
      <c r="N392" s="333"/>
      <c r="O392" s="284"/>
      <c r="P392" s="284"/>
      <c r="Q392" s="284"/>
      <c r="R392" s="284"/>
      <c r="S392" s="284"/>
      <c r="T392" s="284"/>
      <c r="U392" s="284"/>
      <c r="V392" s="284"/>
      <c r="W392" s="284"/>
      <c r="X392" s="284"/>
      <c r="Y392" s="284"/>
      <c r="Z392" s="284"/>
      <c r="AA392" s="284"/>
      <c r="AB392" s="284"/>
      <c r="AC392" s="284"/>
      <c r="AD392" s="284"/>
      <c r="AE392" s="284"/>
      <c r="AF392" s="284"/>
      <c r="AG392" s="284"/>
      <c r="AH392" s="284"/>
      <c r="AI392" s="284"/>
      <c r="AJ392" s="284"/>
      <c r="AK392" s="284"/>
    </row>
    <row r="393" spans="1:37" ht="12.75" customHeight="1" x14ac:dyDescent="0.45">
      <c r="A393" s="284"/>
      <c r="B393" s="331"/>
      <c r="C393" s="284"/>
      <c r="D393" s="284"/>
      <c r="E393" s="332"/>
      <c r="F393" s="284"/>
      <c r="G393" s="284"/>
      <c r="H393" s="284"/>
      <c r="I393" s="284"/>
      <c r="J393" s="284"/>
      <c r="K393" s="284"/>
      <c r="L393" s="284"/>
      <c r="M393" s="284"/>
      <c r="N393" s="333"/>
      <c r="O393" s="284"/>
      <c r="P393" s="284"/>
      <c r="Q393" s="284"/>
      <c r="R393" s="284"/>
      <c r="S393" s="284"/>
      <c r="T393" s="284"/>
      <c r="U393" s="284"/>
      <c r="V393" s="284"/>
      <c r="W393" s="284"/>
      <c r="X393" s="284"/>
      <c r="Y393" s="284"/>
      <c r="Z393" s="284"/>
      <c r="AA393" s="284"/>
      <c r="AB393" s="284"/>
      <c r="AC393" s="284"/>
      <c r="AD393" s="284"/>
      <c r="AE393" s="284"/>
      <c r="AF393" s="284"/>
      <c r="AG393" s="284"/>
      <c r="AH393" s="284"/>
      <c r="AI393" s="284"/>
      <c r="AJ393" s="284"/>
      <c r="AK393" s="284"/>
    </row>
    <row r="394" spans="1:37" ht="12.75" customHeight="1" x14ac:dyDescent="0.45">
      <c r="A394" s="284"/>
      <c r="B394" s="331"/>
      <c r="C394" s="284"/>
      <c r="D394" s="284"/>
      <c r="E394" s="332"/>
      <c r="F394" s="284"/>
      <c r="G394" s="284"/>
      <c r="H394" s="284"/>
      <c r="I394" s="284"/>
      <c r="J394" s="284"/>
      <c r="K394" s="284"/>
      <c r="L394" s="284"/>
      <c r="M394" s="284"/>
      <c r="N394" s="333"/>
      <c r="O394" s="284"/>
      <c r="P394" s="284"/>
      <c r="Q394" s="284"/>
      <c r="R394" s="284"/>
      <c r="S394" s="284"/>
      <c r="T394" s="284"/>
      <c r="U394" s="284"/>
      <c r="V394" s="284"/>
      <c r="W394" s="284"/>
      <c r="X394" s="284"/>
      <c r="Y394" s="284"/>
      <c r="Z394" s="284"/>
      <c r="AA394" s="284"/>
      <c r="AB394" s="284"/>
      <c r="AC394" s="284"/>
      <c r="AD394" s="284"/>
      <c r="AE394" s="284"/>
      <c r="AF394" s="284"/>
      <c r="AG394" s="284"/>
      <c r="AH394" s="284"/>
      <c r="AI394" s="284"/>
      <c r="AJ394" s="284"/>
      <c r="AK394" s="284"/>
    </row>
    <row r="395" spans="1:37" ht="12.75" customHeight="1" x14ac:dyDescent="0.45">
      <c r="A395" s="284"/>
      <c r="B395" s="331"/>
      <c r="C395" s="284"/>
      <c r="D395" s="284"/>
      <c r="E395" s="332"/>
      <c r="F395" s="284"/>
      <c r="G395" s="284"/>
      <c r="H395" s="284"/>
      <c r="I395" s="284"/>
      <c r="J395" s="284"/>
      <c r="K395" s="284"/>
      <c r="L395" s="284"/>
      <c r="M395" s="284"/>
      <c r="N395" s="333"/>
      <c r="O395" s="284"/>
      <c r="P395" s="284"/>
      <c r="Q395" s="284"/>
      <c r="R395" s="284"/>
      <c r="S395" s="284"/>
      <c r="T395" s="284"/>
      <c r="U395" s="284"/>
      <c r="V395" s="284"/>
      <c r="W395" s="284"/>
      <c r="X395" s="284"/>
      <c r="Y395" s="284"/>
      <c r="Z395" s="284"/>
      <c r="AA395" s="284"/>
      <c r="AB395" s="284"/>
      <c r="AC395" s="284"/>
      <c r="AD395" s="284"/>
      <c r="AE395" s="284"/>
      <c r="AF395" s="284"/>
      <c r="AG395" s="284"/>
      <c r="AH395" s="284"/>
      <c r="AI395" s="284"/>
      <c r="AJ395" s="284"/>
      <c r="AK395" s="284"/>
    </row>
    <row r="396" spans="1:37" ht="12.75" customHeight="1" x14ac:dyDescent="0.45">
      <c r="A396" s="284"/>
      <c r="B396" s="331"/>
      <c r="C396" s="284"/>
      <c r="D396" s="284"/>
      <c r="E396" s="332"/>
      <c r="F396" s="284"/>
      <c r="G396" s="284"/>
      <c r="H396" s="284"/>
      <c r="I396" s="284"/>
      <c r="J396" s="284"/>
      <c r="K396" s="284"/>
      <c r="L396" s="284"/>
      <c r="M396" s="284"/>
      <c r="N396" s="333"/>
      <c r="O396" s="284"/>
      <c r="P396" s="284"/>
      <c r="Q396" s="284"/>
      <c r="R396" s="284"/>
      <c r="S396" s="284"/>
      <c r="T396" s="284"/>
      <c r="U396" s="284"/>
      <c r="V396" s="284"/>
      <c r="W396" s="284"/>
      <c r="X396" s="284"/>
      <c r="Y396" s="284"/>
      <c r="Z396" s="284"/>
      <c r="AA396" s="284"/>
      <c r="AB396" s="284"/>
      <c r="AC396" s="284"/>
      <c r="AD396" s="284"/>
      <c r="AE396" s="284"/>
      <c r="AF396" s="284"/>
      <c r="AG396" s="284"/>
      <c r="AH396" s="284"/>
      <c r="AI396" s="284"/>
      <c r="AJ396" s="284"/>
      <c r="AK396" s="284"/>
    </row>
    <row r="397" spans="1:37" ht="12.75" customHeight="1" x14ac:dyDescent="0.45">
      <c r="A397" s="284"/>
      <c r="B397" s="331"/>
      <c r="C397" s="284"/>
      <c r="D397" s="284"/>
      <c r="E397" s="332"/>
      <c r="F397" s="284"/>
      <c r="G397" s="284"/>
      <c r="H397" s="284"/>
      <c r="I397" s="284"/>
      <c r="J397" s="284"/>
      <c r="K397" s="284"/>
      <c r="L397" s="284"/>
      <c r="M397" s="284"/>
      <c r="N397" s="333"/>
      <c r="O397" s="284"/>
      <c r="P397" s="284"/>
      <c r="Q397" s="284"/>
      <c r="R397" s="284"/>
      <c r="S397" s="284"/>
      <c r="T397" s="284"/>
      <c r="U397" s="284"/>
      <c r="V397" s="284"/>
      <c r="W397" s="284"/>
      <c r="X397" s="284"/>
      <c r="Y397" s="284"/>
      <c r="Z397" s="284"/>
      <c r="AA397" s="284"/>
      <c r="AB397" s="284"/>
      <c r="AC397" s="284"/>
      <c r="AD397" s="284"/>
      <c r="AE397" s="284"/>
      <c r="AF397" s="284"/>
      <c r="AG397" s="284"/>
      <c r="AH397" s="284"/>
      <c r="AI397" s="284"/>
      <c r="AJ397" s="284"/>
      <c r="AK397" s="284"/>
    </row>
    <row r="398" spans="1:37" ht="12.75" customHeight="1" x14ac:dyDescent="0.45">
      <c r="A398" s="284"/>
      <c r="B398" s="331"/>
      <c r="C398" s="284"/>
      <c r="D398" s="284"/>
      <c r="E398" s="332"/>
      <c r="F398" s="284"/>
      <c r="G398" s="284"/>
      <c r="H398" s="284"/>
      <c r="I398" s="284"/>
      <c r="J398" s="284"/>
      <c r="K398" s="284"/>
      <c r="L398" s="284"/>
      <c r="M398" s="284"/>
      <c r="N398" s="333"/>
      <c r="O398" s="284"/>
      <c r="P398" s="284"/>
      <c r="Q398" s="284"/>
      <c r="R398" s="284"/>
      <c r="S398" s="284"/>
      <c r="T398" s="284"/>
      <c r="U398" s="284"/>
      <c r="V398" s="284"/>
      <c r="W398" s="284"/>
      <c r="X398" s="284"/>
      <c r="Y398" s="284"/>
      <c r="Z398" s="284"/>
      <c r="AA398" s="284"/>
      <c r="AB398" s="284"/>
      <c r="AC398" s="284"/>
      <c r="AD398" s="284"/>
      <c r="AE398" s="284"/>
      <c r="AF398" s="284"/>
      <c r="AG398" s="284"/>
      <c r="AH398" s="284"/>
      <c r="AI398" s="284"/>
      <c r="AJ398" s="284"/>
      <c r="AK398" s="284"/>
    </row>
    <row r="399" spans="1:37" ht="12.75" customHeight="1" x14ac:dyDescent="0.45">
      <c r="A399" s="284"/>
      <c r="B399" s="331"/>
      <c r="C399" s="284"/>
      <c r="D399" s="284"/>
      <c r="E399" s="332"/>
      <c r="F399" s="284"/>
      <c r="G399" s="284"/>
      <c r="H399" s="284"/>
      <c r="I399" s="284"/>
      <c r="J399" s="284"/>
      <c r="K399" s="284"/>
      <c r="L399" s="284"/>
      <c r="M399" s="284"/>
      <c r="N399" s="333"/>
      <c r="O399" s="284"/>
      <c r="P399" s="284"/>
      <c r="Q399" s="284"/>
      <c r="R399" s="284"/>
      <c r="S399" s="284"/>
      <c r="T399" s="284"/>
      <c r="U399" s="284"/>
      <c r="V399" s="284"/>
      <c r="W399" s="284"/>
      <c r="X399" s="284"/>
      <c r="Y399" s="284"/>
      <c r="Z399" s="284"/>
      <c r="AA399" s="284"/>
      <c r="AB399" s="284"/>
      <c r="AC399" s="284"/>
      <c r="AD399" s="284"/>
      <c r="AE399" s="284"/>
      <c r="AF399" s="284"/>
      <c r="AG399" s="284"/>
      <c r="AH399" s="284"/>
      <c r="AI399" s="284"/>
      <c r="AJ399" s="284"/>
      <c r="AK399" s="284"/>
    </row>
    <row r="400" spans="1:37" ht="12.75" customHeight="1" x14ac:dyDescent="0.45">
      <c r="A400" s="284"/>
      <c r="B400" s="331"/>
      <c r="C400" s="284"/>
      <c r="D400" s="284"/>
      <c r="E400" s="332"/>
      <c r="F400" s="284"/>
      <c r="G400" s="284"/>
      <c r="H400" s="284"/>
      <c r="I400" s="284"/>
      <c r="J400" s="284"/>
      <c r="K400" s="284"/>
      <c r="L400" s="284"/>
      <c r="M400" s="284"/>
      <c r="N400" s="333"/>
      <c r="O400" s="284"/>
      <c r="P400" s="284"/>
      <c r="Q400" s="284"/>
      <c r="R400" s="284"/>
      <c r="S400" s="284"/>
      <c r="T400" s="284"/>
      <c r="U400" s="284"/>
      <c r="V400" s="284"/>
      <c r="W400" s="284"/>
      <c r="X400" s="284"/>
      <c r="Y400" s="284"/>
      <c r="Z400" s="284"/>
      <c r="AA400" s="284"/>
      <c r="AB400" s="284"/>
      <c r="AC400" s="284"/>
      <c r="AD400" s="284"/>
      <c r="AE400" s="284"/>
      <c r="AF400" s="284"/>
      <c r="AG400" s="284"/>
      <c r="AH400" s="284"/>
      <c r="AI400" s="284"/>
      <c r="AJ400" s="284"/>
      <c r="AK400" s="284"/>
    </row>
    <row r="401" spans="1:37" ht="12.75" customHeight="1" x14ac:dyDescent="0.45">
      <c r="A401" s="284"/>
      <c r="B401" s="331"/>
      <c r="C401" s="284"/>
      <c r="D401" s="284"/>
      <c r="E401" s="332"/>
      <c r="F401" s="284"/>
      <c r="G401" s="284"/>
      <c r="H401" s="284"/>
      <c r="I401" s="284"/>
      <c r="J401" s="284"/>
      <c r="K401" s="284"/>
      <c r="L401" s="284"/>
      <c r="M401" s="284"/>
      <c r="N401" s="333"/>
      <c r="O401" s="284"/>
      <c r="P401" s="284"/>
      <c r="Q401" s="284"/>
      <c r="R401" s="284"/>
      <c r="S401" s="284"/>
      <c r="T401" s="284"/>
      <c r="U401" s="284"/>
      <c r="V401" s="284"/>
      <c r="W401" s="284"/>
      <c r="X401" s="284"/>
      <c r="Y401" s="284"/>
      <c r="Z401" s="284"/>
      <c r="AA401" s="284"/>
      <c r="AB401" s="284"/>
      <c r="AC401" s="284"/>
      <c r="AD401" s="284"/>
      <c r="AE401" s="284"/>
      <c r="AF401" s="284"/>
      <c r="AG401" s="284"/>
      <c r="AH401" s="284"/>
      <c r="AI401" s="284"/>
      <c r="AJ401" s="284"/>
      <c r="AK401" s="284"/>
    </row>
    <row r="402" spans="1:37" ht="12.75" customHeight="1" x14ac:dyDescent="0.45">
      <c r="A402" s="284"/>
      <c r="B402" s="331"/>
      <c r="C402" s="284"/>
      <c r="D402" s="284"/>
      <c r="E402" s="332"/>
      <c r="F402" s="284"/>
      <c r="G402" s="284"/>
      <c r="H402" s="284"/>
      <c r="I402" s="284"/>
      <c r="J402" s="284"/>
      <c r="K402" s="284"/>
      <c r="L402" s="284"/>
      <c r="M402" s="284"/>
      <c r="N402" s="333"/>
      <c r="O402" s="284"/>
      <c r="P402" s="284"/>
      <c r="Q402" s="284"/>
      <c r="R402" s="284"/>
      <c r="S402" s="284"/>
      <c r="T402" s="284"/>
      <c r="U402" s="284"/>
      <c r="V402" s="284"/>
      <c r="W402" s="284"/>
      <c r="X402" s="284"/>
      <c r="Y402" s="284"/>
      <c r="Z402" s="284"/>
      <c r="AA402" s="284"/>
      <c r="AB402" s="284"/>
      <c r="AC402" s="284"/>
      <c r="AD402" s="284"/>
      <c r="AE402" s="284"/>
      <c r="AF402" s="284"/>
      <c r="AG402" s="284"/>
      <c r="AH402" s="284"/>
      <c r="AI402" s="284"/>
      <c r="AJ402" s="284"/>
      <c r="AK402" s="284"/>
    </row>
    <row r="403" spans="1:37" ht="12.75" customHeight="1" x14ac:dyDescent="0.45">
      <c r="A403" s="284"/>
      <c r="B403" s="331"/>
      <c r="C403" s="284"/>
      <c r="D403" s="284"/>
      <c r="E403" s="332"/>
      <c r="F403" s="284"/>
      <c r="G403" s="284"/>
      <c r="H403" s="284"/>
      <c r="I403" s="284"/>
      <c r="J403" s="284"/>
      <c r="K403" s="284"/>
      <c r="L403" s="284"/>
      <c r="M403" s="284"/>
      <c r="N403" s="333"/>
      <c r="O403" s="284"/>
      <c r="P403" s="284"/>
      <c r="Q403" s="284"/>
      <c r="R403" s="284"/>
      <c r="S403" s="284"/>
      <c r="T403" s="284"/>
      <c r="U403" s="284"/>
      <c r="V403" s="284"/>
      <c r="W403" s="284"/>
      <c r="X403" s="284"/>
      <c r="Y403" s="284"/>
      <c r="Z403" s="284"/>
      <c r="AA403" s="284"/>
      <c r="AB403" s="284"/>
      <c r="AC403" s="284"/>
      <c r="AD403" s="284"/>
      <c r="AE403" s="284"/>
      <c r="AF403" s="284"/>
      <c r="AG403" s="284"/>
      <c r="AH403" s="284"/>
      <c r="AI403" s="284"/>
      <c r="AJ403" s="284"/>
      <c r="AK403" s="284"/>
    </row>
    <row r="404" spans="1:37" ht="12.75" customHeight="1" x14ac:dyDescent="0.45">
      <c r="A404" s="284"/>
      <c r="B404" s="331"/>
      <c r="C404" s="284"/>
      <c r="D404" s="284"/>
      <c r="E404" s="332"/>
      <c r="F404" s="284"/>
      <c r="G404" s="284"/>
      <c r="H404" s="284"/>
      <c r="I404" s="284"/>
      <c r="J404" s="284"/>
      <c r="K404" s="284"/>
      <c r="L404" s="284"/>
      <c r="M404" s="284"/>
      <c r="N404" s="333"/>
      <c r="O404" s="284"/>
      <c r="P404" s="284"/>
      <c r="Q404" s="284"/>
      <c r="R404" s="284"/>
      <c r="S404" s="284"/>
      <c r="T404" s="284"/>
      <c r="U404" s="284"/>
      <c r="V404" s="284"/>
      <c r="W404" s="284"/>
      <c r="X404" s="284"/>
      <c r="Y404" s="284"/>
      <c r="Z404" s="284"/>
      <c r="AA404" s="284"/>
      <c r="AB404" s="284"/>
      <c r="AC404" s="284"/>
      <c r="AD404" s="284"/>
      <c r="AE404" s="284"/>
      <c r="AF404" s="284"/>
      <c r="AG404" s="284"/>
      <c r="AH404" s="284"/>
      <c r="AI404" s="284"/>
      <c r="AJ404" s="284"/>
      <c r="AK404" s="284"/>
    </row>
    <row r="405" spans="1:37" ht="12.75" customHeight="1" x14ac:dyDescent="0.45">
      <c r="A405" s="284"/>
      <c r="B405" s="331"/>
      <c r="C405" s="284"/>
      <c r="D405" s="284"/>
      <c r="E405" s="332"/>
      <c r="F405" s="284"/>
      <c r="G405" s="284"/>
      <c r="H405" s="284"/>
      <c r="I405" s="284"/>
      <c r="J405" s="284"/>
      <c r="K405" s="284"/>
      <c r="L405" s="284"/>
      <c r="M405" s="284"/>
      <c r="N405" s="333"/>
      <c r="O405" s="284"/>
      <c r="P405" s="284"/>
      <c r="Q405" s="284"/>
      <c r="R405" s="284"/>
      <c r="S405" s="284"/>
      <c r="T405" s="284"/>
      <c r="U405" s="284"/>
      <c r="V405" s="284"/>
      <c r="W405" s="284"/>
      <c r="X405" s="284"/>
      <c r="Y405" s="284"/>
      <c r="Z405" s="284"/>
      <c r="AA405" s="284"/>
      <c r="AB405" s="284"/>
      <c r="AC405" s="284"/>
      <c r="AD405" s="284"/>
      <c r="AE405" s="284"/>
      <c r="AF405" s="284"/>
      <c r="AG405" s="284"/>
      <c r="AH405" s="284"/>
      <c r="AI405" s="284"/>
      <c r="AJ405" s="284"/>
      <c r="AK405" s="284"/>
    </row>
    <row r="406" spans="1:37" ht="12.75" customHeight="1" x14ac:dyDescent="0.45">
      <c r="A406" s="284"/>
      <c r="B406" s="331"/>
      <c r="C406" s="284"/>
      <c r="D406" s="284"/>
      <c r="E406" s="332"/>
      <c r="F406" s="284"/>
      <c r="G406" s="284"/>
      <c r="H406" s="284"/>
      <c r="I406" s="284"/>
      <c r="J406" s="284"/>
      <c r="K406" s="284"/>
      <c r="L406" s="284"/>
      <c r="M406" s="284"/>
      <c r="N406" s="333"/>
      <c r="O406" s="284"/>
      <c r="P406" s="284"/>
      <c r="Q406" s="284"/>
      <c r="R406" s="284"/>
      <c r="S406" s="284"/>
      <c r="T406" s="284"/>
      <c r="U406" s="284"/>
      <c r="V406" s="284"/>
      <c r="W406" s="284"/>
      <c r="X406" s="284"/>
      <c r="Y406" s="284"/>
      <c r="Z406" s="284"/>
      <c r="AA406" s="284"/>
      <c r="AB406" s="284"/>
      <c r="AC406" s="284"/>
      <c r="AD406" s="284"/>
      <c r="AE406" s="284"/>
      <c r="AF406" s="284"/>
      <c r="AG406" s="284"/>
      <c r="AH406" s="284"/>
      <c r="AI406" s="284"/>
      <c r="AJ406" s="284"/>
      <c r="AK406" s="284"/>
    </row>
    <row r="407" spans="1:37" ht="12.75" customHeight="1" x14ac:dyDescent="0.45">
      <c r="A407" s="284"/>
      <c r="B407" s="331"/>
      <c r="C407" s="284"/>
      <c r="D407" s="284"/>
      <c r="E407" s="332"/>
      <c r="F407" s="284"/>
      <c r="G407" s="284"/>
      <c r="H407" s="284"/>
      <c r="I407" s="284"/>
      <c r="J407" s="284"/>
      <c r="K407" s="284"/>
      <c r="L407" s="284"/>
      <c r="M407" s="284"/>
      <c r="N407" s="333"/>
      <c r="O407" s="284"/>
      <c r="P407" s="284"/>
      <c r="Q407" s="284"/>
      <c r="R407" s="284"/>
      <c r="S407" s="284"/>
      <c r="T407" s="284"/>
      <c r="U407" s="284"/>
      <c r="V407" s="284"/>
      <c r="W407" s="284"/>
      <c r="X407" s="284"/>
      <c r="Y407" s="284"/>
      <c r="Z407" s="284"/>
      <c r="AA407" s="284"/>
      <c r="AB407" s="284"/>
      <c r="AC407" s="284"/>
      <c r="AD407" s="284"/>
      <c r="AE407" s="284"/>
      <c r="AF407" s="284"/>
      <c r="AG407" s="284"/>
      <c r="AH407" s="284"/>
      <c r="AI407" s="284"/>
      <c r="AJ407" s="284"/>
      <c r="AK407" s="284"/>
    </row>
    <row r="408" spans="1:37" ht="12.75" customHeight="1" x14ac:dyDescent="0.45">
      <c r="A408" s="284"/>
      <c r="B408" s="331"/>
      <c r="C408" s="284"/>
      <c r="D408" s="284"/>
      <c r="E408" s="332"/>
      <c r="F408" s="284"/>
      <c r="G408" s="284"/>
      <c r="H408" s="284"/>
      <c r="I408" s="284"/>
      <c r="J408" s="284"/>
      <c r="K408" s="284"/>
      <c r="L408" s="284"/>
      <c r="M408" s="284"/>
      <c r="N408" s="333"/>
      <c r="O408" s="284"/>
      <c r="P408" s="284"/>
      <c r="Q408" s="284"/>
      <c r="R408" s="284"/>
      <c r="S408" s="284"/>
      <c r="T408" s="284"/>
      <c r="U408" s="284"/>
      <c r="V408" s="284"/>
      <c r="W408" s="284"/>
      <c r="X408" s="284"/>
      <c r="Y408" s="284"/>
      <c r="Z408" s="284"/>
      <c r="AA408" s="284"/>
      <c r="AB408" s="284"/>
      <c r="AC408" s="284"/>
      <c r="AD408" s="284"/>
      <c r="AE408" s="284"/>
      <c r="AF408" s="284"/>
      <c r="AG408" s="284"/>
      <c r="AH408" s="284"/>
      <c r="AI408" s="284"/>
      <c r="AJ408" s="284"/>
      <c r="AK408" s="284"/>
    </row>
    <row r="409" spans="1:37" ht="12.75" customHeight="1" x14ac:dyDescent="0.45">
      <c r="A409" s="284"/>
      <c r="B409" s="331"/>
      <c r="C409" s="284"/>
      <c r="D409" s="284"/>
      <c r="E409" s="332"/>
      <c r="F409" s="284"/>
      <c r="G409" s="284"/>
      <c r="H409" s="284"/>
      <c r="I409" s="284"/>
      <c r="J409" s="284"/>
      <c r="K409" s="284"/>
      <c r="L409" s="284"/>
      <c r="M409" s="284"/>
      <c r="N409" s="333"/>
      <c r="O409" s="284"/>
      <c r="P409" s="284"/>
      <c r="Q409" s="284"/>
      <c r="R409" s="284"/>
      <c r="S409" s="284"/>
      <c r="T409" s="284"/>
      <c r="U409" s="284"/>
      <c r="V409" s="284"/>
      <c r="W409" s="284"/>
      <c r="X409" s="284"/>
      <c r="Y409" s="284"/>
      <c r="Z409" s="284"/>
      <c r="AA409" s="284"/>
      <c r="AB409" s="284"/>
      <c r="AC409" s="284"/>
      <c r="AD409" s="284"/>
      <c r="AE409" s="284"/>
      <c r="AF409" s="284"/>
      <c r="AG409" s="284"/>
      <c r="AH409" s="284"/>
      <c r="AI409" s="284"/>
      <c r="AJ409" s="284"/>
      <c r="AK409" s="284"/>
    </row>
    <row r="410" spans="1:37" ht="12.75" customHeight="1" x14ac:dyDescent="0.45">
      <c r="A410" s="284"/>
      <c r="B410" s="331"/>
      <c r="C410" s="284"/>
      <c r="D410" s="284"/>
      <c r="E410" s="332"/>
      <c r="F410" s="284"/>
      <c r="G410" s="284"/>
      <c r="H410" s="284"/>
      <c r="I410" s="284"/>
      <c r="J410" s="284"/>
      <c r="K410" s="284"/>
      <c r="L410" s="284"/>
      <c r="M410" s="284"/>
      <c r="N410" s="333"/>
      <c r="O410" s="284"/>
      <c r="P410" s="284"/>
      <c r="Q410" s="284"/>
      <c r="R410" s="284"/>
      <c r="S410" s="284"/>
      <c r="T410" s="284"/>
      <c r="U410" s="284"/>
      <c r="V410" s="284"/>
      <c r="W410" s="284"/>
      <c r="X410" s="284"/>
      <c r="Y410" s="284"/>
      <c r="Z410" s="284"/>
      <c r="AA410" s="284"/>
      <c r="AB410" s="284"/>
      <c r="AC410" s="284"/>
      <c r="AD410" s="284"/>
      <c r="AE410" s="284"/>
      <c r="AF410" s="284"/>
      <c r="AG410" s="284"/>
      <c r="AH410" s="284"/>
      <c r="AI410" s="284"/>
      <c r="AJ410" s="284"/>
      <c r="AK410" s="284"/>
    </row>
    <row r="411" spans="1:37" ht="12.75" customHeight="1" x14ac:dyDescent="0.45">
      <c r="A411" s="284"/>
      <c r="B411" s="331"/>
      <c r="C411" s="284"/>
      <c r="D411" s="284"/>
      <c r="E411" s="332"/>
      <c r="F411" s="284"/>
      <c r="G411" s="284"/>
      <c r="H411" s="284"/>
      <c r="I411" s="284"/>
      <c r="J411" s="284"/>
      <c r="K411" s="284"/>
      <c r="L411" s="284"/>
      <c r="M411" s="284"/>
      <c r="N411" s="333"/>
      <c r="O411" s="284"/>
      <c r="P411" s="284"/>
      <c r="Q411" s="284"/>
      <c r="R411" s="284"/>
      <c r="S411" s="284"/>
      <c r="T411" s="284"/>
      <c r="U411" s="284"/>
      <c r="V411" s="284"/>
      <c r="W411" s="284"/>
      <c r="X411" s="284"/>
      <c r="Y411" s="284"/>
      <c r="Z411" s="284"/>
      <c r="AA411" s="284"/>
      <c r="AB411" s="284"/>
      <c r="AC411" s="284"/>
      <c r="AD411" s="284"/>
      <c r="AE411" s="284"/>
      <c r="AF411" s="284"/>
      <c r="AG411" s="284"/>
      <c r="AH411" s="284"/>
      <c r="AI411" s="284"/>
      <c r="AJ411" s="284"/>
      <c r="AK411" s="284"/>
    </row>
    <row r="412" spans="1:37" ht="12.75" customHeight="1" x14ac:dyDescent="0.45">
      <c r="A412" s="284"/>
      <c r="B412" s="331"/>
      <c r="C412" s="284"/>
      <c r="D412" s="284"/>
      <c r="E412" s="332"/>
      <c r="F412" s="284"/>
      <c r="G412" s="284"/>
      <c r="H412" s="284"/>
      <c r="I412" s="284"/>
      <c r="J412" s="284"/>
      <c r="K412" s="284"/>
      <c r="L412" s="284"/>
      <c r="M412" s="284"/>
      <c r="N412" s="333"/>
      <c r="O412" s="284"/>
      <c r="P412" s="284"/>
      <c r="Q412" s="284"/>
      <c r="R412" s="284"/>
      <c r="S412" s="284"/>
      <c r="T412" s="284"/>
      <c r="U412" s="284"/>
      <c r="V412" s="284"/>
      <c r="W412" s="284"/>
      <c r="X412" s="284"/>
      <c r="Y412" s="284"/>
      <c r="Z412" s="284"/>
      <c r="AA412" s="284"/>
      <c r="AB412" s="284"/>
      <c r="AC412" s="284"/>
      <c r="AD412" s="284"/>
      <c r="AE412" s="284"/>
      <c r="AF412" s="284"/>
      <c r="AG412" s="284"/>
      <c r="AH412" s="284"/>
      <c r="AI412" s="284"/>
      <c r="AJ412" s="284"/>
      <c r="AK412" s="284"/>
    </row>
    <row r="413" spans="1:37" ht="12.75" customHeight="1" x14ac:dyDescent="0.45">
      <c r="A413" s="284"/>
      <c r="B413" s="331"/>
      <c r="C413" s="284"/>
      <c r="D413" s="284"/>
      <c r="E413" s="332"/>
      <c r="F413" s="284"/>
      <c r="G413" s="284"/>
      <c r="H413" s="284"/>
      <c r="I413" s="284"/>
      <c r="J413" s="284"/>
      <c r="K413" s="284"/>
      <c r="L413" s="284"/>
      <c r="M413" s="284"/>
      <c r="N413" s="333"/>
      <c r="O413" s="284"/>
      <c r="P413" s="284"/>
      <c r="Q413" s="284"/>
      <c r="R413" s="284"/>
      <c r="S413" s="284"/>
      <c r="T413" s="284"/>
      <c r="U413" s="284"/>
      <c r="V413" s="284"/>
      <c r="W413" s="284"/>
      <c r="X413" s="284"/>
      <c r="Y413" s="284"/>
      <c r="Z413" s="284"/>
      <c r="AA413" s="284"/>
      <c r="AB413" s="284"/>
      <c r="AC413" s="284"/>
      <c r="AD413" s="284"/>
      <c r="AE413" s="284"/>
      <c r="AF413" s="284"/>
      <c r="AG413" s="284"/>
      <c r="AH413" s="284"/>
      <c r="AI413" s="284"/>
      <c r="AJ413" s="284"/>
      <c r="AK413" s="284"/>
    </row>
    <row r="414" spans="1:37" ht="12.75" customHeight="1" x14ac:dyDescent="0.45">
      <c r="A414" s="284"/>
      <c r="B414" s="331"/>
      <c r="C414" s="284"/>
      <c r="D414" s="284"/>
      <c r="E414" s="332"/>
      <c r="F414" s="284"/>
      <c r="G414" s="284"/>
      <c r="H414" s="284"/>
      <c r="I414" s="284"/>
      <c r="J414" s="284"/>
      <c r="K414" s="284"/>
      <c r="L414" s="284"/>
      <c r="M414" s="284"/>
      <c r="N414" s="333"/>
      <c r="O414" s="284"/>
      <c r="P414" s="284"/>
      <c r="Q414" s="284"/>
      <c r="R414" s="284"/>
      <c r="S414" s="284"/>
      <c r="T414" s="284"/>
      <c r="U414" s="284"/>
      <c r="V414" s="284"/>
      <c r="W414" s="284"/>
      <c r="X414" s="284"/>
      <c r="Y414" s="284"/>
      <c r="Z414" s="284"/>
      <c r="AA414" s="284"/>
      <c r="AB414" s="284"/>
      <c r="AC414" s="284"/>
      <c r="AD414" s="284"/>
      <c r="AE414" s="284"/>
      <c r="AF414" s="284"/>
      <c r="AG414" s="284"/>
      <c r="AH414" s="284"/>
      <c r="AI414" s="284"/>
      <c r="AJ414" s="284"/>
      <c r="AK414" s="284"/>
    </row>
    <row r="415" spans="1:37" ht="12.75" customHeight="1" x14ac:dyDescent="0.45">
      <c r="A415" s="284"/>
      <c r="B415" s="331"/>
      <c r="C415" s="284"/>
      <c r="D415" s="284"/>
      <c r="E415" s="332"/>
      <c r="F415" s="284"/>
      <c r="G415" s="284"/>
      <c r="H415" s="284"/>
      <c r="I415" s="284"/>
      <c r="J415" s="284"/>
      <c r="K415" s="284"/>
      <c r="L415" s="284"/>
      <c r="M415" s="284"/>
      <c r="N415" s="333"/>
      <c r="O415" s="284"/>
      <c r="P415" s="284"/>
      <c r="Q415" s="284"/>
      <c r="R415" s="284"/>
      <c r="S415" s="284"/>
      <c r="T415" s="284"/>
      <c r="U415" s="284"/>
      <c r="V415" s="284"/>
      <c r="W415" s="284"/>
      <c r="X415" s="284"/>
      <c r="Y415" s="284"/>
      <c r="Z415" s="284"/>
      <c r="AA415" s="284"/>
      <c r="AB415" s="284"/>
      <c r="AC415" s="284"/>
      <c r="AD415" s="284"/>
      <c r="AE415" s="284"/>
      <c r="AF415" s="284"/>
      <c r="AG415" s="284"/>
      <c r="AH415" s="284"/>
      <c r="AI415" s="284"/>
      <c r="AJ415" s="284"/>
      <c r="AK415" s="284"/>
    </row>
    <row r="416" spans="1:37" ht="12.75" customHeight="1" x14ac:dyDescent="0.45">
      <c r="A416" s="284"/>
      <c r="B416" s="331"/>
      <c r="C416" s="284"/>
      <c r="D416" s="284"/>
      <c r="E416" s="332"/>
      <c r="F416" s="284"/>
      <c r="G416" s="284"/>
      <c r="H416" s="284"/>
      <c r="I416" s="284"/>
      <c r="J416" s="284"/>
      <c r="K416" s="284"/>
      <c r="L416" s="284"/>
      <c r="M416" s="284"/>
      <c r="N416" s="333"/>
      <c r="O416" s="284"/>
      <c r="P416" s="284"/>
      <c r="Q416" s="284"/>
      <c r="R416" s="284"/>
      <c r="S416" s="284"/>
      <c r="T416" s="284"/>
      <c r="U416" s="284"/>
      <c r="V416" s="284"/>
      <c r="W416" s="284"/>
      <c r="X416" s="284"/>
      <c r="Y416" s="284"/>
      <c r="Z416" s="284"/>
      <c r="AA416" s="284"/>
      <c r="AB416" s="284"/>
      <c r="AC416" s="284"/>
      <c r="AD416" s="284"/>
      <c r="AE416" s="284"/>
      <c r="AF416" s="284"/>
      <c r="AG416" s="284"/>
      <c r="AH416" s="284"/>
      <c r="AI416" s="284"/>
      <c r="AJ416" s="284"/>
      <c r="AK416" s="284"/>
    </row>
    <row r="417" spans="1:37" ht="12.75" customHeight="1" x14ac:dyDescent="0.45">
      <c r="A417" s="284"/>
      <c r="B417" s="331"/>
      <c r="C417" s="284"/>
      <c r="D417" s="284"/>
      <c r="E417" s="332"/>
      <c r="F417" s="284"/>
      <c r="G417" s="284"/>
      <c r="H417" s="284"/>
      <c r="I417" s="284"/>
      <c r="J417" s="284"/>
      <c r="K417" s="284"/>
      <c r="L417" s="284"/>
      <c r="M417" s="284"/>
      <c r="N417" s="333"/>
      <c r="O417" s="284"/>
      <c r="P417" s="284"/>
      <c r="Q417" s="284"/>
      <c r="R417" s="284"/>
      <c r="S417" s="284"/>
      <c r="T417" s="284"/>
      <c r="U417" s="284"/>
      <c r="V417" s="284"/>
      <c r="W417" s="284"/>
      <c r="X417" s="284"/>
      <c r="Y417" s="284"/>
      <c r="Z417" s="284"/>
      <c r="AA417" s="284"/>
      <c r="AB417" s="284"/>
      <c r="AC417" s="284"/>
      <c r="AD417" s="284"/>
      <c r="AE417" s="284"/>
      <c r="AF417" s="284"/>
      <c r="AG417" s="284"/>
      <c r="AH417" s="284"/>
      <c r="AI417" s="284"/>
      <c r="AJ417" s="284"/>
      <c r="AK417" s="284"/>
    </row>
    <row r="418" spans="1:37" ht="12.75" customHeight="1" x14ac:dyDescent="0.45">
      <c r="A418" s="284"/>
      <c r="B418" s="331"/>
      <c r="C418" s="284"/>
      <c r="D418" s="284"/>
      <c r="E418" s="332"/>
      <c r="F418" s="284"/>
      <c r="G418" s="284"/>
      <c r="H418" s="284"/>
      <c r="I418" s="284"/>
      <c r="J418" s="284"/>
      <c r="K418" s="284"/>
      <c r="L418" s="284"/>
      <c r="M418" s="284"/>
      <c r="N418" s="333"/>
      <c r="O418" s="284"/>
      <c r="P418" s="284"/>
      <c r="Q418" s="284"/>
      <c r="R418" s="284"/>
      <c r="S418" s="284"/>
      <c r="T418" s="284"/>
      <c r="U418" s="284"/>
      <c r="V418" s="284"/>
      <c r="W418" s="284"/>
      <c r="X418" s="284"/>
      <c r="Y418" s="284"/>
      <c r="Z418" s="284"/>
      <c r="AA418" s="284"/>
      <c r="AB418" s="284"/>
      <c r="AC418" s="284"/>
      <c r="AD418" s="284"/>
      <c r="AE418" s="284"/>
      <c r="AF418" s="284"/>
      <c r="AG418" s="284"/>
      <c r="AH418" s="284"/>
      <c r="AI418" s="284"/>
      <c r="AJ418" s="284"/>
      <c r="AK418" s="284"/>
    </row>
    <row r="419" spans="1:37" ht="12.75" customHeight="1" x14ac:dyDescent="0.45">
      <c r="A419" s="284"/>
      <c r="B419" s="331"/>
      <c r="C419" s="284"/>
      <c r="D419" s="284"/>
      <c r="E419" s="332"/>
      <c r="F419" s="284"/>
      <c r="G419" s="284"/>
      <c r="H419" s="284"/>
      <c r="I419" s="284"/>
      <c r="J419" s="284"/>
      <c r="K419" s="284"/>
      <c r="L419" s="284"/>
      <c r="M419" s="284"/>
      <c r="N419" s="333"/>
      <c r="O419" s="284"/>
      <c r="P419" s="284"/>
      <c r="Q419" s="284"/>
      <c r="R419" s="284"/>
      <c r="S419" s="284"/>
      <c r="T419" s="284"/>
      <c r="U419" s="284"/>
      <c r="V419" s="284"/>
      <c r="W419" s="284"/>
      <c r="X419" s="284"/>
      <c r="Y419" s="284"/>
      <c r="Z419" s="284"/>
      <c r="AA419" s="284"/>
      <c r="AB419" s="284"/>
      <c r="AC419" s="284"/>
      <c r="AD419" s="284"/>
      <c r="AE419" s="284"/>
      <c r="AF419" s="284"/>
      <c r="AG419" s="284"/>
      <c r="AH419" s="284"/>
      <c r="AI419" s="284"/>
      <c r="AJ419" s="284"/>
      <c r="AK419" s="284"/>
    </row>
    <row r="420" spans="1:37" ht="12.75" customHeight="1" x14ac:dyDescent="0.45">
      <c r="A420" s="284"/>
      <c r="B420" s="331"/>
      <c r="C420" s="284"/>
      <c r="D420" s="284"/>
      <c r="E420" s="332"/>
      <c r="F420" s="284"/>
      <c r="G420" s="284"/>
      <c r="H420" s="284"/>
      <c r="I420" s="284"/>
      <c r="J420" s="284"/>
      <c r="K420" s="284"/>
      <c r="L420" s="284"/>
      <c r="M420" s="284"/>
      <c r="N420" s="333"/>
      <c r="O420" s="284"/>
      <c r="P420" s="284"/>
      <c r="Q420" s="284"/>
      <c r="R420" s="284"/>
      <c r="S420" s="284"/>
      <c r="T420" s="284"/>
      <c r="U420" s="284"/>
      <c r="V420" s="284"/>
      <c r="W420" s="284"/>
      <c r="X420" s="284"/>
      <c r="Y420" s="284"/>
      <c r="Z420" s="284"/>
      <c r="AA420" s="284"/>
      <c r="AB420" s="284"/>
      <c r="AC420" s="284"/>
      <c r="AD420" s="284"/>
      <c r="AE420" s="284"/>
      <c r="AF420" s="284"/>
      <c r="AG420" s="284"/>
      <c r="AH420" s="284"/>
      <c r="AI420" s="284"/>
      <c r="AJ420" s="284"/>
      <c r="AK420" s="284"/>
    </row>
    <row r="421" spans="1:37" ht="12.75" customHeight="1" x14ac:dyDescent="0.45">
      <c r="A421" s="284"/>
      <c r="B421" s="331"/>
      <c r="C421" s="284"/>
      <c r="D421" s="284"/>
      <c r="E421" s="332"/>
      <c r="F421" s="284"/>
      <c r="G421" s="284"/>
      <c r="H421" s="284"/>
      <c r="I421" s="284"/>
      <c r="J421" s="284"/>
      <c r="K421" s="284"/>
      <c r="L421" s="284"/>
      <c r="M421" s="284"/>
      <c r="N421" s="333"/>
      <c r="O421" s="284"/>
      <c r="P421" s="284"/>
      <c r="Q421" s="284"/>
      <c r="R421" s="284"/>
      <c r="S421" s="284"/>
      <c r="T421" s="284"/>
      <c r="U421" s="284"/>
      <c r="V421" s="284"/>
      <c r="W421" s="284"/>
      <c r="X421" s="284"/>
      <c r="Y421" s="284"/>
      <c r="Z421" s="284"/>
      <c r="AA421" s="284"/>
      <c r="AB421" s="284"/>
      <c r="AC421" s="284"/>
      <c r="AD421" s="284"/>
      <c r="AE421" s="284"/>
      <c r="AF421" s="284"/>
      <c r="AG421" s="284"/>
      <c r="AH421" s="284"/>
      <c r="AI421" s="284"/>
      <c r="AJ421" s="284"/>
      <c r="AK421" s="284"/>
    </row>
    <row r="422" spans="1:37" ht="12.75" customHeight="1" x14ac:dyDescent="0.45">
      <c r="A422" s="284"/>
      <c r="B422" s="331"/>
      <c r="C422" s="284"/>
      <c r="D422" s="284"/>
      <c r="E422" s="332"/>
      <c r="F422" s="284"/>
      <c r="G422" s="284"/>
      <c r="H422" s="284"/>
      <c r="I422" s="284"/>
      <c r="J422" s="284"/>
      <c r="K422" s="284"/>
      <c r="L422" s="284"/>
      <c r="M422" s="284"/>
      <c r="N422" s="333"/>
      <c r="O422" s="284"/>
      <c r="P422" s="284"/>
      <c r="Q422" s="284"/>
      <c r="R422" s="284"/>
      <c r="S422" s="284"/>
      <c r="T422" s="284"/>
      <c r="U422" s="284"/>
      <c r="V422" s="284"/>
      <c r="W422" s="284"/>
      <c r="X422" s="284"/>
      <c r="Y422" s="284"/>
      <c r="Z422" s="284"/>
      <c r="AA422" s="284"/>
      <c r="AB422" s="284"/>
      <c r="AC422" s="284"/>
      <c r="AD422" s="284"/>
      <c r="AE422" s="284"/>
      <c r="AF422" s="284"/>
      <c r="AG422" s="284"/>
      <c r="AH422" s="284"/>
      <c r="AI422" s="284"/>
      <c r="AJ422" s="284"/>
      <c r="AK422" s="284"/>
    </row>
    <row r="423" spans="1:37" ht="12.75" customHeight="1" x14ac:dyDescent="0.45">
      <c r="A423" s="284"/>
      <c r="B423" s="331"/>
      <c r="C423" s="284"/>
      <c r="D423" s="284"/>
      <c r="E423" s="332"/>
      <c r="F423" s="284"/>
      <c r="G423" s="284"/>
      <c r="H423" s="284"/>
      <c r="I423" s="284"/>
      <c r="J423" s="284"/>
      <c r="K423" s="284"/>
      <c r="L423" s="284"/>
      <c r="M423" s="284"/>
      <c r="N423" s="333"/>
      <c r="O423" s="284"/>
      <c r="P423" s="284"/>
      <c r="Q423" s="284"/>
      <c r="R423" s="284"/>
      <c r="S423" s="284"/>
      <c r="T423" s="284"/>
      <c r="U423" s="284"/>
      <c r="V423" s="284"/>
      <c r="W423" s="284"/>
      <c r="X423" s="284"/>
      <c r="Y423" s="284"/>
      <c r="Z423" s="284"/>
      <c r="AA423" s="284"/>
      <c r="AB423" s="284"/>
      <c r="AC423" s="284"/>
      <c r="AD423" s="284"/>
      <c r="AE423" s="284"/>
      <c r="AF423" s="284"/>
      <c r="AG423" s="284"/>
      <c r="AH423" s="284"/>
      <c r="AI423" s="284"/>
      <c r="AJ423" s="284"/>
      <c r="AK423" s="284"/>
    </row>
    <row r="424" spans="1:37" ht="12.75" customHeight="1" x14ac:dyDescent="0.45">
      <c r="A424" s="284"/>
      <c r="B424" s="331"/>
      <c r="C424" s="284"/>
      <c r="D424" s="284"/>
      <c r="E424" s="332"/>
      <c r="F424" s="284"/>
      <c r="G424" s="284"/>
      <c r="H424" s="284"/>
      <c r="I424" s="284"/>
      <c r="J424" s="284"/>
      <c r="K424" s="284"/>
      <c r="L424" s="284"/>
      <c r="M424" s="284"/>
      <c r="N424" s="333"/>
      <c r="O424" s="284"/>
      <c r="P424" s="284"/>
      <c r="Q424" s="284"/>
      <c r="R424" s="284"/>
      <c r="S424" s="284"/>
      <c r="T424" s="284"/>
      <c r="U424" s="284"/>
      <c r="V424" s="284"/>
      <c r="W424" s="284"/>
      <c r="X424" s="284"/>
      <c r="Y424" s="284"/>
      <c r="Z424" s="284"/>
      <c r="AA424" s="284"/>
      <c r="AB424" s="284"/>
      <c r="AC424" s="284"/>
      <c r="AD424" s="284"/>
      <c r="AE424" s="284"/>
      <c r="AF424" s="284"/>
      <c r="AG424" s="284"/>
      <c r="AH424" s="284"/>
      <c r="AI424" s="284"/>
      <c r="AJ424" s="284"/>
      <c r="AK424" s="284"/>
    </row>
    <row r="425" spans="1:37" ht="12.75" customHeight="1" x14ac:dyDescent="0.45">
      <c r="A425" s="284"/>
      <c r="B425" s="331"/>
      <c r="C425" s="284"/>
      <c r="D425" s="284"/>
      <c r="E425" s="332"/>
      <c r="F425" s="284"/>
      <c r="G425" s="284"/>
      <c r="H425" s="284"/>
      <c r="I425" s="284"/>
      <c r="J425" s="284"/>
      <c r="K425" s="284"/>
      <c r="L425" s="284"/>
      <c r="M425" s="284"/>
      <c r="N425" s="333"/>
      <c r="O425" s="284"/>
      <c r="P425" s="284"/>
      <c r="Q425" s="284"/>
      <c r="R425" s="284"/>
      <c r="S425" s="284"/>
      <c r="T425" s="284"/>
      <c r="U425" s="284"/>
      <c r="V425" s="284"/>
      <c r="W425" s="284"/>
      <c r="X425" s="284"/>
      <c r="Y425" s="284"/>
      <c r="Z425" s="284"/>
      <c r="AA425" s="284"/>
      <c r="AB425" s="284"/>
      <c r="AC425" s="284"/>
      <c r="AD425" s="284"/>
      <c r="AE425" s="284"/>
      <c r="AF425" s="284"/>
      <c r="AG425" s="284"/>
      <c r="AH425" s="284"/>
      <c r="AI425" s="284"/>
      <c r="AJ425" s="284"/>
      <c r="AK425" s="284"/>
    </row>
    <row r="426" spans="1:37" ht="12.75" customHeight="1" x14ac:dyDescent="0.45">
      <c r="A426" s="284"/>
      <c r="B426" s="331"/>
      <c r="C426" s="284"/>
      <c r="D426" s="284"/>
      <c r="E426" s="332"/>
      <c r="F426" s="284"/>
      <c r="G426" s="284"/>
      <c r="H426" s="284"/>
      <c r="I426" s="284"/>
      <c r="J426" s="284"/>
      <c r="K426" s="284"/>
      <c r="L426" s="284"/>
      <c r="M426" s="284"/>
      <c r="N426" s="333"/>
      <c r="O426" s="284"/>
      <c r="P426" s="284"/>
      <c r="Q426" s="284"/>
      <c r="R426" s="284"/>
      <c r="S426" s="284"/>
      <c r="T426" s="284"/>
      <c r="U426" s="284"/>
      <c r="V426" s="284"/>
      <c r="W426" s="284"/>
      <c r="X426" s="284"/>
      <c r="Y426" s="284"/>
      <c r="Z426" s="284"/>
      <c r="AA426" s="284"/>
      <c r="AB426" s="284"/>
      <c r="AC426" s="284"/>
      <c r="AD426" s="284"/>
      <c r="AE426" s="284"/>
      <c r="AF426" s="284"/>
      <c r="AG426" s="284"/>
      <c r="AH426" s="284"/>
      <c r="AI426" s="284"/>
      <c r="AJ426" s="284"/>
      <c r="AK426" s="284"/>
    </row>
    <row r="427" spans="1:37" ht="12.75" customHeight="1" x14ac:dyDescent="0.45">
      <c r="A427" s="284"/>
      <c r="B427" s="331"/>
      <c r="C427" s="284"/>
      <c r="D427" s="284"/>
      <c r="E427" s="332"/>
      <c r="F427" s="284"/>
      <c r="G427" s="284"/>
      <c r="H427" s="284"/>
      <c r="I427" s="284"/>
      <c r="J427" s="284"/>
      <c r="K427" s="284"/>
      <c r="L427" s="284"/>
      <c r="M427" s="284"/>
      <c r="N427" s="333"/>
      <c r="O427" s="284"/>
      <c r="P427" s="284"/>
      <c r="Q427" s="284"/>
      <c r="R427" s="284"/>
      <c r="S427" s="284"/>
      <c r="T427" s="284"/>
      <c r="U427" s="284"/>
      <c r="V427" s="284"/>
      <c r="W427" s="284"/>
      <c r="X427" s="284"/>
      <c r="Y427" s="284"/>
      <c r="Z427" s="284"/>
      <c r="AA427" s="284"/>
      <c r="AB427" s="284"/>
      <c r="AC427" s="284"/>
      <c r="AD427" s="284"/>
      <c r="AE427" s="284"/>
      <c r="AF427" s="284"/>
      <c r="AG427" s="284"/>
      <c r="AH427" s="284"/>
      <c r="AI427" s="284"/>
      <c r="AJ427" s="284"/>
      <c r="AK427" s="284"/>
    </row>
    <row r="428" spans="1:37" ht="12.75" customHeight="1" x14ac:dyDescent="0.45">
      <c r="A428" s="284"/>
      <c r="B428" s="331"/>
      <c r="C428" s="284"/>
      <c r="D428" s="284"/>
      <c r="E428" s="332"/>
      <c r="F428" s="284"/>
      <c r="G428" s="284"/>
      <c r="H428" s="284"/>
      <c r="I428" s="284"/>
      <c r="J428" s="284"/>
      <c r="K428" s="284"/>
      <c r="L428" s="284"/>
      <c r="M428" s="284"/>
      <c r="N428" s="333"/>
      <c r="O428" s="284"/>
      <c r="P428" s="284"/>
      <c r="Q428" s="284"/>
      <c r="R428" s="284"/>
      <c r="S428" s="284"/>
      <c r="T428" s="284"/>
      <c r="U428" s="284"/>
      <c r="V428" s="284"/>
      <c r="W428" s="284"/>
      <c r="X428" s="284"/>
      <c r="Y428" s="284"/>
      <c r="Z428" s="284"/>
      <c r="AA428" s="284"/>
      <c r="AB428" s="284"/>
      <c r="AC428" s="284"/>
      <c r="AD428" s="284"/>
      <c r="AE428" s="284"/>
      <c r="AF428" s="284"/>
      <c r="AG428" s="284"/>
      <c r="AH428" s="284"/>
      <c r="AI428" s="284"/>
      <c r="AJ428" s="284"/>
      <c r="AK428" s="284"/>
    </row>
    <row r="429" spans="1:37" ht="12.75" customHeight="1" x14ac:dyDescent="0.45">
      <c r="A429" s="284"/>
      <c r="B429" s="331"/>
      <c r="C429" s="284"/>
      <c r="D429" s="284"/>
      <c r="E429" s="332"/>
      <c r="F429" s="284"/>
      <c r="G429" s="284"/>
      <c r="H429" s="284"/>
      <c r="I429" s="284"/>
      <c r="J429" s="284"/>
      <c r="K429" s="284"/>
      <c r="L429" s="284"/>
      <c r="M429" s="284"/>
      <c r="N429" s="333"/>
      <c r="O429" s="284"/>
      <c r="P429" s="284"/>
      <c r="Q429" s="284"/>
      <c r="R429" s="284"/>
      <c r="S429" s="284"/>
      <c r="T429" s="284"/>
      <c r="U429" s="284"/>
      <c r="V429" s="284"/>
      <c r="W429" s="284"/>
      <c r="X429" s="284"/>
      <c r="Y429" s="284"/>
      <c r="Z429" s="284"/>
      <c r="AA429" s="284"/>
      <c r="AB429" s="284"/>
      <c r="AC429" s="284"/>
      <c r="AD429" s="284"/>
      <c r="AE429" s="284"/>
      <c r="AF429" s="284"/>
      <c r="AG429" s="284"/>
      <c r="AH429" s="284"/>
      <c r="AI429" s="284"/>
      <c r="AJ429" s="284"/>
      <c r="AK429" s="284"/>
    </row>
    <row r="430" spans="1:37" ht="12.75" customHeight="1" x14ac:dyDescent="0.45">
      <c r="A430" s="284"/>
      <c r="B430" s="331"/>
      <c r="C430" s="284"/>
      <c r="D430" s="284"/>
      <c r="E430" s="332"/>
      <c r="F430" s="284"/>
      <c r="G430" s="284"/>
      <c r="H430" s="284"/>
      <c r="I430" s="284"/>
      <c r="J430" s="284"/>
      <c r="K430" s="284"/>
      <c r="L430" s="284"/>
      <c r="M430" s="284"/>
      <c r="N430" s="333"/>
      <c r="O430" s="284"/>
      <c r="P430" s="284"/>
      <c r="Q430" s="284"/>
      <c r="R430" s="284"/>
      <c r="S430" s="284"/>
      <c r="T430" s="284"/>
      <c r="U430" s="284"/>
      <c r="V430" s="284"/>
      <c r="W430" s="284"/>
      <c r="X430" s="284"/>
      <c r="Y430" s="284"/>
      <c r="Z430" s="284"/>
      <c r="AA430" s="284"/>
      <c r="AB430" s="284"/>
      <c r="AC430" s="284"/>
      <c r="AD430" s="284"/>
      <c r="AE430" s="284"/>
      <c r="AF430" s="284"/>
      <c r="AG430" s="284"/>
      <c r="AH430" s="284"/>
      <c r="AI430" s="284"/>
      <c r="AJ430" s="284"/>
      <c r="AK430" s="284"/>
    </row>
    <row r="431" spans="1:37" ht="12.75" customHeight="1" x14ac:dyDescent="0.45">
      <c r="A431" s="284"/>
      <c r="B431" s="331"/>
      <c r="C431" s="284"/>
      <c r="D431" s="284"/>
      <c r="E431" s="332"/>
      <c r="F431" s="284"/>
      <c r="G431" s="284"/>
      <c r="H431" s="284"/>
      <c r="I431" s="284"/>
      <c r="J431" s="284"/>
      <c r="K431" s="284"/>
      <c r="L431" s="284"/>
      <c r="M431" s="284"/>
      <c r="N431" s="333"/>
      <c r="O431" s="284"/>
      <c r="P431" s="284"/>
      <c r="Q431" s="284"/>
      <c r="R431" s="284"/>
      <c r="S431" s="284"/>
      <c r="T431" s="284"/>
      <c r="U431" s="284"/>
      <c r="V431" s="284"/>
      <c r="W431" s="284"/>
      <c r="X431" s="284"/>
      <c r="Y431" s="284"/>
      <c r="Z431" s="284"/>
      <c r="AA431" s="284"/>
      <c r="AB431" s="284"/>
      <c r="AC431" s="284"/>
      <c r="AD431" s="284"/>
      <c r="AE431" s="284"/>
      <c r="AF431" s="284"/>
      <c r="AG431" s="284"/>
      <c r="AH431" s="284"/>
      <c r="AI431" s="284"/>
      <c r="AJ431" s="284"/>
      <c r="AK431" s="284"/>
    </row>
    <row r="432" spans="1:37" ht="12.75" customHeight="1" x14ac:dyDescent="0.45">
      <c r="A432" s="284"/>
      <c r="B432" s="331"/>
      <c r="C432" s="284"/>
      <c r="D432" s="284"/>
      <c r="E432" s="332"/>
      <c r="F432" s="284"/>
      <c r="G432" s="284"/>
      <c r="H432" s="284"/>
      <c r="I432" s="284"/>
      <c r="J432" s="284"/>
      <c r="K432" s="284"/>
      <c r="L432" s="284"/>
      <c r="M432" s="284"/>
      <c r="N432" s="333"/>
      <c r="O432" s="284"/>
      <c r="P432" s="284"/>
      <c r="Q432" s="284"/>
      <c r="R432" s="284"/>
      <c r="S432" s="284"/>
      <c r="T432" s="284"/>
      <c r="U432" s="284"/>
      <c r="V432" s="284"/>
      <c r="W432" s="284"/>
      <c r="X432" s="284"/>
      <c r="Y432" s="284"/>
      <c r="Z432" s="284"/>
      <c r="AA432" s="284"/>
      <c r="AB432" s="284"/>
      <c r="AC432" s="284"/>
      <c r="AD432" s="284"/>
      <c r="AE432" s="284"/>
      <c r="AF432" s="284"/>
      <c r="AG432" s="284"/>
      <c r="AH432" s="284"/>
      <c r="AI432" s="284"/>
      <c r="AJ432" s="284"/>
      <c r="AK432" s="284"/>
    </row>
    <row r="433" spans="1:37" ht="12.75" customHeight="1" x14ac:dyDescent="0.45">
      <c r="A433" s="284"/>
      <c r="B433" s="331"/>
      <c r="C433" s="284"/>
      <c r="D433" s="284"/>
      <c r="E433" s="332"/>
      <c r="F433" s="284"/>
      <c r="G433" s="284"/>
      <c r="H433" s="284"/>
      <c r="I433" s="284"/>
      <c r="J433" s="284"/>
      <c r="K433" s="284"/>
      <c r="L433" s="284"/>
      <c r="M433" s="284"/>
      <c r="N433" s="333"/>
      <c r="O433" s="284"/>
      <c r="P433" s="284"/>
      <c r="Q433" s="284"/>
      <c r="R433" s="284"/>
      <c r="S433" s="284"/>
      <c r="T433" s="284"/>
      <c r="U433" s="284"/>
      <c r="V433" s="284"/>
      <c r="W433" s="284"/>
      <c r="X433" s="284"/>
      <c r="Y433" s="284"/>
      <c r="Z433" s="284"/>
      <c r="AA433" s="284"/>
      <c r="AB433" s="284"/>
      <c r="AC433" s="284"/>
      <c r="AD433" s="284"/>
      <c r="AE433" s="284"/>
      <c r="AF433" s="284"/>
      <c r="AG433" s="284"/>
      <c r="AH433" s="284"/>
      <c r="AI433" s="284"/>
      <c r="AJ433" s="284"/>
      <c r="AK433" s="284"/>
    </row>
    <row r="434" spans="1:37" ht="12.75" customHeight="1" x14ac:dyDescent="0.45">
      <c r="A434" s="284"/>
      <c r="B434" s="331"/>
      <c r="C434" s="284"/>
      <c r="D434" s="284"/>
      <c r="E434" s="332"/>
      <c r="F434" s="284"/>
      <c r="G434" s="284"/>
      <c r="H434" s="284"/>
      <c r="I434" s="284"/>
      <c r="J434" s="284"/>
      <c r="K434" s="284"/>
      <c r="L434" s="284"/>
      <c r="M434" s="284"/>
      <c r="N434" s="333"/>
      <c r="O434" s="284"/>
      <c r="P434" s="284"/>
      <c r="Q434" s="284"/>
      <c r="R434" s="284"/>
      <c r="S434" s="284"/>
      <c r="T434" s="284"/>
      <c r="U434" s="284"/>
      <c r="V434" s="284"/>
      <c r="W434" s="284"/>
      <c r="X434" s="284"/>
      <c r="Y434" s="284"/>
      <c r="Z434" s="284"/>
      <c r="AA434" s="284"/>
      <c r="AB434" s="284"/>
      <c r="AC434" s="284"/>
      <c r="AD434" s="284"/>
      <c r="AE434" s="284"/>
      <c r="AF434" s="284"/>
      <c r="AG434" s="284"/>
      <c r="AH434" s="284"/>
      <c r="AI434" s="284"/>
      <c r="AJ434" s="284"/>
      <c r="AK434" s="284"/>
    </row>
    <row r="435" spans="1:37" ht="12.75" customHeight="1" x14ac:dyDescent="0.45">
      <c r="A435" s="284"/>
      <c r="B435" s="331"/>
      <c r="C435" s="284"/>
      <c r="D435" s="284"/>
      <c r="E435" s="332"/>
      <c r="F435" s="284"/>
      <c r="G435" s="284"/>
      <c r="H435" s="284"/>
      <c r="I435" s="284"/>
      <c r="J435" s="284"/>
      <c r="K435" s="284"/>
      <c r="L435" s="284"/>
      <c r="M435" s="284"/>
      <c r="N435" s="333"/>
      <c r="O435" s="284"/>
      <c r="P435" s="284"/>
      <c r="Q435" s="284"/>
      <c r="R435" s="284"/>
      <c r="S435" s="284"/>
      <c r="T435" s="284"/>
      <c r="U435" s="284"/>
      <c r="V435" s="284"/>
      <c r="W435" s="284"/>
      <c r="X435" s="284"/>
      <c r="Y435" s="284"/>
      <c r="Z435" s="284"/>
      <c r="AA435" s="284"/>
      <c r="AB435" s="284"/>
      <c r="AC435" s="284"/>
      <c r="AD435" s="284"/>
      <c r="AE435" s="284"/>
      <c r="AF435" s="284"/>
      <c r="AG435" s="284"/>
      <c r="AH435" s="284"/>
      <c r="AI435" s="284"/>
      <c r="AJ435" s="284"/>
      <c r="AK435" s="284"/>
    </row>
    <row r="436" spans="1:37" ht="12.75" customHeight="1" x14ac:dyDescent="0.45">
      <c r="A436" s="284"/>
      <c r="B436" s="331"/>
      <c r="C436" s="284"/>
      <c r="D436" s="284"/>
      <c r="E436" s="332"/>
      <c r="F436" s="284"/>
      <c r="G436" s="284"/>
      <c r="H436" s="284"/>
      <c r="I436" s="284"/>
      <c r="J436" s="284"/>
      <c r="K436" s="284"/>
      <c r="L436" s="284"/>
      <c r="M436" s="284"/>
      <c r="N436" s="333"/>
      <c r="O436" s="284"/>
      <c r="P436" s="284"/>
      <c r="Q436" s="284"/>
      <c r="R436" s="284"/>
      <c r="S436" s="284"/>
      <c r="T436" s="284"/>
      <c r="U436" s="284"/>
      <c r="V436" s="284"/>
      <c r="W436" s="284"/>
      <c r="X436" s="284"/>
      <c r="Y436" s="284"/>
      <c r="Z436" s="284"/>
      <c r="AA436" s="284"/>
      <c r="AB436" s="284"/>
      <c r="AC436" s="284"/>
      <c r="AD436" s="284"/>
      <c r="AE436" s="284"/>
      <c r="AF436" s="284"/>
      <c r="AG436" s="284"/>
      <c r="AH436" s="284"/>
      <c r="AI436" s="284"/>
      <c r="AJ436" s="284"/>
      <c r="AK436" s="284"/>
    </row>
    <row r="437" spans="1:37" ht="12.75" customHeight="1" x14ac:dyDescent="0.45">
      <c r="A437" s="284"/>
      <c r="B437" s="331"/>
      <c r="C437" s="284"/>
      <c r="D437" s="284"/>
      <c r="E437" s="332"/>
      <c r="F437" s="284"/>
      <c r="G437" s="284"/>
      <c r="H437" s="284"/>
      <c r="I437" s="284"/>
      <c r="J437" s="284"/>
      <c r="K437" s="284"/>
      <c r="L437" s="284"/>
      <c r="M437" s="284"/>
      <c r="N437" s="333"/>
      <c r="O437" s="284"/>
      <c r="P437" s="284"/>
      <c r="Q437" s="284"/>
      <c r="R437" s="284"/>
      <c r="S437" s="284"/>
      <c r="T437" s="284"/>
      <c r="U437" s="284"/>
      <c r="V437" s="284"/>
      <c r="W437" s="284"/>
      <c r="X437" s="284"/>
      <c r="Y437" s="284"/>
      <c r="Z437" s="284"/>
      <c r="AA437" s="284"/>
      <c r="AB437" s="284"/>
      <c r="AC437" s="284"/>
      <c r="AD437" s="284"/>
      <c r="AE437" s="284"/>
      <c r="AF437" s="284"/>
      <c r="AG437" s="284"/>
      <c r="AH437" s="284"/>
      <c r="AI437" s="284"/>
      <c r="AJ437" s="284"/>
      <c r="AK437" s="284"/>
    </row>
    <row r="438" spans="1:37" ht="12.75" customHeight="1" x14ac:dyDescent="0.45">
      <c r="A438" s="284"/>
      <c r="B438" s="331"/>
      <c r="C438" s="284"/>
      <c r="D438" s="284"/>
      <c r="E438" s="332"/>
      <c r="F438" s="284"/>
      <c r="G438" s="284"/>
      <c r="H438" s="284"/>
      <c r="I438" s="284"/>
      <c r="J438" s="284"/>
      <c r="K438" s="284"/>
      <c r="L438" s="284"/>
      <c r="M438" s="284"/>
      <c r="N438" s="333"/>
      <c r="O438" s="284"/>
      <c r="P438" s="284"/>
      <c r="Q438" s="284"/>
      <c r="R438" s="284"/>
      <c r="S438" s="284"/>
      <c r="T438" s="284"/>
      <c r="U438" s="284"/>
      <c r="V438" s="284"/>
      <c r="W438" s="284"/>
      <c r="X438" s="284"/>
      <c r="Y438" s="284"/>
      <c r="Z438" s="284"/>
      <c r="AA438" s="284"/>
      <c r="AB438" s="284"/>
      <c r="AC438" s="284"/>
      <c r="AD438" s="284"/>
      <c r="AE438" s="284"/>
      <c r="AF438" s="284"/>
      <c r="AG438" s="284"/>
      <c r="AH438" s="284"/>
      <c r="AI438" s="284"/>
      <c r="AJ438" s="284"/>
      <c r="AK438" s="284"/>
    </row>
    <row r="439" spans="1:37" ht="12.75" customHeight="1" x14ac:dyDescent="0.45">
      <c r="A439" s="284"/>
      <c r="B439" s="331"/>
      <c r="C439" s="284"/>
      <c r="D439" s="284"/>
      <c r="E439" s="332"/>
      <c r="F439" s="284"/>
      <c r="G439" s="284"/>
      <c r="H439" s="284"/>
      <c r="I439" s="284"/>
      <c r="J439" s="284"/>
      <c r="K439" s="284"/>
      <c r="L439" s="284"/>
      <c r="M439" s="284"/>
      <c r="N439" s="333"/>
      <c r="O439" s="284"/>
      <c r="P439" s="284"/>
      <c r="Q439" s="284"/>
      <c r="R439" s="284"/>
      <c r="S439" s="284"/>
      <c r="T439" s="284"/>
      <c r="U439" s="284"/>
      <c r="V439" s="284"/>
      <c r="W439" s="284"/>
      <c r="X439" s="284"/>
      <c r="Y439" s="284"/>
      <c r="Z439" s="284"/>
      <c r="AA439" s="284"/>
      <c r="AB439" s="284"/>
      <c r="AC439" s="284"/>
      <c r="AD439" s="284"/>
      <c r="AE439" s="284"/>
      <c r="AF439" s="284"/>
      <c r="AG439" s="284"/>
      <c r="AH439" s="284"/>
      <c r="AI439" s="284"/>
      <c r="AJ439" s="284"/>
      <c r="AK439" s="284"/>
    </row>
    <row r="440" spans="1:37" ht="12.75" customHeight="1" x14ac:dyDescent="0.45">
      <c r="A440" s="284"/>
      <c r="B440" s="331"/>
      <c r="C440" s="284"/>
      <c r="D440" s="284"/>
      <c r="E440" s="332"/>
      <c r="F440" s="284"/>
      <c r="G440" s="284"/>
      <c r="H440" s="284"/>
      <c r="I440" s="284"/>
      <c r="J440" s="284"/>
      <c r="K440" s="284"/>
      <c r="L440" s="284"/>
      <c r="M440" s="284"/>
      <c r="N440" s="333"/>
      <c r="O440" s="284"/>
      <c r="P440" s="284"/>
      <c r="Q440" s="284"/>
      <c r="R440" s="284"/>
      <c r="S440" s="284"/>
      <c r="T440" s="284"/>
      <c r="U440" s="284"/>
      <c r="V440" s="284"/>
      <c r="W440" s="284"/>
      <c r="X440" s="284"/>
      <c r="Y440" s="284"/>
      <c r="Z440" s="284"/>
      <c r="AA440" s="284"/>
      <c r="AB440" s="284"/>
      <c r="AC440" s="284"/>
      <c r="AD440" s="284"/>
      <c r="AE440" s="284"/>
      <c r="AF440" s="284"/>
      <c r="AG440" s="284"/>
      <c r="AH440" s="284"/>
      <c r="AI440" s="284"/>
      <c r="AJ440" s="284"/>
      <c r="AK440" s="284"/>
    </row>
    <row r="441" spans="1:37" ht="12.75" customHeight="1" x14ac:dyDescent="0.45">
      <c r="A441" s="284"/>
      <c r="B441" s="331"/>
      <c r="C441" s="284"/>
      <c r="D441" s="284"/>
      <c r="E441" s="332"/>
      <c r="F441" s="284"/>
      <c r="G441" s="284"/>
      <c r="H441" s="284"/>
      <c r="I441" s="284"/>
      <c r="J441" s="284"/>
      <c r="K441" s="284"/>
      <c r="L441" s="284"/>
      <c r="M441" s="284"/>
      <c r="N441" s="333"/>
      <c r="O441" s="284"/>
      <c r="P441" s="284"/>
      <c r="Q441" s="284"/>
      <c r="R441" s="284"/>
      <c r="S441" s="284"/>
      <c r="T441" s="284"/>
      <c r="U441" s="284"/>
      <c r="V441" s="284"/>
      <c r="W441" s="284"/>
      <c r="X441" s="284"/>
      <c r="Y441" s="284"/>
      <c r="Z441" s="284"/>
      <c r="AA441" s="284"/>
      <c r="AB441" s="284"/>
      <c r="AC441" s="284"/>
      <c r="AD441" s="284"/>
      <c r="AE441" s="284"/>
      <c r="AF441" s="284"/>
      <c r="AG441" s="284"/>
      <c r="AH441" s="284"/>
      <c r="AI441" s="284"/>
      <c r="AJ441" s="284"/>
      <c r="AK441" s="284"/>
    </row>
    <row r="442" spans="1:37" ht="12.75" customHeight="1" x14ac:dyDescent="0.45">
      <c r="A442" s="284"/>
      <c r="B442" s="331"/>
      <c r="C442" s="284"/>
      <c r="D442" s="284"/>
      <c r="E442" s="332"/>
      <c r="F442" s="284"/>
      <c r="G442" s="284"/>
      <c r="H442" s="284"/>
      <c r="I442" s="284"/>
      <c r="J442" s="284"/>
      <c r="K442" s="284"/>
      <c r="L442" s="284"/>
      <c r="M442" s="284"/>
      <c r="N442" s="333"/>
      <c r="O442" s="284"/>
      <c r="P442" s="284"/>
      <c r="Q442" s="284"/>
      <c r="R442" s="284"/>
      <c r="S442" s="284"/>
      <c r="T442" s="284"/>
      <c r="U442" s="284"/>
      <c r="V442" s="284"/>
      <c r="W442" s="284"/>
      <c r="X442" s="284"/>
      <c r="Y442" s="284"/>
      <c r="Z442" s="284"/>
      <c r="AA442" s="284"/>
      <c r="AB442" s="284"/>
      <c r="AC442" s="284"/>
      <c r="AD442" s="284"/>
      <c r="AE442" s="284"/>
      <c r="AF442" s="284"/>
      <c r="AG442" s="284"/>
      <c r="AH442" s="284"/>
      <c r="AI442" s="284"/>
      <c r="AJ442" s="284"/>
      <c r="AK442" s="284"/>
    </row>
    <row r="443" spans="1:37" ht="12.75" customHeight="1" x14ac:dyDescent="0.45">
      <c r="A443" s="284"/>
      <c r="B443" s="331"/>
      <c r="C443" s="284"/>
      <c r="D443" s="284"/>
      <c r="E443" s="332"/>
      <c r="F443" s="284"/>
      <c r="G443" s="284"/>
      <c r="H443" s="284"/>
      <c r="I443" s="284"/>
      <c r="J443" s="284"/>
      <c r="K443" s="284"/>
      <c r="L443" s="284"/>
      <c r="M443" s="284"/>
      <c r="N443" s="333"/>
      <c r="O443" s="284"/>
      <c r="P443" s="284"/>
      <c r="Q443" s="284"/>
      <c r="R443" s="284"/>
      <c r="S443" s="284"/>
      <c r="T443" s="284"/>
      <c r="U443" s="284"/>
      <c r="V443" s="284"/>
      <c r="W443" s="284"/>
      <c r="X443" s="284"/>
      <c r="Y443" s="284"/>
      <c r="Z443" s="284"/>
      <c r="AA443" s="284"/>
      <c r="AB443" s="284"/>
      <c r="AC443" s="284"/>
      <c r="AD443" s="284"/>
      <c r="AE443" s="284"/>
      <c r="AF443" s="284"/>
      <c r="AG443" s="284"/>
      <c r="AH443" s="284"/>
      <c r="AI443" s="284"/>
      <c r="AJ443" s="284"/>
      <c r="AK443" s="284"/>
    </row>
    <row r="444" spans="1:37" ht="12.75" customHeight="1" x14ac:dyDescent="0.45">
      <c r="A444" s="284"/>
      <c r="B444" s="331"/>
      <c r="C444" s="284"/>
      <c r="D444" s="284"/>
      <c r="E444" s="332"/>
      <c r="F444" s="284"/>
      <c r="G444" s="284"/>
      <c r="H444" s="284"/>
      <c r="I444" s="284"/>
      <c r="J444" s="284"/>
      <c r="K444" s="284"/>
      <c r="L444" s="284"/>
      <c r="M444" s="284"/>
      <c r="N444" s="333"/>
      <c r="O444" s="284"/>
      <c r="P444" s="284"/>
      <c r="Q444" s="284"/>
      <c r="R444" s="284"/>
      <c r="S444" s="284"/>
      <c r="T444" s="284"/>
      <c r="U444" s="284"/>
      <c r="V444" s="284"/>
      <c r="W444" s="284"/>
      <c r="X444" s="284"/>
      <c r="Y444" s="284"/>
      <c r="Z444" s="284"/>
      <c r="AA444" s="284"/>
      <c r="AB444" s="284"/>
      <c r="AC444" s="284"/>
      <c r="AD444" s="284"/>
      <c r="AE444" s="284"/>
      <c r="AF444" s="284"/>
      <c r="AG444" s="284"/>
      <c r="AH444" s="284"/>
      <c r="AI444" s="284"/>
      <c r="AJ444" s="284"/>
      <c r="AK444" s="284"/>
    </row>
    <row r="445" spans="1:37" ht="12.75" customHeight="1" x14ac:dyDescent="0.45">
      <c r="A445" s="284"/>
      <c r="B445" s="331"/>
      <c r="C445" s="284"/>
      <c r="D445" s="284"/>
      <c r="E445" s="332"/>
      <c r="F445" s="284"/>
      <c r="G445" s="284"/>
      <c r="H445" s="284"/>
      <c r="I445" s="284"/>
      <c r="J445" s="284"/>
      <c r="K445" s="284"/>
      <c r="L445" s="284"/>
      <c r="M445" s="284"/>
      <c r="N445" s="333"/>
      <c r="O445" s="284"/>
      <c r="P445" s="284"/>
      <c r="Q445" s="284"/>
      <c r="R445" s="284"/>
      <c r="S445" s="284"/>
      <c r="T445" s="284"/>
      <c r="U445" s="284"/>
      <c r="V445" s="284"/>
      <c r="W445" s="284"/>
      <c r="X445" s="284"/>
      <c r="Y445" s="284"/>
      <c r="Z445" s="284"/>
      <c r="AA445" s="284"/>
      <c r="AB445" s="284"/>
      <c r="AC445" s="284"/>
      <c r="AD445" s="284"/>
      <c r="AE445" s="284"/>
      <c r="AF445" s="284"/>
      <c r="AG445" s="284"/>
      <c r="AH445" s="284"/>
      <c r="AI445" s="284"/>
      <c r="AJ445" s="284"/>
      <c r="AK445" s="284"/>
    </row>
    <row r="446" spans="1:37" ht="12.75" customHeight="1" x14ac:dyDescent="0.45">
      <c r="A446" s="284"/>
      <c r="B446" s="331"/>
      <c r="C446" s="284"/>
      <c r="D446" s="284"/>
      <c r="E446" s="332"/>
      <c r="F446" s="284"/>
      <c r="G446" s="284"/>
      <c r="H446" s="284"/>
      <c r="I446" s="284"/>
      <c r="J446" s="284"/>
      <c r="K446" s="284"/>
      <c r="L446" s="284"/>
      <c r="M446" s="284"/>
      <c r="N446" s="333"/>
      <c r="O446" s="284"/>
      <c r="P446" s="284"/>
      <c r="Q446" s="284"/>
      <c r="R446" s="284"/>
      <c r="S446" s="284"/>
      <c r="T446" s="284"/>
      <c r="U446" s="284"/>
      <c r="V446" s="284"/>
      <c r="W446" s="284"/>
      <c r="X446" s="284"/>
      <c r="Y446" s="284"/>
      <c r="Z446" s="284"/>
      <c r="AA446" s="284"/>
      <c r="AB446" s="284"/>
      <c r="AC446" s="284"/>
      <c r="AD446" s="284"/>
      <c r="AE446" s="284"/>
      <c r="AF446" s="284"/>
      <c r="AG446" s="284"/>
      <c r="AH446" s="284"/>
      <c r="AI446" s="284"/>
      <c r="AJ446" s="284"/>
      <c r="AK446" s="284"/>
    </row>
    <row r="447" spans="1:37" ht="12.75" customHeight="1" x14ac:dyDescent="0.45">
      <c r="A447" s="284"/>
      <c r="B447" s="331"/>
      <c r="C447" s="284"/>
      <c r="D447" s="284"/>
      <c r="E447" s="332"/>
      <c r="F447" s="284"/>
      <c r="G447" s="284"/>
      <c r="H447" s="284"/>
      <c r="I447" s="284"/>
      <c r="J447" s="284"/>
      <c r="K447" s="284"/>
      <c r="L447" s="284"/>
      <c r="M447" s="284"/>
      <c r="N447" s="333"/>
      <c r="O447" s="284"/>
      <c r="P447" s="284"/>
      <c r="Q447" s="284"/>
      <c r="R447" s="284"/>
      <c r="S447" s="284"/>
      <c r="T447" s="284"/>
      <c r="U447" s="284"/>
      <c r="V447" s="284"/>
      <c r="W447" s="284"/>
      <c r="X447" s="284"/>
      <c r="Y447" s="284"/>
      <c r="Z447" s="284"/>
      <c r="AA447" s="284"/>
      <c r="AB447" s="284"/>
      <c r="AC447" s="284"/>
      <c r="AD447" s="284"/>
      <c r="AE447" s="284"/>
      <c r="AF447" s="284"/>
      <c r="AG447" s="284"/>
      <c r="AH447" s="284"/>
      <c r="AI447" s="284"/>
      <c r="AJ447" s="284"/>
      <c r="AK447" s="284"/>
    </row>
    <row r="448" spans="1:37" ht="12.75" customHeight="1" x14ac:dyDescent="0.45">
      <c r="A448" s="284"/>
      <c r="B448" s="331"/>
      <c r="C448" s="284"/>
      <c r="D448" s="284"/>
      <c r="E448" s="332"/>
      <c r="F448" s="284"/>
      <c r="G448" s="284"/>
      <c r="H448" s="284"/>
      <c r="I448" s="284"/>
      <c r="J448" s="284"/>
      <c r="K448" s="284"/>
      <c r="L448" s="284"/>
      <c r="M448" s="284"/>
      <c r="N448" s="333"/>
      <c r="O448" s="284"/>
      <c r="P448" s="284"/>
      <c r="Q448" s="284"/>
      <c r="R448" s="284"/>
      <c r="S448" s="284"/>
      <c r="T448" s="284"/>
      <c r="U448" s="284"/>
      <c r="V448" s="284"/>
      <c r="W448" s="284"/>
      <c r="X448" s="284"/>
      <c r="Y448" s="284"/>
      <c r="Z448" s="284"/>
      <c r="AA448" s="284"/>
      <c r="AB448" s="284"/>
      <c r="AC448" s="284"/>
      <c r="AD448" s="284"/>
      <c r="AE448" s="284"/>
      <c r="AF448" s="284"/>
      <c r="AG448" s="284"/>
      <c r="AH448" s="284"/>
      <c r="AI448" s="284"/>
      <c r="AJ448" s="284"/>
      <c r="AK448" s="284"/>
    </row>
    <row r="449" spans="1:37" ht="12.75" customHeight="1" x14ac:dyDescent="0.45">
      <c r="A449" s="284"/>
      <c r="B449" s="331"/>
      <c r="C449" s="284"/>
      <c r="D449" s="284"/>
      <c r="E449" s="332"/>
      <c r="F449" s="284"/>
      <c r="G449" s="284"/>
      <c r="H449" s="284"/>
      <c r="I449" s="284"/>
      <c r="J449" s="284"/>
      <c r="K449" s="284"/>
      <c r="L449" s="284"/>
      <c r="M449" s="284"/>
      <c r="N449" s="333"/>
      <c r="O449" s="284"/>
      <c r="P449" s="284"/>
      <c r="Q449" s="284"/>
      <c r="R449" s="284"/>
      <c r="S449" s="284"/>
      <c r="T449" s="284"/>
      <c r="U449" s="284"/>
      <c r="V449" s="284"/>
      <c r="W449" s="284"/>
      <c r="X449" s="284"/>
      <c r="Y449" s="284"/>
      <c r="Z449" s="284"/>
      <c r="AA449" s="284"/>
      <c r="AB449" s="284"/>
      <c r="AC449" s="284"/>
      <c r="AD449" s="284"/>
      <c r="AE449" s="284"/>
      <c r="AF449" s="284"/>
      <c r="AG449" s="284"/>
      <c r="AH449" s="284"/>
      <c r="AI449" s="284"/>
      <c r="AJ449" s="284"/>
      <c r="AK449" s="284"/>
    </row>
    <row r="450" spans="1:37" ht="12.75" customHeight="1" x14ac:dyDescent="0.45">
      <c r="A450" s="284"/>
      <c r="B450" s="331"/>
      <c r="C450" s="284"/>
      <c r="D450" s="284"/>
      <c r="E450" s="332"/>
      <c r="F450" s="284"/>
      <c r="G450" s="284"/>
      <c r="H450" s="284"/>
      <c r="I450" s="284"/>
      <c r="J450" s="284"/>
      <c r="K450" s="284"/>
      <c r="L450" s="284"/>
      <c r="M450" s="284"/>
      <c r="N450" s="333"/>
      <c r="O450" s="284"/>
      <c r="P450" s="284"/>
      <c r="Q450" s="284"/>
      <c r="R450" s="284"/>
      <c r="S450" s="284"/>
      <c r="T450" s="284"/>
      <c r="U450" s="284"/>
      <c r="V450" s="284"/>
      <c r="W450" s="284"/>
      <c r="X450" s="284"/>
      <c r="Y450" s="284"/>
      <c r="Z450" s="284"/>
      <c r="AA450" s="284"/>
      <c r="AB450" s="284"/>
      <c r="AC450" s="284"/>
      <c r="AD450" s="284"/>
      <c r="AE450" s="284"/>
      <c r="AF450" s="284"/>
      <c r="AG450" s="284"/>
      <c r="AH450" s="284"/>
      <c r="AI450" s="284"/>
      <c r="AJ450" s="284"/>
      <c r="AK450" s="284"/>
    </row>
    <row r="451" spans="1:37" ht="12.75" customHeight="1" x14ac:dyDescent="0.45">
      <c r="A451" s="284"/>
      <c r="B451" s="331"/>
      <c r="C451" s="284"/>
      <c r="D451" s="284"/>
      <c r="E451" s="332"/>
      <c r="F451" s="284"/>
      <c r="G451" s="284"/>
      <c r="H451" s="284"/>
      <c r="I451" s="284"/>
      <c r="J451" s="284"/>
      <c r="K451" s="284"/>
      <c r="L451" s="284"/>
      <c r="M451" s="284"/>
      <c r="N451" s="333"/>
      <c r="O451" s="284"/>
      <c r="P451" s="284"/>
      <c r="Q451" s="284"/>
      <c r="R451" s="284"/>
      <c r="S451" s="284"/>
      <c r="T451" s="284"/>
      <c r="U451" s="284"/>
      <c r="V451" s="284"/>
      <c r="W451" s="284"/>
      <c r="X451" s="284"/>
      <c r="Y451" s="284"/>
      <c r="Z451" s="284"/>
      <c r="AA451" s="284"/>
      <c r="AB451" s="284"/>
      <c r="AC451" s="284"/>
      <c r="AD451" s="284"/>
      <c r="AE451" s="284"/>
      <c r="AF451" s="284"/>
      <c r="AG451" s="284"/>
      <c r="AH451" s="284"/>
      <c r="AI451" s="284"/>
      <c r="AJ451" s="284"/>
      <c r="AK451" s="284"/>
    </row>
    <row r="452" spans="1:37" ht="12.75" customHeight="1" x14ac:dyDescent="0.45">
      <c r="A452" s="284"/>
      <c r="B452" s="331"/>
      <c r="C452" s="284"/>
      <c r="D452" s="284"/>
      <c r="E452" s="332"/>
      <c r="F452" s="284"/>
      <c r="G452" s="284"/>
      <c r="H452" s="284"/>
      <c r="I452" s="284"/>
      <c r="J452" s="284"/>
      <c r="K452" s="284"/>
      <c r="L452" s="284"/>
      <c r="M452" s="284"/>
      <c r="N452" s="333"/>
      <c r="O452" s="284"/>
      <c r="P452" s="284"/>
      <c r="Q452" s="284"/>
      <c r="R452" s="284"/>
      <c r="S452" s="284"/>
      <c r="T452" s="284"/>
      <c r="U452" s="284"/>
      <c r="V452" s="284"/>
      <c r="W452" s="284"/>
      <c r="X452" s="284"/>
      <c r="Y452" s="284"/>
      <c r="Z452" s="284"/>
      <c r="AA452" s="284"/>
      <c r="AB452" s="284"/>
      <c r="AC452" s="284"/>
      <c r="AD452" s="284"/>
      <c r="AE452" s="284"/>
      <c r="AF452" s="284"/>
      <c r="AG452" s="284"/>
      <c r="AH452" s="284"/>
      <c r="AI452" s="284"/>
      <c r="AJ452" s="284"/>
      <c r="AK452" s="284"/>
    </row>
    <row r="453" spans="1:37" ht="12.75" customHeight="1" x14ac:dyDescent="0.45">
      <c r="A453" s="284"/>
      <c r="B453" s="331"/>
      <c r="C453" s="284"/>
      <c r="D453" s="284"/>
      <c r="E453" s="332"/>
      <c r="F453" s="284"/>
      <c r="G453" s="284"/>
      <c r="H453" s="284"/>
      <c r="I453" s="284"/>
      <c r="J453" s="284"/>
      <c r="K453" s="284"/>
      <c r="L453" s="284"/>
      <c r="M453" s="284"/>
      <c r="N453" s="333"/>
      <c r="O453" s="284"/>
      <c r="P453" s="284"/>
      <c r="Q453" s="284"/>
      <c r="R453" s="284"/>
      <c r="S453" s="284"/>
      <c r="T453" s="284"/>
      <c r="U453" s="284"/>
      <c r="V453" s="284"/>
      <c r="W453" s="284"/>
      <c r="X453" s="284"/>
      <c r="Y453" s="284"/>
      <c r="Z453" s="284"/>
      <c r="AA453" s="284"/>
      <c r="AB453" s="284"/>
      <c r="AC453" s="284"/>
      <c r="AD453" s="284"/>
      <c r="AE453" s="284"/>
      <c r="AF453" s="284"/>
      <c r="AG453" s="284"/>
      <c r="AH453" s="284"/>
      <c r="AI453" s="284"/>
      <c r="AJ453" s="284"/>
      <c r="AK453" s="284"/>
    </row>
    <row r="454" spans="1:37" ht="12.75" customHeight="1" x14ac:dyDescent="0.45">
      <c r="A454" s="284"/>
      <c r="B454" s="331"/>
      <c r="C454" s="284"/>
      <c r="D454" s="284"/>
      <c r="E454" s="332"/>
      <c r="F454" s="284"/>
      <c r="G454" s="284"/>
      <c r="H454" s="284"/>
      <c r="I454" s="284"/>
      <c r="J454" s="284"/>
      <c r="K454" s="284"/>
      <c r="L454" s="284"/>
      <c r="M454" s="284"/>
      <c r="N454" s="333"/>
      <c r="O454" s="284"/>
      <c r="P454" s="284"/>
      <c r="Q454" s="284"/>
      <c r="R454" s="284"/>
      <c r="S454" s="284"/>
      <c r="T454" s="284"/>
      <c r="U454" s="284"/>
      <c r="V454" s="284"/>
      <c r="W454" s="284"/>
      <c r="X454" s="284"/>
      <c r="Y454" s="284"/>
      <c r="Z454" s="284"/>
      <c r="AA454" s="284"/>
      <c r="AB454" s="284"/>
      <c r="AC454" s="284"/>
      <c r="AD454" s="284"/>
      <c r="AE454" s="284"/>
      <c r="AF454" s="284"/>
      <c r="AG454" s="284"/>
      <c r="AH454" s="284"/>
      <c r="AI454" s="284"/>
      <c r="AJ454" s="284"/>
      <c r="AK454" s="284"/>
    </row>
    <row r="455" spans="1:37" ht="12.75" customHeight="1" x14ac:dyDescent="0.45">
      <c r="A455" s="284"/>
      <c r="B455" s="331"/>
      <c r="C455" s="284"/>
      <c r="D455" s="284"/>
      <c r="E455" s="332"/>
      <c r="F455" s="284"/>
      <c r="G455" s="284"/>
      <c r="H455" s="284"/>
      <c r="I455" s="284"/>
      <c r="J455" s="284"/>
      <c r="K455" s="284"/>
      <c r="L455" s="284"/>
      <c r="M455" s="284"/>
      <c r="N455" s="333"/>
      <c r="O455" s="284"/>
      <c r="P455" s="284"/>
      <c r="Q455" s="284"/>
      <c r="R455" s="284"/>
      <c r="S455" s="284"/>
      <c r="T455" s="284"/>
      <c r="U455" s="284"/>
      <c r="V455" s="284"/>
      <c r="W455" s="284"/>
      <c r="X455" s="284"/>
      <c r="Y455" s="284"/>
      <c r="Z455" s="284"/>
      <c r="AA455" s="284"/>
      <c r="AB455" s="284"/>
      <c r="AC455" s="284"/>
      <c r="AD455" s="284"/>
      <c r="AE455" s="284"/>
      <c r="AF455" s="284"/>
      <c r="AG455" s="284"/>
      <c r="AH455" s="284"/>
      <c r="AI455" s="284"/>
      <c r="AJ455" s="284"/>
      <c r="AK455" s="284"/>
    </row>
    <row r="456" spans="1:37" ht="12.75" customHeight="1" x14ac:dyDescent="0.45">
      <c r="A456" s="284"/>
      <c r="B456" s="331"/>
      <c r="C456" s="284"/>
      <c r="D456" s="284"/>
      <c r="E456" s="332"/>
      <c r="F456" s="284"/>
      <c r="G456" s="284"/>
      <c r="H456" s="284"/>
      <c r="I456" s="284"/>
      <c r="J456" s="284"/>
      <c r="K456" s="284"/>
      <c r="L456" s="284"/>
      <c r="M456" s="284"/>
      <c r="N456" s="333"/>
      <c r="O456" s="284"/>
      <c r="P456" s="284"/>
      <c r="Q456" s="284"/>
      <c r="R456" s="284"/>
      <c r="S456" s="284"/>
      <c r="T456" s="284"/>
      <c r="U456" s="284"/>
      <c r="V456" s="284"/>
      <c r="W456" s="284"/>
      <c r="X456" s="284"/>
      <c r="Y456" s="284"/>
      <c r="Z456" s="284"/>
      <c r="AA456" s="284"/>
      <c r="AB456" s="284"/>
      <c r="AC456" s="284"/>
      <c r="AD456" s="284"/>
      <c r="AE456" s="284"/>
      <c r="AF456" s="284"/>
      <c r="AG456" s="284"/>
      <c r="AH456" s="284"/>
      <c r="AI456" s="284"/>
      <c r="AJ456" s="284"/>
      <c r="AK456" s="284"/>
    </row>
    <row r="457" spans="1:37" ht="12.75" customHeight="1" x14ac:dyDescent="0.45">
      <c r="A457" s="284"/>
      <c r="B457" s="331"/>
      <c r="C457" s="284"/>
      <c r="D457" s="284"/>
      <c r="E457" s="332"/>
      <c r="F457" s="284"/>
      <c r="G457" s="284"/>
      <c r="H457" s="284"/>
      <c r="I457" s="284"/>
      <c r="J457" s="284"/>
      <c r="K457" s="284"/>
      <c r="L457" s="284"/>
      <c r="M457" s="284"/>
      <c r="N457" s="333"/>
      <c r="O457" s="284"/>
      <c r="P457" s="284"/>
      <c r="Q457" s="284"/>
      <c r="R457" s="284"/>
      <c r="S457" s="284"/>
      <c r="T457" s="284"/>
      <c r="U457" s="284"/>
      <c r="V457" s="284"/>
      <c r="W457" s="284"/>
      <c r="X457" s="284"/>
      <c r="Y457" s="284"/>
      <c r="Z457" s="284"/>
      <c r="AA457" s="284"/>
      <c r="AB457" s="284"/>
      <c r="AC457" s="284"/>
      <c r="AD457" s="284"/>
      <c r="AE457" s="284"/>
      <c r="AF457" s="284"/>
      <c r="AG457" s="284"/>
      <c r="AH457" s="284"/>
      <c r="AI457" s="284"/>
      <c r="AJ457" s="284"/>
      <c r="AK457" s="284"/>
    </row>
    <row r="458" spans="1:37" ht="12.75" customHeight="1" x14ac:dyDescent="0.45">
      <c r="A458" s="284"/>
      <c r="B458" s="331"/>
      <c r="C458" s="284"/>
      <c r="D458" s="284"/>
      <c r="E458" s="332"/>
      <c r="F458" s="284"/>
      <c r="G458" s="284"/>
      <c r="H458" s="284"/>
      <c r="I458" s="284"/>
      <c r="J458" s="284"/>
      <c r="K458" s="284"/>
      <c r="L458" s="284"/>
      <c r="M458" s="284"/>
      <c r="N458" s="333"/>
      <c r="O458" s="284"/>
      <c r="P458" s="284"/>
      <c r="Q458" s="284"/>
      <c r="R458" s="284"/>
      <c r="S458" s="284"/>
      <c r="T458" s="284"/>
      <c r="U458" s="284"/>
      <c r="V458" s="284"/>
      <c r="W458" s="284"/>
      <c r="X458" s="284"/>
      <c r="Y458" s="284"/>
      <c r="Z458" s="284"/>
      <c r="AA458" s="284"/>
      <c r="AB458" s="284"/>
      <c r="AC458" s="284"/>
      <c r="AD458" s="284"/>
      <c r="AE458" s="284"/>
      <c r="AF458" s="284"/>
      <c r="AG458" s="284"/>
      <c r="AH458" s="284"/>
      <c r="AI458" s="284"/>
      <c r="AJ458" s="284"/>
      <c r="AK458" s="284"/>
    </row>
    <row r="459" spans="1:37" ht="12.75" customHeight="1" x14ac:dyDescent="0.45">
      <c r="A459" s="284"/>
      <c r="B459" s="331"/>
      <c r="C459" s="284"/>
      <c r="D459" s="284"/>
      <c r="E459" s="332"/>
      <c r="F459" s="284"/>
      <c r="G459" s="284"/>
      <c r="H459" s="284"/>
      <c r="I459" s="284"/>
      <c r="J459" s="284"/>
      <c r="K459" s="284"/>
      <c r="L459" s="284"/>
      <c r="M459" s="284"/>
      <c r="N459" s="333"/>
      <c r="O459" s="284"/>
      <c r="P459" s="284"/>
      <c r="Q459" s="284"/>
      <c r="R459" s="284"/>
      <c r="S459" s="284"/>
      <c r="T459" s="284"/>
      <c r="U459" s="284"/>
      <c r="V459" s="284"/>
      <c r="W459" s="284"/>
      <c r="X459" s="284"/>
      <c r="Y459" s="284"/>
      <c r="Z459" s="284"/>
      <c r="AA459" s="284"/>
      <c r="AB459" s="284"/>
      <c r="AC459" s="284"/>
      <c r="AD459" s="284"/>
      <c r="AE459" s="284"/>
      <c r="AF459" s="284"/>
      <c r="AG459" s="284"/>
      <c r="AH459" s="284"/>
      <c r="AI459" s="284"/>
      <c r="AJ459" s="284"/>
      <c r="AK459" s="284"/>
    </row>
    <row r="460" spans="1:37" ht="12.75" customHeight="1" x14ac:dyDescent="0.45">
      <c r="A460" s="284"/>
      <c r="B460" s="331"/>
      <c r="C460" s="284"/>
      <c r="D460" s="284"/>
      <c r="E460" s="332"/>
      <c r="F460" s="284"/>
      <c r="G460" s="284"/>
      <c r="H460" s="284"/>
      <c r="I460" s="284"/>
      <c r="J460" s="284"/>
      <c r="K460" s="284"/>
      <c r="L460" s="284"/>
      <c r="M460" s="284"/>
      <c r="N460" s="333"/>
      <c r="O460" s="284"/>
      <c r="P460" s="284"/>
      <c r="Q460" s="284"/>
      <c r="R460" s="284"/>
      <c r="S460" s="284"/>
      <c r="T460" s="284"/>
      <c r="U460" s="284"/>
      <c r="V460" s="284"/>
      <c r="W460" s="284"/>
      <c r="X460" s="284"/>
      <c r="Y460" s="284"/>
      <c r="Z460" s="284"/>
      <c r="AA460" s="284"/>
      <c r="AB460" s="284"/>
      <c r="AC460" s="284"/>
      <c r="AD460" s="284"/>
      <c r="AE460" s="284"/>
      <c r="AF460" s="284"/>
      <c r="AG460" s="284"/>
      <c r="AH460" s="284"/>
      <c r="AI460" s="284"/>
      <c r="AJ460" s="284"/>
      <c r="AK460" s="284"/>
    </row>
    <row r="461" spans="1:37" ht="12.75" customHeight="1" x14ac:dyDescent="0.45">
      <c r="A461" s="284"/>
      <c r="B461" s="331"/>
      <c r="C461" s="284"/>
      <c r="D461" s="284"/>
      <c r="E461" s="332"/>
      <c r="F461" s="284"/>
      <c r="G461" s="284"/>
      <c r="H461" s="284"/>
      <c r="I461" s="284"/>
      <c r="J461" s="284"/>
      <c r="K461" s="284"/>
      <c r="L461" s="284"/>
      <c r="M461" s="284"/>
      <c r="N461" s="333"/>
      <c r="O461" s="284"/>
      <c r="P461" s="284"/>
      <c r="Q461" s="284"/>
      <c r="R461" s="284"/>
      <c r="S461" s="284"/>
      <c r="T461" s="284"/>
      <c r="U461" s="284"/>
      <c r="V461" s="284"/>
      <c r="W461" s="284"/>
      <c r="X461" s="284"/>
      <c r="Y461" s="284"/>
      <c r="Z461" s="284"/>
      <c r="AA461" s="284"/>
      <c r="AB461" s="284"/>
      <c r="AC461" s="284"/>
      <c r="AD461" s="284"/>
      <c r="AE461" s="284"/>
      <c r="AF461" s="284"/>
      <c r="AG461" s="284"/>
      <c r="AH461" s="284"/>
      <c r="AI461" s="284"/>
      <c r="AJ461" s="284"/>
      <c r="AK461" s="284"/>
    </row>
    <row r="462" spans="1:37" ht="12.75" customHeight="1" x14ac:dyDescent="0.45">
      <c r="A462" s="284"/>
      <c r="B462" s="331"/>
      <c r="C462" s="284"/>
      <c r="D462" s="284"/>
      <c r="E462" s="332"/>
      <c r="F462" s="284"/>
      <c r="G462" s="284"/>
      <c r="H462" s="284"/>
      <c r="I462" s="284"/>
      <c r="J462" s="284"/>
      <c r="K462" s="284"/>
      <c r="L462" s="284"/>
      <c r="M462" s="284"/>
      <c r="N462" s="333"/>
      <c r="O462" s="284"/>
      <c r="P462" s="284"/>
      <c r="Q462" s="284"/>
      <c r="R462" s="284"/>
      <c r="S462" s="284"/>
      <c r="T462" s="284"/>
      <c r="U462" s="284"/>
      <c r="V462" s="284"/>
      <c r="W462" s="284"/>
      <c r="X462" s="284"/>
      <c r="Y462" s="284"/>
      <c r="Z462" s="284"/>
      <c r="AA462" s="284"/>
      <c r="AB462" s="284"/>
      <c r="AC462" s="284"/>
      <c r="AD462" s="284"/>
      <c r="AE462" s="284"/>
      <c r="AF462" s="284"/>
      <c r="AG462" s="284"/>
      <c r="AH462" s="284"/>
      <c r="AI462" s="284"/>
      <c r="AJ462" s="284"/>
      <c r="AK462" s="284"/>
    </row>
    <row r="463" spans="1:37" ht="12.75" customHeight="1" x14ac:dyDescent="0.45">
      <c r="A463" s="284"/>
      <c r="B463" s="331"/>
      <c r="C463" s="284"/>
      <c r="D463" s="284"/>
      <c r="E463" s="332"/>
      <c r="F463" s="284"/>
      <c r="G463" s="284"/>
      <c r="H463" s="284"/>
      <c r="I463" s="284"/>
      <c r="J463" s="284"/>
      <c r="K463" s="284"/>
      <c r="L463" s="284"/>
      <c r="M463" s="284"/>
      <c r="N463" s="333"/>
      <c r="O463" s="284"/>
      <c r="P463" s="284"/>
      <c r="Q463" s="284"/>
      <c r="R463" s="284"/>
      <c r="S463" s="284"/>
      <c r="T463" s="284"/>
      <c r="U463" s="284"/>
      <c r="V463" s="284"/>
      <c r="W463" s="284"/>
      <c r="X463" s="284"/>
      <c r="Y463" s="284"/>
      <c r="Z463" s="284"/>
      <c r="AA463" s="284"/>
      <c r="AB463" s="284"/>
      <c r="AC463" s="284"/>
      <c r="AD463" s="284"/>
      <c r="AE463" s="284"/>
      <c r="AF463" s="284"/>
      <c r="AG463" s="284"/>
      <c r="AH463" s="284"/>
      <c r="AI463" s="284"/>
      <c r="AJ463" s="284"/>
      <c r="AK463" s="284"/>
    </row>
    <row r="464" spans="1:37" ht="12.75" customHeight="1" x14ac:dyDescent="0.45">
      <c r="A464" s="284"/>
      <c r="B464" s="331"/>
      <c r="C464" s="284"/>
      <c r="D464" s="284"/>
      <c r="E464" s="332"/>
      <c r="F464" s="284"/>
      <c r="G464" s="284"/>
      <c r="H464" s="284"/>
      <c r="I464" s="284"/>
      <c r="J464" s="284"/>
      <c r="K464" s="284"/>
      <c r="L464" s="284"/>
      <c r="M464" s="284"/>
      <c r="N464" s="333"/>
      <c r="O464" s="284"/>
      <c r="P464" s="284"/>
      <c r="Q464" s="284"/>
      <c r="R464" s="284"/>
      <c r="S464" s="284"/>
      <c r="T464" s="284"/>
      <c r="U464" s="284"/>
      <c r="V464" s="284"/>
      <c r="W464" s="284"/>
      <c r="X464" s="284"/>
      <c r="Y464" s="284"/>
      <c r="Z464" s="284"/>
      <c r="AA464" s="284"/>
      <c r="AB464" s="284"/>
      <c r="AC464" s="284"/>
      <c r="AD464" s="284"/>
      <c r="AE464" s="284"/>
      <c r="AF464" s="284"/>
      <c r="AG464" s="284"/>
      <c r="AH464" s="284"/>
      <c r="AI464" s="284"/>
      <c r="AJ464" s="284"/>
      <c r="AK464" s="284"/>
    </row>
    <row r="465" spans="1:37" ht="12.75" customHeight="1" x14ac:dyDescent="0.45">
      <c r="A465" s="284"/>
      <c r="B465" s="331"/>
      <c r="C465" s="284"/>
      <c r="D465" s="284"/>
      <c r="E465" s="332"/>
      <c r="F465" s="284"/>
      <c r="G465" s="284"/>
      <c r="H465" s="284"/>
      <c r="I465" s="284"/>
      <c r="J465" s="284"/>
      <c r="K465" s="284"/>
      <c r="L465" s="284"/>
      <c r="M465" s="284"/>
      <c r="N465" s="333"/>
      <c r="O465" s="284"/>
      <c r="P465" s="284"/>
      <c r="Q465" s="284"/>
      <c r="R465" s="284"/>
      <c r="S465" s="284"/>
      <c r="T465" s="284"/>
      <c r="U465" s="284"/>
      <c r="V465" s="284"/>
      <c r="W465" s="284"/>
      <c r="X465" s="284"/>
      <c r="Y465" s="284"/>
      <c r="Z465" s="284"/>
      <c r="AA465" s="284"/>
      <c r="AB465" s="284"/>
      <c r="AC465" s="284"/>
      <c r="AD465" s="284"/>
      <c r="AE465" s="284"/>
      <c r="AF465" s="284"/>
      <c r="AG465" s="284"/>
      <c r="AH465" s="284"/>
      <c r="AI465" s="284"/>
      <c r="AJ465" s="284"/>
      <c r="AK465" s="284"/>
    </row>
    <row r="466" spans="1:37" ht="12.75" customHeight="1" x14ac:dyDescent="0.45">
      <c r="A466" s="284"/>
      <c r="B466" s="331"/>
      <c r="C466" s="284"/>
      <c r="D466" s="284"/>
      <c r="E466" s="332"/>
      <c r="F466" s="284"/>
      <c r="G466" s="284"/>
      <c r="H466" s="284"/>
      <c r="I466" s="284"/>
      <c r="J466" s="284"/>
      <c r="K466" s="284"/>
      <c r="L466" s="284"/>
      <c r="M466" s="284"/>
      <c r="N466" s="333"/>
      <c r="O466" s="284"/>
      <c r="P466" s="284"/>
      <c r="Q466" s="284"/>
      <c r="R466" s="284"/>
      <c r="S466" s="284"/>
      <c r="T466" s="284"/>
      <c r="U466" s="284"/>
      <c r="V466" s="284"/>
      <c r="W466" s="284"/>
      <c r="X466" s="284"/>
      <c r="Y466" s="284"/>
      <c r="Z466" s="284"/>
      <c r="AA466" s="284"/>
      <c r="AB466" s="284"/>
      <c r="AC466" s="284"/>
      <c r="AD466" s="284"/>
      <c r="AE466" s="284"/>
      <c r="AF466" s="284"/>
      <c r="AG466" s="284"/>
      <c r="AH466" s="284"/>
      <c r="AI466" s="284"/>
      <c r="AJ466" s="284"/>
      <c r="AK466" s="284"/>
    </row>
    <row r="467" spans="1:37" ht="12.75" customHeight="1" x14ac:dyDescent="0.45">
      <c r="A467" s="284"/>
      <c r="B467" s="331"/>
      <c r="C467" s="284"/>
      <c r="D467" s="284"/>
      <c r="E467" s="332"/>
      <c r="F467" s="284"/>
      <c r="G467" s="284"/>
      <c r="H467" s="284"/>
      <c r="I467" s="284"/>
      <c r="J467" s="284"/>
      <c r="K467" s="284"/>
      <c r="L467" s="284"/>
      <c r="M467" s="284"/>
      <c r="N467" s="333"/>
      <c r="O467" s="284"/>
      <c r="P467" s="284"/>
      <c r="Q467" s="284"/>
      <c r="R467" s="284"/>
      <c r="S467" s="284"/>
      <c r="T467" s="284"/>
      <c r="U467" s="284"/>
      <c r="V467" s="284"/>
      <c r="W467" s="284"/>
      <c r="X467" s="284"/>
      <c r="Y467" s="284"/>
      <c r="Z467" s="284"/>
      <c r="AA467" s="284"/>
      <c r="AB467" s="284"/>
      <c r="AC467" s="284"/>
      <c r="AD467" s="284"/>
      <c r="AE467" s="284"/>
      <c r="AF467" s="284"/>
      <c r="AG467" s="284"/>
      <c r="AH467" s="284"/>
      <c r="AI467" s="284"/>
      <c r="AJ467" s="284"/>
      <c r="AK467" s="284"/>
    </row>
    <row r="468" spans="1:37" ht="12.75" customHeight="1" x14ac:dyDescent="0.45">
      <c r="A468" s="284"/>
      <c r="B468" s="331"/>
      <c r="C468" s="284"/>
      <c r="D468" s="284"/>
      <c r="E468" s="332"/>
      <c r="F468" s="284"/>
      <c r="G468" s="284"/>
      <c r="H468" s="284"/>
      <c r="I468" s="284"/>
      <c r="J468" s="284"/>
      <c r="K468" s="284"/>
      <c r="L468" s="284"/>
      <c r="M468" s="284"/>
      <c r="N468" s="333"/>
      <c r="O468" s="284"/>
      <c r="P468" s="284"/>
      <c r="Q468" s="284"/>
      <c r="R468" s="284"/>
      <c r="S468" s="284"/>
      <c r="T468" s="284"/>
      <c r="U468" s="284"/>
      <c r="V468" s="284"/>
      <c r="W468" s="284"/>
      <c r="X468" s="284"/>
      <c r="Y468" s="284"/>
      <c r="Z468" s="284"/>
      <c r="AA468" s="284"/>
      <c r="AB468" s="284"/>
      <c r="AC468" s="284"/>
      <c r="AD468" s="284"/>
      <c r="AE468" s="284"/>
      <c r="AF468" s="284"/>
      <c r="AG468" s="284"/>
      <c r="AH468" s="284"/>
      <c r="AI468" s="284"/>
      <c r="AJ468" s="284"/>
      <c r="AK468" s="284"/>
    </row>
    <row r="469" spans="1:37" ht="12.75" customHeight="1" x14ac:dyDescent="0.45">
      <c r="A469" s="284"/>
      <c r="B469" s="331"/>
      <c r="C469" s="284"/>
      <c r="D469" s="284"/>
      <c r="E469" s="332"/>
      <c r="F469" s="284"/>
      <c r="G469" s="284"/>
      <c r="H469" s="284"/>
      <c r="I469" s="284"/>
      <c r="J469" s="284"/>
      <c r="K469" s="284"/>
      <c r="L469" s="284"/>
      <c r="M469" s="284"/>
      <c r="N469" s="333"/>
      <c r="O469" s="284"/>
      <c r="P469" s="284"/>
      <c r="Q469" s="284"/>
      <c r="R469" s="284"/>
      <c r="S469" s="284"/>
      <c r="T469" s="284"/>
      <c r="U469" s="284"/>
      <c r="V469" s="284"/>
      <c r="W469" s="284"/>
      <c r="X469" s="284"/>
      <c r="Y469" s="284"/>
      <c r="Z469" s="284"/>
      <c r="AA469" s="284"/>
      <c r="AB469" s="284"/>
      <c r="AC469" s="284"/>
      <c r="AD469" s="284"/>
      <c r="AE469" s="284"/>
      <c r="AF469" s="284"/>
      <c r="AG469" s="284"/>
      <c r="AH469" s="284"/>
      <c r="AI469" s="284"/>
      <c r="AJ469" s="284"/>
      <c r="AK469" s="284"/>
    </row>
    <row r="470" spans="1:37" ht="12.75" customHeight="1" x14ac:dyDescent="0.45">
      <c r="A470" s="284"/>
      <c r="B470" s="331"/>
      <c r="C470" s="284"/>
      <c r="D470" s="284"/>
      <c r="E470" s="332"/>
      <c r="F470" s="284"/>
      <c r="G470" s="284"/>
      <c r="H470" s="284"/>
      <c r="I470" s="284"/>
      <c r="J470" s="284"/>
      <c r="K470" s="284"/>
      <c r="L470" s="284"/>
      <c r="M470" s="284"/>
      <c r="N470" s="333"/>
      <c r="O470" s="284"/>
      <c r="P470" s="284"/>
      <c r="Q470" s="284"/>
      <c r="R470" s="284"/>
      <c r="S470" s="284"/>
      <c r="T470" s="284"/>
      <c r="U470" s="284"/>
      <c r="V470" s="284"/>
      <c r="W470" s="284"/>
      <c r="X470" s="284"/>
      <c r="Y470" s="284"/>
      <c r="Z470" s="284"/>
      <c r="AA470" s="284"/>
      <c r="AB470" s="284"/>
      <c r="AC470" s="284"/>
      <c r="AD470" s="284"/>
      <c r="AE470" s="284"/>
      <c r="AF470" s="284"/>
      <c r="AG470" s="284"/>
      <c r="AH470" s="284"/>
      <c r="AI470" s="284"/>
      <c r="AJ470" s="284"/>
      <c r="AK470" s="284"/>
    </row>
    <row r="471" spans="1:37" ht="12.75" customHeight="1" x14ac:dyDescent="0.45">
      <c r="A471" s="284"/>
      <c r="B471" s="331"/>
      <c r="C471" s="284"/>
      <c r="D471" s="284"/>
      <c r="E471" s="332"/>
      <c r="F471" s="284"/>
      <c r="G471" s="284"/>
      <c r="H471" s="284"/>
      <c r="I471" s="284"/>
      <c r="J471" s="284"/>
      <c r="K471" s="284"/>
      <c r="L471" s="284"/>
      <c r="M471" s="284"/>
      <c r="N471" s="333"/>
      <c r="O471" s="284"/>
      <c r="P471" s="284"/>
      <c r="Q471" s="284"/>
      <c r="R471" s="284"/>
      <c r="S471" s="284"/>
      <c r="T471" s="284"/>
      <c r="U471" s="284"/>
      <c r="V471" s="284"/>
      <c r="W471" s="284"/>
      <c r="X471" s="284"/>
      <c r="Y471" s="284"/>
      <c r="Z471" s="284"/>
      <c r="AA471" s="284"/>
      <c r="AB471" s="284"/>
      <c r="AC471" s="284"/>
      <c r="AD471" s="284"/>
      <c r="AE471" s="284"/>
      <c r="AF471" s="284"/>
      <c r="AG471" s="284"/>
      <c r="AH471" s="284"/>
      <c r="AI471" s="284"/>
      <c r="AJ471" s="284"/>
      <c r="AK471" s="284"/>
    </row>
    <row r="472" spans="1:37" ht="12.75" customHeight="1" x14ac:dyDescent="0.45">
      <c r="A472" s="284"/>
      <c r="B472" s="331"/>
      <c r="C472" s="284"/>
      <c r="D472" s="284"/>
      <c r="E472" s="332"/>
      <c r="F472" s="284"/>
      <c r="G472" s="284"/>
      <c r="H472" s="284"/>
      <c r="I472" s="284"/>
      <c r="J472" s="284"/>
      <c r="K472" s="284"/>
      <c r="L472" s="284"/>
      <c r="M472" s="284"/>
      <c r="N472" s="333"/>
      <c r="O472" s="284"/>
      <c r="P472" s="284"/>
      <c r="Q472" s="284"/>
      <c r="R472" s="284"/>
      <c r="S472" s="284"/>
      <c r="T472" s="284"/>
      <c r="U472" s="284"/>
      <c r="V472" s="284"/>
      <c r="W472" s="284"/>
      <c r="X472" s="284"/>
      <c r="Y472" s="284"/>
      <c r="Z472" s="284"/>
      <c r="AA472" s="284"/>
      <c r="AB472" s="284"/>
      <c r="AC472" s="284"/>
      <c r="AD472" s="284"/>
      <c r="AE472" s="284"/>
      <c r="AF472" s="284"/>
      <c r="AG472" s="284"/>
      <c r="AH472" s="284"/>
      <c r="AI472" s="284"/>
      <c r="AJ472" s="284"/>
      <c r="AK472" s="284"/>
    </row>
    <row r="473" spans="1:37" ht="12.75" customHeight="1" x14ac:dyDescent="0.45">
      <c r="A473" s="284"/>
      <c r="B473" s="331"/>
      <c r="C473" s="284"/>
      <c r="D473" s="284"/>
      <c r="E473" s="332"/>
      <c r="F473" s="284"/>
      <c r="G473" s="284"/>
      <c r="H473" s="284"/>
      <c r="I473" s="284"/>
      <c r="J473" s="284"/>
      <c r="K473" s="284"/>
      <c r="L473" s="284"/>
      <c r="M473" s="284"/>
      <c r="N473" s="333"/>
      <c r="O473" s="284"/>
      <c r="P473" s="284"/>
      <c r="Q473" s="284"/>
      <c r="R473" s="284"/>
      <c r="S473" s="284"/>
      <c r="T473" s="284"/>
      <c r="U473" s="284"/>
      <c r="V473" s="284"/>
      <c r="W473" s="284"/>
      <c r="X473" s="284"/>
      <c r="Y473" s="284"/>
      <c r="Z473" s="284"/>
      <c r="AA473" s="284"/>
      <c r="AB473" s="284"/>
      <c r="AC473" s="284"/>
      <c r="AD473" s="284"/>
      <c r="AE473" s="284"/>
      <c r="AF473" s="284"/>
      <c r="AG473" s="284"/>
      <c r="AH473" s="284"/>
      <c r="AI473" s="284"/>
      <c r="AJ473" s="284"/>
      <c r="AK473" s="284"/>
    </row>
    <row r="474" spans="1:37" ht="12.75" customHeight="1" x14ac:dyDescent="0.45">
      <c r="A474" s="284"/>
      <c r="B474" s="331"/>
      <c r="C474" s="284"/>
      <c r="D474" s="284"/>
      <c r="E474" s="332"/>
      <c r="F474" s="284"/>
      <c r="G474" s="284"/>
      <c r="H474" s="284"/>
      <c r="I474" s="284"/>
      <c r="J474" s="284"/>
      <c r="K474" s="284"/>
      <c r="L474" s="284"/>
      <c r="M474" s="284"/>
      <c r="N474" s="333"/>
      <c r="O474" s="284"/>
      <c r="P474" s="284"/>
      <c r="Q474" s="284"/>
      <c r="R474" s="284"/>
      <c r="S474" s="284"/>
      <c r="T474" s="284"/>
      <c r="U474" s="284"/>
      <c r="V474" s="284"/>
      <c r="W474" s="284"/>
      <c r="X474" s="284"/>
      <c r="Y474" s="284"/>
      <c r="Z474" s="284"/>
      <c r="AA474" s="284"/>
      <c r="AB474" s="284"/>
      <c r="AC474" s="284"/>
      <c r="AD474" s="284"/>
      <c r="AE474" s="284"/>
      <c r="AF474" s="284"/>
      <c r="AG474" s="284"/>
      <c r="AH474" s="284"/>
      <c r="AI474" s="284"/>
      <c r="AJ474" s="284"/>
      <c r="AK474" s="284"/>
    </row>
    <row r="475" spans="1:37" ht="12.75" customHeight="1" x14ac:dyDescent="0.45">
      <c r="A475" s="284"/>
      <c r="B475" s="331"/>
      <c r="C475" s="284"/>
      <c r="D475" s="284"/>
      <c r="E475" s="332"/>
      <c r="F475" s="284"/>
      <c r="G475" s="284"/>
      <c r="H475" s="284"/>
      <c r="I475" s="284"/>
      <c r="J475" s="284"/>
      <c r="K475" s="284"/>
      <c r="L475" s="284"/>
      <c r="M475" s="284"/>
      <c r="N475" s="333"/>
      <c r="O475" s="284"/>
      <c r="P475" s="284"/>
      <c r="Q475" s="284"/>
      <c r="R475" s="284"/>
      <c r="S475" s="284"/>
      <c r="T475" s="284"/>
      <c r="U475" s="284"/>
      <c r="V475" s="284"/>
      <c r="W475" s="284"/>
      <c r="X475" s="284"/>
      <c r="Y475" s="284"/>
      <c r="Z475" s="284"/>
      <c r="AA475" s="284"/>
      <c r="AB475" s="284"/>
      <c r="AC475" s="284"/>
      <c r="AD475" s="284"/>
      <c r="AE475" s="284"/>
      <c r="AF475" s="284"/>
      <c r="AG475" s="284"/>
      <c r="AH475" s="284"/>
      <c r="AI475" s="284"/>
      <c r="AJ475" s="284"/>
      <c r="AK475" s="284"/>
    </row>
    <row r="476" spans="1:37" ht="12.75" customHeight="1" x14ac:dyDescent="0.45">
      <c r="A476" s="284"/>
      <c r="B476" s="331"/>
      <c r="C476" s="284"/>
      <c r="D476" s="284"/>
      <c r="E476" s="332"/>
      <c r="F476" s="284"/>
      <c r="G476" s="284"/>
      <c r="H476" s="284"/>
      <c r="I476" s="284"/>
      <c r="J476" s="284"/>
      <c r="K476" s="284"/>
      <c r="L476" s="284"/>
      <c r="M476" s="284"/>
      <c r="N476" s="333"/>
      <c r="O476" s="284"/>
      <c r="P476" s="284"/>
      <c r="Q476" s="284"/>
      <c r="R476" s="284"/>
      <c r="S476" s="284"/>
      <c r="T476" s="284"/>
      <c r="U476" s="284"/>
      <c r="V476" s="284"/>
      <c r="W476" s="284"/>
      <c r="X476" s="284"/>
      <c r="Y476" s="284"/>
      <c r="Z476" s="284"/>
      <c r="AA476" s="284"/>
      <c r="AB476" s="284"/>
      <c r="AC476" s="284"/>
      <c r="AD476" s="284"/>
      <c r="AE476" s="284"/>
      <c r="AF476" s="284"/>
      <c r="AG476" s="284"/>
      <c r="AH476" s="284"/>
      <c r="AI476" s="284"/>
      <c r="AJ476" s="284"/>
      <c r="AK476" s="284"/>
    </row>
    <row r="477" spans="1:37" ht="12.75" customHeight="1" x14ac:dyDescent="0.45">
      <c r="A477" s="284"/>
      <c r="B477" s="331"/>
      <c r="C477" s="284"/>
      <c r="D477" s="284"/>
      <c r="E477" s="332"/>
      <c r="F477" s="284"/>
      <c r="G477" s="284"/>
      <c r="H477" s="284"/>
      <c r="I477" s="284"/>
      <c r="J477" s="284"/>
      <c r="K477" s="284"/>
      <c r="L477" s="284"/>
      <c r="M477" s="284"/>
      <c r="N477" s="333"/>
      <c r="O477" s="284"/>
      <c r="P477" s="284"/>
      <c r="Q477" s="284"/>
      <c r="R477" s="284"/>
      <c r="S477" s="284"/>
      <c r="T477" s="284"/>
      <c r="U477" s="284"/>
      <c r="V477" s="284"/>
      <c r="W477" s="284"/>
      <c r="X477" s="284"/>
      <c r="Y477" s="284"/>
      <c r="Z477" s="284"/>
      <c r="AA477" s="284"/>
      <c r="AB477" s="284"/>
      <c r="AC477" s="284"/>
      <c r="AD477" s="284"/>
      <c r="AE477" s="284"/>
      <c r="AF477" s="284"/>
      <c r="AG477" s="284"/>
      <c r="AH477" s="284"/>
      <c r="AI477" s="284"/>
      <c r="AJ477" s="284"/>
      <c r="AK477" s="284"/>
    </row>
    <row r="478" spans="1:37" ht="12.75" customHeight="1" x14ac:dyDescent="0.45">
      <c r="A478" s="284"/>
      <c r="B478" s="331"/>
      <c r="C478" s="284"/>
      <c r="D478" s="284"/>
      <c r="E478" s="332"/>
      <c r="F478" s="284"/>
      <c r="G478" s="284"/>
      <c r="H478" s="284"/>
      <c r="I478" s="284"/>
      <c r="J478" s="284"/>
      <c r="K478" s="284"/>
      <c r="L478" s="284"/>
      <c r="M478" s="284"/>
      <c r="N478" s="333"/>
      <c r="O478" s="284"/>
      <c r="P478" s="284"/>
      <c r="Q478" s="284"/>
      <c r="R478" s="284"/>
      <c r="S478" s="284"/>
      <c r="T478" s="284"/>
      <c r="U478" s="284"/>
      <c r="V478" s="284"/>
      <c r="W478" s="284"/>
      <c r="X478" s="284"/>
      <c r="Y478" s="284"/>
      <c r="Z478" s="284"/>
      <c r="AA478" s="284"/>
      <c r="AB478" s="284"/>
      <c r="AC478" s="284"/>
      <c r="AD478" s="284"/>
      <c r="AE478" s="284"/>
      <c r="AF478" s="284"/>
      <c r="AG478" s="284"/>
      <c r="AH478" s="284"/>
      <c r="AI478" s="284"/>
      <c r="AJ478" s="284"/>
      <c r="AK478" s="284"/>
    </row>
    <row r="479" spans="1:37" ht="12.75" customHeight="1" x14ac:dyDescent="0.45">
      <c r="A479" s="284"/>
      <c r="B479" s="331"/>
      <c r="C479" s="284"/>
      <c r="D479" s="284"/>
      <c r="E479" s="332"/>
      <c r="F479" s="284"/>
      <c r="G479" s="284"/>
      <c r="H479" s="284"/>
      <c r="I479" s="284"/>
      <c r="J479" s="284"/>
      <c r="K479" s="284"/>
      <c r="L479" s="284"/>
      <c r="M479" s="284"/>
      <c r="N479" s="333"/>
      <c r="O479" s="284"/>
      <c r="P479" s="284"/>
      <c r="Q479" s="284"/>
      <c r="R479" s="284"/>
      <c r="S479" s="284"/>
      <c r="T479" s="284"/>
      <c r="U479" s="284"/>
      <c r="V479" s="284"/>
      <c r="W479" s="284"/>
      <c r="X479" s="284"/>
      <c r="Y479" s="284"/>
      <c r="Z479" s="284"/>
      <c r="AA479" s="284"/>
      <c r="AB479" s="284"/>
      <c r="AC479" s="284"/>
      <c r="AD479" s="284"/>
      <c r="AE479" s="284"/>
      <c r="AF479" s="284"/>
      <c r="AG479" s="284"/>
      <c r="AH479" s="284"/>
      <c r="AI479" s="284"/>
      <c r="AJ479" s="284"/>
      <c r="AK479" s="284"/>
    </row>
    <row r="480" spans="1:37" ht="12.75" customHeight="1" x14ac:dyDescent="0.45">
      <c r="A480" s="284"/>
      <c r="B480" s="331"/>
      <c r="C480" s="284"/>
      <c r="D480" s="284"/>
      <c r="E480" s="332"/>
      <c r="F480" s="284"/>
      <c r="G480" s="284"/>
      <c r="H480" s="284"/>
      <c r="I480" s="284"/>
      <c r="J480" s="284"/>
      <c r="K480" s="284"/>
      <c r="L480" s="284"/>
      <c r="M480" s="284"/>
      <c r="N480" s="333"/>
      <c r="O480" s="284"/>
      <c r="P480" s="284"/>
      <c r="Q480" s="284"/>
      <c r="R480" s="284"/>
      <c r="S480" s="284"/>
      <c r="T480" s="284"/>
      <c r="U480" s="284"/>
      <c r="V480" s="284"/>
      <c r="W480" s="284"/>
      <c r="X480" s="284"/>
      <c r="Y480" s="284"/>
      <c r="Z480" s="284"/>
      <c r="AA480" s="284"/>
      <c r="AB480" s="284"/>
      <c r="AC480" s="284"/>
      <c r="AD480" s="284"/>
      <c r="AE480" s="284"/>
      <c r="AF480" s="284"/>
      <c r="AG480" s="284"/>
      <c r="AH480" s="284"/>
      <c r="AI480" s="284"/>
      <c r="AJ480" s="284"/>
      <c r="AK480" s="284"/>
    </row>
    <row r="481" spans="1:37" ht="12.75" customHeight="1" x14ac:dyDescent="0.45">
      <c r="A481" s="284"/>
      <c r="B481" s="331"/>
      <c r="C481" s="284"/>
      <c r="D481" s="284"/>
      <c r="E481" s="332"/>
      <c r="F481" s="284"/>
      <c r="G481" s="284"/>
      <c r="H481" s="284"/>
      <c r="I481" s="284"/>
      <c r="J481" s="284"/>
      <c r="K481" s="284"/>
      <c r="L481" s="284"/>
      <c r="M481" s="284"/>
      <c r="N481" s="333"/>
      <c r="O481" s="284"/>
      <c r="P481" s="284"/>
      <c r="Q481" s="284"/>
      <c r="R481" s="284"/>
      <c r="S481" s="284"/>
      <c r="T481" s="284"/>
      <c r="U481" s="284"/>
      <c r="V481" s="284"/>
      <c r="W481" s="284"/>
      <c r="X481" s="284"/>
      <c r="Y481" s="284"/>
      <c r="Z481" s="284"/>
      <c r="AA481" s="284"/>
      <c r="AB481" s="284"/>
      <c r="AC481" s="284"/>
      <c r="AD481" s="284"/>
      <c r="AE481" s="284"/>
      <c r="AF481" s="284"/>
      <c r="AG481" s="284"/>
      <c r="AH481" s="284"/>
      <c r="AI481" s="284"/>
      <c r="AJ481" s="284"/>
      <c r="AK481" s="284"/>
    </row>
    <row r="482" spans="1:37" ht="12.75" customHeight="1" x14ac:dyDescent="0.45">
      <c r="A482" s="284"/>
      <c r="B482" s="331"/>
      <c r="C482" s="284"/>
      <c r="D482" s="284"/>
      <c r="E482" s="332"/>
      <c r="F482" s="284"/>
      <c r="G482" s="284"/>
      <c r="H482" s="284"/>
      <c r="I482" s="284"/>
      <c r="J482" s="284"/>
      <c r="K482" s="284"/>
      <c r="L482" s="284"/>
      <c r="M482" s="284"/>
      <c r="N482" s="333"/>
      <c r="O482" s="284"/>
      <c r="P482" s="284"/>
      <c r="Q482" s="284"/>
      <c r="R482" s="284"/>
      <c r="S482" s="284"/>
      <c r="T482" s="284"/>
      <c r="U482" s="284"/>
      <c r="V482" s="284"/>
      <c r="W482" s="284"/>
      <c r="X482" s="284"/>
      <c r="Y482" s="284"/>
      <c r="Z482" s="284"/>
      <c r="AA482" s="284"/>
      <c r="AB482" s="284"/>
      <c r="AC482" s="284"/>
      <c r="AD482" s="284"/>
      <c r="AE482" s="284"/>
      <c r="AF482" s="284"/>
      <c r="AG482" s="284"/>
      <c r="AH482" s="284"/>
      <c r="AI482" s="284"/>
      <c r="AJ482" s="284"/>
      <c r="AK482" s="284"/>
    </row>
    <row r="483" spans="1:37" ht="12.75" customHeight="1" x14ac:dyDescent="0.45">
      <c r="A483" s="284"/>
      <c r="B483" s="331"/>
      <c r="C483" s="284"/>
      <c r="D483" s="284"/>
      <c r="E483" s="332"/>
      <c r="F483" s="284"/>
      <c r="G483" s="284"/>
      <c r="H483" s="284"/>
      <c r="I483" s="284"/>
      <c r="J483" s="284"/>
      <c r="K483" s="284"/>
      <c r="L483" s="284"/>
      <c r="M483" s="284"/>
      <c r="N483" s="333"/>
      <c r="O483" s="284"/>
      <c r="P483" s="284"/>
      <c r="Q483" s="284"/>
      <c r="R483" s="284"/>
      <c r="S483" s="284"/>
      <c r="T483" s="284"/>
      <c r="U483" s="284"/>
      <c r="V483" s="284"/>
      <c r="W483" s="284"/>
      <c r="X483" s="284"/>
      <c r="Y483" s="284"/>
      <c r="Z483" s="284"/>
      <c r="AA483" s="284"/>
      <c r="AB483" s="284"/>
      <c r="AC483" s="284"/>
      <c r="AD483" s="284"/>
      <c r="AE483" s="284"/>
      <c r="AF483" s="284"/>
      <c r="AG483" s="284"/>
      <c r="AH483" s="284"/>
      <c r="AI483" s="284"/>
      <c r="AJ483" s="284"/>
      <c r="AK483" s="284"/>
    </row>
    <row r="484" spans="1:37" ht="12.75" customHeight="1" x14ac:dyDescent="0.45">
      <c r="A484" s="284"/>
      <c r="B484" s="331"/>
      <c r="C484" s="284"/>
      <c r="D484" s="284"/>
      <c r="E484" s="332"/>
      <c r="F484" s="284"/>
      <c r="G484" s="284"/>
      <c r="H484" s="284"/>
      <c r="I484" s="284"/>
      <c r="J484" s="284"/>
      <c r="K484" s="284"/>
      <c r="L484" s="284"/>
      <c r="M484" s="284"/>
      <c r="N484" s="333"/>
      <c r="O484" s="284"/>
      <c r="P484" s="284"/>
      <c r="Q484" s="284"/>
      <c r="R484" s="284"/>
      <c r="S484" s="284"/>
      <c r="T484" s="284"/>
      <c r="U484" s="284"/>
      <c r="V484" s="284"/>
      <c r="W484" s="284"/>
      <c r="X484" s="284"/>
      <c r="Y484" s="284"/>
      <c r="Z484" s="284"/>
      <c r="AA484" s="284"/>
      <c r="AB484" s="284"/>
      <c r="AC484" s="284"/>
      <c r="AD484" s="284"/>
      <c r="AE484" s="284"/>
      <c r="AF484" s="284"/>
      <c r="AG484" s="284"/>
      <c r="AH484" s="284"/>
      <c r="AI484" s="284"/>
      <c r="AJ484" s="284"/>
      <c r="AK484" s="284"/>
    </row>
    <row r="485" spans="1:37" ht="12.75" customHeight="1" x14ac:dyDescent="0.45">
      <c r="A485" s="284"/>
      <c r="B485" s="331"/>
      <c r="C485" s="284"/>
      <c r="D485" s="284"/>
      <c r="E485" s="332"/>
      <c r="F485" s="284"/>
      <c r="G485" s="284"/>
      <c r="H485" s="284"/>
      <c r="I485" s="284"/>
      <c r="J485" s="284"/>
      <c r="K485" s="284"/>
      <c r="L485" s="284"/>
      <c r="M485" s="284"/>
      <c r="N485" s="333"/>
      <c r="O485" s="284"/>
      <c r="P485" s="284"/>
      <c r="Q485" s="284"/>
      <c r="R485" s="284"/>
      <c r="S485" s="284"/>
      <c r="T485" s="284"/>
      <c r="U485" s="284"/>
      <c r="V485" s="284"/>
      <c r="W485" s="284"/>
      <c r="X485" s="284"/>
      <c r="Y485" s="284"/>
      <c r="Z485" s="284"/>
      <c r="AA485" s="284"/>
      <c r="AB485" s="284"/>
      <c r="AC485" s="284"/>
      <c r="AD485" s="284"/>
      <c r="AE485" s="284"/>
      <c r="AF485" s="284"/>
      <c r="AG485" s="284"/>
      <c r="AH485" s="284"/>
      <c r="AI485" s="284"/>
      <c r="AJ485" s="284"/>
      <c r="AK485" s="284"/>
    </row>
    <row r="486" spans="1:37" ht="12.75" customHeight="1" x14ac:dyDescent="0.45">
      <c r="A486" s="284"/>
      <c r="B486" s="331"/>
      <c r="C486" s="284"/>
      <c r="D486" s="284"/>
      <c r="E486" s="332"/>
      <c r="F486" s="284"/>
      <c r="G486" s="284"/>
      <c r="H486" s="284"/>
      <c r="I486" s="284"/>
      <c r="J486" s="284"/>
      <c r="K486" s="284"/>
      <c r="L486" s="284"/>
      <c r="M486" s="284"/>
      <c r="N486" s="333"/>
      <c r="O486" s="284"/>
      <c r="P486" s="284"/>
      <c r="Q486" s="284"/>
      <c r="R486" s="284"/>
      <c r="S486" s="284"/>
      <c r="T486" s="284"/>
      <c r="U486" s="284"/>
      <c r="V486" s="284"/>
      <c r="W486" s="284"/>
      <c r="X486" s="284"/>
      <c r="Y486" s="284"/>
      <c r="Z486" s="284"/>
      <c r="AA486" s="284"/>
      <c r="AB486" s="284"/>
      <c r="AC486" s="284"/>
      <c r="AD486" s="284"/>
      <c r="AE486" s="284"/>
      <c r="AF486" s="284"/>
      <c r="AG486" s="284"/>
      <c r="AH486" s="284"/>
      <c r="AI486" s="284"/>
      <c r="AJ486" s="284"/>
      <c r="AK486" s="284"/>
    </row>
    <row r="487" spans="1:37" ht="12.75" customHeight="1" x14ac:dyDescent="0.45">
      <c r="A487" s="284"/>
      <c r="B487" s="331"/>
      <c r="C487" s="284"/>
      <c r="D487" s="284"/>
      <c r="E487" s="332"/>
      <c r="F487" s="284"/>
      <c r="G487" s="284"/>
      <c r="H487" s="284"/>
      <c r="I487" s="284"/>
      <c r="J487" s="284"/>
      <c r="K487" s="284"/>
      <c r="L487" s="284"/>
      <c r="M487" s="284"/>
      <c r="N487" s="333"/>
      <c r="O487" s="284"/>
      <c r="P487" s="284"/>
      <c r="Q487" s="284"/>
      <c r="R487" s="284"/>
      <c r="S487" s="284"/>
      <c r="T487" s="284"/>
      <c r="U487" s="284"/>
      <c r="V487" s="284"/>
      <c r="W487" s="284"/>
      <c r="X487" s="284"/>
      <c r="Y487" s="284"/>
      <c r="Z487" s="284"/>
      <c r="AA487" s="284"/>
      <c r="AB487" s="284"/>
      <c r="AC487" s="284"/>
      <c r="AD487" s="284"/>
      <c r="AE487" s="284"/>
      <c r="AF487" s="284"/>
      <c r="AG487" s="284"/>
      <c r="AH487" s="284"/>
      <c r="AI487" s="284"/>
      <c r="AJ487" s="284"/>
      <c r="AK487" s="284"/>
    </row>
    <row r="488" spans="1:37" ht="12.75" customHeight="1" x14ac:dyDescent="0.45">
      <c r="A488" s="284"/>
      <c r="B488" s="331"/>
      <c r="C488" s="284"/>
      <c r="D488" s="284"/>
      <c r="E488" s="332"/>
      <c r="F488" s="284"/>
      <c r="G488" s="284"/>
      <c r="H488" s="284"/>
      <c r="I488" s="284"/>
      <c r="J488" s="284"/>
      <c r="K488" s="284"/>
      <c r="L488" s="284"/>
      <c r="M488" s="284"/>
      <c r="N488" s="333"/>
      <c r="O488" s="284"/>
      <c r="P488" s="284"/>
      <c r="Q488" s="284"/>
      <c r="R488" s="284"/>
      <c r="S488" s="284"/>
      <c r="T488" s="284"/>
      <c r="U488" s="284"/>
      <c r="V488" s="284"/>
      <c r="W488" s="284"/>
      <c r="X488" s="284"/>
      <c r="Y488" s="284"/>
      <c r="Z488" s="284"/>
      <c r="AA488" s="284"/>
      <c r="AB488" s="284"/>
      <c r="AC488" s="284"/>
      <c r="AD488" s="284"/>
      <c r="AE488" s="284"/>
      <c r="AF488" s="284"/>
      <c r="AG488" s="284"/>
      <c r="AH488" s="284"/>
      <c r="AI488" s="284"/>
      <c r="AJ488" s="284"/>
      <c r="AK488" s="284"/>
    </row>
    <row r="489" spans="1:37" ht="12.75" customHeight="1" x14ac:dyDescent="0.45">
      <c r="A489" s="284"/>
      <c r="B489" s="331"/>
      <c r="C489" s="284"/>
      <c r="D489" s="284"/>
      <c r="E489" s="332"/>
      <c r="F489" s="284"/>
      <c r="G489" s="284"/>
      <c r="H489" s="284"/>
      <c r="I489" s="284"/>
      <c r="J489" s="284"/>
      <c r="K489" s="284"/>
      <c r="L489" s="284"/>
      <c r="M489" s="284"/>
      <c r="N489" s="333"/>
      <c r="O489" s="284"/>
      <c r="P489" s="284"/>
      <c r="Q489" s="284"/>
      <c r="R489" s="284"/>
      <c r="S489" s="284"/>
      <c r="T489" s="284"/>
      <c r="U489" s="284"/>
      <c r="V489" s="284"/>
      <c r="W489" s="284"/>
      <c r="X489" s="284"/>
      <c r="Y489" s="284"/>
      <c r="Z489" s="284"/>
      <c r="AA489" s="284"/>
      <c r="AB489" s="284"/>
      <c r="AC489" s="284"/>
      <c r="AD489" s="284"/>
      <c r="AE489" s="284"/>
      <c r="AF489" s="284"/>
      <c r="AG489" s="284"/>
      <c r="AH489" s="284"/>
      <c r="AI489" s="284"/>
      <c r="AJ489" s="284"/>
      <c r="AK489" s="284"/>
    </row>
    <row r="490" spans="1:37" ht="12.75" customHeight="1" x14ac:dyDescent="0.45">
      <c r="A490" s="284"/>
      <c r="B490" s="331"/>
      <c r="C490" s="284"/>
      <c r="D490" s="284"/>
      <c r="E490" s="332"/>
      <c r="F490" s="284"/>
      <c r="G490" s="284"/>
      <c r="H490" s="284"/>
      <c r="I490" s="284"/>
      <c r="J490" s="284"/>
      <c r="K490" s="284"/>
      <c r="L490" s="284"/>
      <c r="M490" s="284"/>
      <c r="N490" s="333"/>
      <c r="O490" s="284"/>
      <c r="P490" s="284"/>
      <c r="Q490" s="284"/>
      <c r="R490" s="284"/>
      <c r="S490" s="284"/>
      <c r="T490" s="284"/>
      <c r="U490" s="284"/>
      <c r="V490" s="284"/>
      <c r="W490" s="284"/>
      <c r="X490" s="284"/>
      <c r="Y490" s="284"/>
      <c r="Z490" s="284"/>
      <c r="AA490" s="284"/>
      <c r="AB490" s="284"/>
      <c r="AC490" s="284"/>
      <c r="AD490" s="284"/>
      <c r="AE490" s="284"/>
      <c r="AF490" s="284"/>
      <c r="AG490" s="284"/>
      <c r="AH490" s="284"/>
      <c r="AI490" s="284"/>
      <c r="AJ490" s="284"/>
      <c r="AK490" s="284"/>
    </row>
    <row r="491" spans="1:37" ht="12.75" customHeight="1" x14ac:dyDescent="0.45">
      <c r="A491" s="284"/>
      <c r="B491" s="331"/>
      <c r="C491" s="284"/>
      <c r="D491" s="284"/>
      <c r="E491" s="332"/>
      <c r="F491" s="284"/>
      <c r="G491" s="284"/>
      <c r="H491" s="284"/>
      <c r="I491" s="284"/>
      <c r="J491" s="284"/>
      <c r="K491" s="284"/>
      <c r="L491" s="284"/>
      <c r="M491" s="284"/>
      <c r="N491" s="333"/>
      <c r="O491" s="284"/>
      <c r="P491" s="284"/>
      <c r="Q491" s="284"/>
      <c r="R491" s="284"/>
      <c r="S491" s="284"/>
      <c r="T491" s="284"/>
      <c r="U491" s="284"/>
      <c r="V491" s="284"/>
      <c r="W491" s="284"/>
      <c r="X491" s="284"/>
      <c r="Y491" s="284"/>
      <c r="Z491" s="284"/>
      <c r="AA491" s="284"/>
      <c r="AB491" s="284"/>
      <c r="AC491" s="284"/>
      <c r="AD491" s="284"/>
      <c r="AE491" s="284"/>
      <c r="AF491" s="284"/>
      <c r="AG491" s="284"/>
      <c r="AH491" s="284"/>
      <c r="AI491" s="284"/>
      <c r="AJ491" s="284"/>
      <c r="AK491" s="284"/>
    </row>
    <row r="492" spans="1:37" ht="12.75" customHeight="1" x14ac:dyDescent="0.45">
      <c r="A492" s="284"/>
      <c r="B492" s="331"/>
      <c r="C492" s="284"/>
      <c r="D492" s="284"/>
      <c r="E492" s="332"/>
      <c r="F492" s="284"/>
      <c r="G492" s="284"/>
      <c r="H492" s="284"/>
      <c r="I492" s="284"/>
      <c r="J492" s="284"/>
      <c r="K492" s="284"/>
      <c r="L492" s="284"/>
      <c r="M492" s="284"/>
      <c r="N492" s="333"/>
      <c r="O492" s="284"/>
      <c r="P492" s="284"/>
      <c r="Q492" s="284"/>
      <c r="R492" s="284"/>
      <c r="S492" s="284"/>
      <c r="T492" s="284"/>
      <c r="U492" s="284"/>
      <c r="V492" s="284"/>
      <c r="W492" s="284"/>
      <c r="X492" s="284"/>
      <c r="Y492" s="284"/>
      <c r="Z492" s="284"/>
      <c r="AA492" s="284"/>
      <c r="AB492" s="284"/>
      <c r="AC492" s="284"/>
      <c r="AD492" s="284"/>
      <c r="AE492" s="284"/>
      <c r="AF492" s="284"/>
      <c r="AG492" s="284"/>
      <c r="AH492" s="284"/>
      <c r="AI492" s="284"/>
      <c r="AJ492" s="284"/>
      <c r="AK492" s="284"/>
    </row>
    <row r="493" spans="1:37" ht="12.75" customHeight="1" x14ac:dyDescent="0.45">
      <c r="A493" s="284"/>
      <c r="B493" s="331"/>
      <c r="C493" s="284"/>
      <c r="D493" s="284"/>
      <c r="E493" s="332"/>
      <c r="F493" s="284"/>
      <c r="G493" s="284"/>
      <c r="H493" s="284"/>
      <c r="I493" s="284"/>
      <c r="J493" s="284"/>
      <c r="K493" s="284"/>
      <c r="L493" s="284"/>
      <c r="M493" s="284"/>
      <c r="N493" s="333"/>
      <c r="O493" s="284"/>
      <c r="P493" s="284"/>
      <c r="Q493" s="284"/>
      <c r="R493" s="284"/>
      <c r="S493" s="284"/>
      <c r="T493" s="284"/>
      <c r="U493" s="284"/>
      <c r="V493" s="284"/>
      <c r="W493" s="284"/>
      <c r="X493" s="284"/>
      <c r="Y493" s="284"/>
      <c r="Z493" s="284"/>
      <c r="AA493" s="284"/>
      <c r="AB493" s="284"/>
      <c r="AC493" s="284"/>
      <c r="AD493" s="284"/>
      <c r="AE493" s="284"/>
      <c r="AF493" s="284"/>
      <c r="AG493" s="284"/>
      <c r="AH493" s="284"/>
      <c r="AI493" s="284"/>
      <c r="AJ493" s="284"/>
      <c r="AK493" s="284"/>
    </row>
    <row r="494" spans="1:37" ht="12.75" customHeight="1" x14ac:dyDescent="0.45">
      <c r="A494" s="284"/>
      <c r="B494" s="331"/>
      <c r="C494" s="284"/>
      <c r="D494" s="284"/>
      <c r="E494" s="332"/>
      <c r="F494" s="284"/>
      <c r="G494" s="284"/>
      <c r="H494" s="284"/>
      <c r="I494" s="284"/>
      <c r="J494" s="284"/>
      <c r="K494" s="284"/>
      <c r="L494" s="284"/>
      <c r="M494" s="284"/>
      <c r="N494" s="333"/>
      <c r="O494" s="284"/>
      <c r="P494" s="284"/>
      <c r="Q494" s="284"/>
      <c r="R494" s="284"/>
      <c r="S494" s="284"/>
      <c r="T494" s="284"/>
      <c r="U494" s="284"/>
      <c r="V494" s="284"/>
      <c r="W494" s="284"/>
      <c r="X494" s="284"/>
      <c r="Y494" s="284"/>
      <c r="Z494" s="284"/>
      <c r="AA494" s="284"/>
      <c r="AB494" s="284"/>
      <c r="AC494" s="284"/>
      <c r="AD494" s="284"/>
      <c r="AE494" s="284"/>
      <c r="AF494" s="284"/>
      <c r="AG494" s="284"/>
      <c r="AH494" s="284"/>
      <c r="AI494" s="284"/>
      <c r="AJ494" s="284"/>
      <c r="AK494" s="284"/>
    </row>
    <row r="495" spans="1:37" ht="12.75" customHeight="1" x14ac:dyDescent="0.45">
      <c r="A495" s="284"/>
      <c r="B495" s="331"/>
      <c r="C495" s="284"/>
      <c r="D495" s="284"/>
      <c r="E495" s="332"/>
      <c r="F495" s="284"/>
      <c r="G495" s="284"/>
      <c r="H495" s="284"/>
      <c r="I495" s="284"/>
      <c r="J495" s="284"/>
      <c r="K495" s="284"/>
      <c r="L495" s="284"/>
      <c r="M495" s="284"/>
      <c r="N495" s="333"/>
      <c r="O495" s="284"/>
      <c r="P495" s="284"/>
      <c r="Q495" s="284"/>
      <c r="R495" s="284"/>
      <c r="S495" s="284"/>
      <c r="T495" s="284"/>
      <c r="U495" s="284"/>
      <c r="V495" s="284"/>
      <c r="W495" s="284"/>
      <c r="X495" s="284"/>
      <c r="Y495" s="284"/>
      <c r="Z495" s="284"/>
      <c r="AA495" s="284"/>
      <c r="AB495" s="284"/>
      <c r="AC495" s="284"/>
      <c r="AD495" s="284"/>
      <c r="AE495" s="284"/>
      <c r="AF495" s="284"/>
      <c r="AG495" s="284"/>
      <c r="AH495" s="284"/>
      <c r="AI495" s="284"/>
      <c r="AJ495" s="284"/>
      <c r="AK495" s="284"/>
    </row>
    <row r="496" spans="1:37" ht="12.75" customHeight="1" x14ac:dyDescent="0.45">
      <c r="A496" s="284"/>
      <c r="B496" s="331"/>
      <c r="C496" s="284"/>
      <c r="D496" s="284"/>
      <c r="E496" s="332"/>
      <c r="F496" s="284"/>
      <c r="G496" s="284"/>
      <c r="H496" s="284"/>
      <c r="I496" s="284"/>
      <c r="J496" s="284"/>
      <c r="K496" s="284"/>
      <c r="L496" s="284"/>
      <c r="M496" s="284"/>
      <c r="N496" s="333"/>
      <c r="O496" s="284"/>
      <c r="P496" s="284"/>
      <c r="Q496" s="284"/>
      <c r="R496" s="284"/>
      <c r="S496" s="284"/>
      <c r="T496" s="284"/>
      <c r="U496" s="284"/>
      <c r="V496" s="284"/>
      <c r="W496" s="284"/>
      <c r="X496" s="284"/>
      <c r="Y496" s="284"/>
      <c r="Z496" s="284"/>
      <c r="AA496" s="284"/>
      <c r="AB496" s="284"/>
      <c r="AC496" s="284"/>
      <c r="AD496" s="284"/>
      <c r="AE496" s="284"/>
      <c r="AF496" s="284"/>
      <c r="AG496" s="284"/>
      <c r="AH496" s="284"/>
      <c r="AI496" s="284"/>
      <c r="AJ496" s="284"/>
      <c r="AK496" s="284"/>
    </row>
    <row r="497" spans="1:37" ht="12.75" customHeight="1" x14ac:dyDescent="0.45">
      <c r="A497" s="284"/>
      <c r="B497" s="331"/>
      <c r="C497" s="284"/>
      <c r="D497" s="284"/>
      <c r="E497" s="332"/>
      <c r="F497" s="284"/>
      <c r="G497" s="284"/>
      <c r="H497" s="284"/>
      <c r="I497" s="284"/>
      <c r="J497" s="284"/>
      <c r="K497" s="284"/>
      <c r="L497" s="284"/>
      <c r="M497" s="284"/>
      <c r="N497" s="333"/>
      <c r="O497" s="284"/>
      <c r="P497" s="284"/>
      <c r="Q497" s="284"/>
      <c r="R497" s="284"/>
      <c r="S497" s="284"/>
      <c r="T497" s="284"/>
      <c r="U497" s="284"/>
      <c r="V497" s="284"/>
      <c r="W497" s="284"/>
      <c r="X497" s="284"/>
      <c r="Y497" s="284"/>
      <c r="Z497" s="284"/>
      <c r="AA497" s="284"/>
      <c r="AB497" s="284"/>
      <c r="AC497" s="284"/>
      <c r="AD497" s="284"/>
      <c r="AE497" s="284"/>
      <c r="AF497" s="284"/>
      <c r="AG497" s="284"/>
      <c r="AH497" s="284"/>
      <c r="AI497" s="284"/>
      <c r="AJ497" s="284"/>
      <c r="AK497" s="284"/>
    </row>
    <row r="498" spans="1:37" ht="12.75" customHeight="1" x14ac:dyDescent="0.45">
      <c r="A498" s="284"/>
      <c r="B498" s="331"/>
      <c r="C498" s="284"/>
      <c r="D498" s="284"/>
      <c r="E498" s="332"/>
      <c r="F498" s="284"/>
      <c r="G498" s="284"/>
      <c r="H498" s="284"/>
      <c r="I498" s="284"/>
      <c r="J498" s="284"/>
      <c r="K498" s="284"/>
      <c r="L498" s="284"/>
      <c r="M498" s="284"/>
      <c r="N498" s="333"/>
      <c r="O498" s="284"/>
      <c r="P498" s="284"/>
      <c r="Q498" s="284"/>
      <c r="R498" s="284"/>
      <c r="S498" s="284"/>
      <c r="T498" s="284"/>
      <c r="U498" s="284"/>
      <c r="V498" s="284"/>
      <c r="W498" s="284"/>
      <c r="X498" s="284"/>
      <c r="Y498" s="284"/>
      <c r="Z498" s="284"/>
      <c r="AA498" s="284"/>
      <c r="AB498" s="284"/>
      <c r="AC498" s="284"/>
      <c r="AD498" s="284"/>
      <c r="AE498" s="284"/>
      <c r="AF498" s="284"/>
      <c r="AG498" s="284"/>
      <c r="AH498" s="284"/>
      <c r="AI498" s="284"/>
      <c r="AJ498" s="284"/>
      <c r="AK498" s="284"/>
    </row>
    <row r="499" spans="1:37" ht="12.75" customHeight="1" x14ac:dyDescent="0.45">
      <c r="A499" s="284"/>
      <c r="B499" s="331"/>
      <c r="C499" s="284"/>
      <c r="D499" s="284"/>
      <c r="E499" s="332"/>
      <c r="F499" s="284"/>
      <c r="G499" s="284"/>
      <c r="H499" s="284"/>
      <c r="I499" s="284"/>
      <c r="J499" s="284"/>
      <c r="K499" s="284"/>
      <c r="L499" s="284"/>
      <c r="M499" s="284"/>
      <c r="N499" s="333"/>
      <c r="O499" s="284"/>
      <c r="P499" s="284"/>
      <c r="Q499" s="284"/>
      <c r="R499" s="284"/>
      <c r="S499" s="284"/>
      <c r="T499" s="284"/>
      <c r="U499" s="284"/>
      <c r="V499" s="284"/>
      <c r="W499" s="284"/>
      <c r="X499" s="284"/>
      <c r="Y499" s="284"/>
      <c r="Z499" s="284"/>
      <c r="AA499" s="284"/>
      <c r="AB499" s="284"/>
      <c r="AC499" s="284"/>
      <c r="AD499" s="284"/>
      <c r="AE499" s="284"/>
      <c r="AF499" s="284"/>
      <c r="AG499" s="284"/>
      <c r="AH499" s="284"/>
      <c r="AI499" s="284"/>
      <c r="AJ499" s="284"/>
      <c r="AK499" s="284"/>
    </row>
    <row r="500" spans="1:37" ht="12.75" customHeight="1" x14ac:dyDescent="0.45">
      <c r="A500" s="284"/>
      <c r="B500" s="331"/>
      <c r="C500" s="284"/>
      <c r="D500" s="284"/>
      <c r="E500" s="332"/>
      <c r="F500" s="284"/>
      <c r="G500" s="284"/>
      <c r="H500" s="284"/>
      <c r="I500" s="284"/>
      <c r="J500" s="284"/>
      <c r="K500" s="284"/>
      <c r="L500" s="284"/>
      <c r="M500" s="284"/>
      <c r="N500" s="333"/>
      <c r="O500" s="284"/>
      <c r="P500" s="284"/>
      <c r="Q500" s="284"/>
      <c r="R500" s="284"/>
      <c r="S500" s="284"/>
      <c r="T500" s="284"/>
      <c r="U500" s="284"/>
      <c r="V500" s="284"/>
      <c r="W500" s="284"/>
      <c r="X500" s="284"/>
      <c r="Y500" s="284"/>
      <c r="Z500" s="284"/>
      <c r="AA500" s="284"/>
      <c r="AB500" s="284"/>
      <c r="AC500" s="284"/>
      <c r="AD500" s="284"/>
      <c r="AE500" s="284"/>
      <c r="AF500" s="284"/>
      <c r="AG500" s="284"/>
      <c r="AH500" s="284"/>
      <c r="AI500" s="284"/>
      <c r="AJ500" s="284"/>
      <c r="AK500" s="284"/>
    </row>
    <row r="501" spans="1:37" ht="12.75" customHeight="1" x14ac:dyDescent="0.45">
      <c r="A501" s="284"/>
      <c r="B501" s="331"/>
      <c r="C501" s="284"/>
      <c r="D501" s="284"/>
      <c r="E501" s="332"/>
      <c r="F501" s="284"/>
      <c r="G501" s="284"/>
      <c r="H501" s="284"/>
      <c r="I501" s="284"/>
      <c r="J501" s="284"/>
      <c r="K501" s="284"/>
      <c r="L501" s="284"/>
      <c r="M501" s="284"/>
      <c r="N501" s="333"/>
      <c r="O501" s="284"/>
      <c r="P501" s="284"/>
      <c r="Q501" s="284"/>
      <c r="R501" s="284"/>
      <c r="S501" s="284"/>
      <c r="T501" s="284"/>
      <c r="U501" s="284"/>
      <c r="V501" s="284"/>
      <c r="W501" s="284"/>
      <c r="X501" s="284"/>
      <c r="Y501" s="284"/>
      <c r="Z501" s="284"/>
      <c r="AA501" s="284"/>
      <c r="AB501" s="284"/>
      <c r="AC501" s="284"/>
      <c r="AD501" s="284"/>
      <c r="AE501" s="284"/>
      <c r="AF501" s="284"/>
      <c r="AG501" s="284"/>
      <c r="AH501" s="284"/>
      <c r="AI501" s="284"/>
      <c r="AJ501" s="284"/>
      <c r="AK501" s="284"/>
    </row>
    <row r="502" spans="1:37" ht="12.75" customHeight="1" x14ac:dyDescent="0.45">
      <c r="A502" s="284"/>
      <c r="B502" s="331"/>
      <c r="C502" s="284"/>
      <c r="D502" s="284"/>
      <c r="E502" s="332"/>
      <c r="F502" s="284"/>
      <c r="G502" s="284"/>
      <c r="H502" s="284"/>
      <c r="I502" s="284"/>
      <c r="J502" s="284"/>
      <c r="K502" s="284"/>
      <c r="L502" s="284"/>
      <c r="M502" s="284"/>
      <c r="N502" s="333"/>
      <c r="O502" s="284"/>
      <c r="P502" s="284"/>
      <c r="Q502" s="284"/>
      <c r="R502" s="284"/>
      <c r="S502" s="284"/>
      <c r="T502" s="284"/>
      <c r="U502" s="284"/>
      <c r="V502" s="284"/>
      <c r="W502" s="284"/>
      <c r="X502" s="284"/>
      <c r="Y502" s="284"/>
      <c r="Z502" s="284"/>
      <c r="AA502" s="284"/>
      <c r="AB502" s="284"/>
      <c r="AC502" s="284"/>
      <c r="AD502" s="284"/>
      <c r="AE502" s="284"/>
      <c r="AF502" s="284"/>
      <c r="AG502" s="284"/>
      <c r="AH502" s="284"/>
      <c r="AI502" s="284"/>
      <c r="AJ502" s="284"/>
      <c r="AK502" s="284"/>
    </row>
    <row r="503" spans="1:37" ht="12.75" customHeight="1" x14ac:dyDescent="0.45">
      <c r="A503" s="284"/>
      <c r="B503" s="331"/>
      <c r="C503" s="284"/>
      <c r="D503" s="284"/>
      <c r="E503" s="332"/>
      <c r="F503" s="284"/>
      <c r="G503" s="284"/>
      <c r="H503" s="284"/>
      <c r="I503" s="284"/>
      <c r="J503" s="284"/>
      <c r="K503" s="284"/>
      <c r="L503" s="284"/>
      <c r="M503" s="284"/>
      <c r="N503" s="333"/>
      <c r="O503" s="284"/>
      <c r="P503" s="284"/>
      <c r="Q503" s="284"/>
      <c r="R503" s="284"/>
      <c r="S503" s="284"/>
      <c r="T503" s="284"/>
      <c r="U503" s="284"/>
      <c r="V503" s="284"/>
      <c r="W503" s="284"/>
      <c r="X503" s="284"/>
      <c r="Y503" s="284"/>
      <c r="Z503" s="284"/>
      <c r="AA503" s="284"/>
      <c r="AB503" s="284"/>
      <c r="AC503" s="284"/>
      <c r="AD503" s="284"/>
      <c r="AE503" s="284"/>
      <c r="AF503" s="284"/>
      <c r="AG503" s="284"/>
      <c r="AH503" s="284"/>
      <c r="AI503" s="284"/>
      <c r="AJ503" s="284"/>
      <c r="AK503" s="284"/>
    </row>
    <row r="504" spans="1:37" ht="12.75" customHeight="1" x14ac:dyDescent="0.45">
      <c r="A504" s="284"/>
      <c r="B504" s="331"/>
      <c r="C504" s="284"/>
      <c r="D504" s="284"/>
      <c r="E504" s="332"/>
      <c r="F504" s="284"/>
      <c r="G504" s="284"/>
      <c r="H504" s="284"/>
      <c r="I504" s="284"/>
      <c r="J504" s="284"/>
      <c r="K504" s="284"/>
      <c r="L504" s="284"/>
      <c r="M504" s="284"/>
      <c r="N504" s="333"/>
      <c r="O504" s="284"/>
      <c r="P504" s="284"/>
      <c r="Q504" s="284"/>
      <c r="R504" s="284"/>
      <c r="S504" s="284"/>
      <c r="T504" s="284"/>
      <c r="U504" s="284"/>
      <c r="V504" s="284"/>
      <c r="W504" s="284"/>
      <c r="X504" s="284"/>
      <c r="Y504" s="284"/>
      <c r="Z504" s="284"/>
      <c r="AA504" s="284"/>
      <c r="AB504" s="284"/>
      <c r="AC504" s="284"/>
      <c r="AD504" s="284"/>
      <c r="AE504" s="284"/>
      <c r="AF504" s="284"/>
      <c r="AG504" s="284"/>
      <c r="AH504" s="284"/>
      <c r="AI504" s="284"/>
      <c r="AJ504" s="284"/>
      <c r="AK504" s="284"/>
    </row>
    <row r="505" spans="1:37" ht="12.75" customHeight="1" x14ac:dyDescent="0.45">
      <c r="A505" s="284"/>
      <c r="B505" s="331"/>
      <c r="C505" s="284"/>
      <c r="D505" s="284"/>
      <c r="E505" s="332"/>
      <c r="F505" s="284"/>
      <c r="G505" s="284"/>
      <c r="H505" s="284"/>
      <c r="I505" s="284"/>
      <c r="J505" s="284"/>
      <c r="K505" s="284"/>
      <c r="L505" s="284"/>
      <c r="M505" s="284"/>
      <c r="N505" s="333"/>
      <c r="O505" s="284"/>
      <c r="P505" s="284"/>
      <c r="Q505" s="284"/>
      <c r="R505" s="284"/>
      <c r="S505" s="284"/>
      <c r="T505" s="284"/>
      <c r="U505" s="284"/>
      <c r="V505" s="284"/>
      <c r="W505" s="284"/>
      <c r="X505" s="284"/>
      <c r="Y505" s="284"/>
      <c r="Z505" s="284"/>
      <c r="AA505" s="284"/>
      <c r="AB505" s="284"/>
      <c r="AC505" s="284"/>
      <c r="AD505" s="284"/>
      <c r="AE505" s="284"/>
      <c r="AF505" s="284"/>
      <c r="AG505" s="284"/>
      <c r="AH505" s="284"/>
      <c r="AI505" s="284"/>
      <c r="AJ505" s="284"/>
      <c r="AK505" s="284"/>
    </row>
    <row r="506" spans="1:37" ht="12.75" customHeight="1" x14ac:dyDescent="0.45">
      <c r="A506" s="284"/>
      <c r="B506" s="331"/>
      <c r="C506" s="284"/>
      <c r="D506" s="284"/>
      <c r="E506" s="332"/>
      <c r="F506" s="284"/>
      <c r="G506" s="284"/>
      <c r="H506" s="284"/>
      <c r="I506" s="284"/>
      <c r="J506" s="284"/>
      <c r="K506" s="284"/>
      <c r="L506" s="284"/>
      <c r="M506" s="284"/>
      <c r="N506" s="333"/>
      <c r="O506" s="284"/>
      <c r="P506" s="284"/>
      <c r="Q506" s="284"/>
      <c r="R506" s="284"/>
      <c r="S506" s="284"/>
      <c r="T506" s="284"/>
      <c r="U506" s="284"/>
      <c r="V506" s="284"/>
      <c r="W506" s="284"/>
      <c r="X506" s="284"/>
      <c r="Y506" s="284"/>
      <c r="Z506" s="284"/>
      <c r="AA506" s="284"/>
      <c r="AB506" s="284"/>
      <c r="AC506" s="284"/>
      <c r="AD506" s="284"/>
      <c r="AE506" s="284"/>
      <c r="AF506" s="284"/>
      <c r="AG506" s="284"/>
      <c r="AH506" s="284"/>
      <c r="AI506" s="284"/>
      <c r="AJ506" s="284"/>
      <c r="AK506" s="284"/>
    </row>
    <row r="507" spans="1:37" ht="12.75" customHeight="1" x14ac:dyDescent="0.45">
      <c r="A507" s="284"/>
      <c r="B507" s="331"/>
      <c r="C507" s="284"/>
      <c r="D507" s="284"/>
      <c r="E507" s="332"/>
      <c r="F507" s="284"/>
      <c r="G507" s="284"/>
      <c r="H507" s="284"/>
      <c r="I507" s="284"/>
      <c r="J507" s="284"/>
      <c r="K507" s="284"/>
      <c r="L507" s="284"/>
      <c r="M507" s="284"/>
      <c r="N507" s="333"/>
      <c r="O507" s="284"/>
      <c r="P507" s="284"/>
      <c r="Q507" s="284"/>
      <c r="R507" s="284"/>
      <c r="S507" s="284"/>
      <c r="T507" s="284"/>
      <c r="U507" s="284"/>
      <c r="V507" s="284"/>
      <c r="W507" s="284"/>
      <c r="X507" s="284"/>
      <c r="Y507" s="284"/>
      <c r="Z507" s="284"/>
      <c r="AA507" s="284"/>
      <c r="AB507" s="284"/>
      <c r="AC507" s="284"/>
      <c r="AD507" s="284"/>
      <c r="AE507" s="284"/>
      <c r="AF507" s="284"/>
      <c r="AG507" s="284"/>
      <c r="AH507" s="284"/>
      <c r="AI507" s="284"/>
      <c r="AJ507" s="284"/>
      <c r="AK507" s="284"/>
    </row>
    <row r="508" spans="1:37" ht="12.75" customHeight="1" x14ac:dyDescent="0.45">
      <c r="A508" s="284"/>
      <c r="B508" s="331"/>
      <c r="C508" s="284"/>
      <c r="D508" s="284"/>
      <c r="E508" s="332"/>
      <c r="F508" s="284"/>
      <c r="G508" s="284"/>
      <c r="H508" s="284"/>
      <c r="I508" s="284"/>
      <c r="J508" s="284"/>
      <c r="K508" s="284"/>
      <c r="L508" s="284"/>
      <c r="M508" s="284"/>
      <c r="N508" s="333"/>
      <c r="O508" s="284"/>
      <c r="P508" s="284"/>
      <c r="Q508" s="284"/>
      <c r="R508" s="284"/>
      <c r="S508" s="284"/>
      <c r="T508" s="284"/>
      <c r="U508" s="284"/>
      <c r="V508" s="284"/>
      <c r="W508" s="284"/>
      <c r="X508" s="284"/>
      <c r="Y508" s="284"/>
      <c r="Z508" s="284"/>
      <c r="AA508" s="284"/>
      <c r="AB508" s="284"/>
      <c r="AC508" s="284"/>
      <c r="AD508" s="284"/>
      <c r="AE508" s="284"/>
      <c r="AF508" s="284"/>
      <c r="AG508" s="284"/>
      <c r="AH508" s="284"/>
      <c r="AI508" s="284"/>
      <c r="AJ508" s="284"/>
      <c r="AK508" s="284"/>
    </row>
    <row r="509" spans="1:37" ht="12.75" customHeight="1" x14ac:dyDescent="0.45">
      <c r="A509" s="284"/>
      <c r="B509" s="331"/>
      <c r="C509" s="284"/>
      <c r="D509" s="284"/>
      <c r="E509" s="332"/>
      <c r="F509" s="284"/>
      <c r="G509" s="284"/>
      <c r="H509" s="284"/>
      <c r="I509" s="284"/>
      <c r="J509" s="284"/>
      <c r="K509" s="284"/>
      <c r="L509" s="284"/>
      <c r="M509" s="284"/>
      <c r="N509" s="333"/>
      <c r="O509" s="284"/>
      <c r="P509" s="284"/>
      <c r="Q509" s="284"/>
      <c r="R509" s="284"/>
      <c r="S509" s="284"/>
      <c r="T509" s="284"/>
      <c r="U509" s="284"/>
      <c r="V509" s="284"/>
      <c r="W509" s="284"/>
      <c r="X509" s="284"/>
      <c r="Y509" s="284"/>
      <c r="Z509" s="284"/>
      <c r="AA509" s="284"/>
      <c r="AB509" s="284"/>
      <c r="AC509" s="284"/>
      <c r="AD509" s="284"/>
      <c r="AE509" s="284"/>
      <c r="AF509" s="284"/>
      <c r="AG509" s="284"/>
      <c r="AH509" s="284"/>
      <c r="AI509" s="284"/>
      <c r="AJ509" s="284"/>
      <c r="AK509" s="284"/>
    </row>
    <row r="510" spans="1:37" ht="12.75" customHeight="1" x14ac:dyDescent="0.45">
      <c r="A510" s="284"/>
      <c r="B510" s="331"/>
      <c r="C510" s="284"/>
      <c r="D510" s="284"/>
      <c r="E510" s="332"/>
      <c r="F510" s="284"/>
      <c r="G510" s="284"/>
      <c r="H510" s="284"/>
      <c r="I510" s="284"/>
      <c r="J510" s="284"/>
      <c r="K510" s="284"/>
      <c r="L510" s="284"/>
      <c r="M510" s="284"/>
      <c r="N510" s="333"/>
      <c r="O510" s="284"/>
      <c r="P510" s="284"/>
      <c r="Q510" s="284"/>
      <c r="R510" s="284"/>
      <c r="S510" s="284"/>
      <c r="T510" s="284"/>
      <c r="U510" s="284"/>
      <c r="V510" s="284"/>
      <c r="W510" s="284"/>
      <c r="X510" s="284"/>
      <c r="Y510" s="284"/>
      <c r="Z510" s="284"/>
      <c r="AA510" s="284"/>
      <c r="AB510" s="284"/>
      <c r="AC510" s="284"/>
      <c r="AD510" s="284"/>
      <c r="AE510" s="284"/>
      <c r="AF510" s="284"/>
      <c r="AG510" s="284"/>
      <c r="AH510" s="284"/>
      <c r="AI510" s="284"/>
      <c r="AJ510" s="284"/>
      <c r="AK510" s="284"/>
    </row>
    <row r="511" spans="1:37" ht="12.75" customHeight="1" x14ac:dyDescent="0.45">
      <c r="A511" s="284"/>
      <c r="B511" s="331"/>
      <c r="C511" s="284"/>
      <c r="D511" s="284"/>
      <c r="E511" s="332"/>
      <c r="F511" s="284"/>
      <c r="G511" s="284"/>
      <c r="H511" s="284"/>
      <c r="I511" s="284"/>
      <c r="J511" s="284"/>
      <c r="K511" s="284"/>
      <c r="L511" s="284"/>
      <c r="M511" s="284"/>
      <c r="N511" s="333"/>
      <c r="O511" s="284"/>
      <c r="P511" s="284"/>
      <c r="Q511" s="284"/>
      <c r="R511" s="284"/>
      <c r="S511" s="284"/>
      <c r="T511" s="284"/>
      <c r="U511" s="284"/>
      <c r="V511" s="284"/>
      <c r="W511" s="284"/>
      <c r="X511" s="284"/>
      <c r="Y511" s="284"/>
      <c r="Z511" s="284"/>
      <c r="AA511" s="284"/>
      <c r="AB511" s="284"/>
      <c r="AC511" s="284"/>
      <c r="AD511" s="284"/>
      <c r="AE511" s="284"/>
      <c r="AF511" s="284"/>
      <c r="AG511" s="284"/>
      <c r="AH511" s="284"/>
      <c r="AI511" s="284"/>
      <c r="AJ511" s="284"/>
      <c r="AK511" s="284"/>
    </row>
    <row r="512" spans="1:37" ht="12.75" customHeight="1" x14ac:dyDescent="0.45">
      <c r="A512" s="284"/>
      <c r="B512" s="331"/>
      <c r="C512" s="284"/>
      <c r="D512" s="284"/>
      <c r="E512" s="332"/>
      <c r="F512" s="284"/>
      <c r="G512" s="284"/>
      <c r="H512" s="284"/>
      <c r="I512" s="284"/>
      <c r="J512" s="284"/>
      <c r="K512" s="284"/>
      <c r="L512" s="284"/>
      <c r="M512" s="284"/>
      <c r="N512" s="333"/>
      <c r="O512" s="284"/>
      <c r="P512" s="284"/>
      <c r="Q512" s="284"/>
      <c r="R512" s="284"/>
      <c r="S512" s="284"/>
      <c r="T512" s="284"/>
      <c r="U512" s="284"/>
      <c r="V512" s="284"/>
      <c r="W512" s="284"/>
      <c r="X512" s="284"/>
      <c r="Y512" s="284"/>
      <c r="Z512" s="284"/>
      <c r="AA512" s="284"/>
      <c r="AB512" s="284"/>
      <c r="AC512" s="284"/>
      <c r="AD512" s="284"/>
      <c r="AE512" s="284"/>
      <c r="AF512" s="284"/>
      <c r="AG512" s="284"/>
      <c r="AH512" s="284"/>
      <c r="AI512" s="284"/>
      <c r="AJ512" s="284"/>
      <c r="AK512" s="284"/>
    </row>
    <row r="513" spans="1:37" ht="12.75" customHeight="1" x14ac:dyDescent="0.45">
      <c r="A513" s="284"/>
      <c r="B513" s="331"/>
      <c r="C513" s="284"/>
      <c r="D513" s="284"/>
      <c r="E513" s="332"/>
      <c r="F513" s="284"/>
      <c r="G513" s="284"/>
      <c r="H513" s="284"/>
      <c r="I513" s="284"/>
      <c r="J513" s="284"/>
      <c r="K513" s="284"/>
      <c r="L513" s="284"/>
      <c r="M513" s="284"/>
      <c r="N513" s="333"/>
      <c r="O513" s="284"/>
      <c r="P513" s="284"/>
      <c r="Q513" s="284"/>
      <c r="R513" s="284"/>
      <c r="S513" s="284"/>
      <c r="T513" s="284"/>
      <c r="U513" s="284"/>
      <c r="V513" s="284"/>
      <c r="W513" s="284"/>
      <c r="X513" s="284"/>
      <c r="Y513" s="284"/>
      <c r="Z513" s="284"/>
      <c r="AA513" s="284"/>
      <c r="AB513" s="284"/>
      <c r="AC513" s="284"/>
      <c r="AD513" s="284"/>
      <c r="AE513" s="284"/>
      <c r="AF513" s="284"/>
      <c r="AG513" s="284"/>
      <c r="AH513" s="284"/>
      <c r="AI513" s="284"/>
      <c r="AJ513" s="284"/>
      <c r="AK513" s="284"/>
    </row>
    <row r="514" spans="1:37" ht="12.75" customHeight="1" x14ac:dyDescent="0.45">
      <c r="A514" s="284"/>
      <c r="B514" s="331"/>
      <c r="C514" s="284"/>
      <c r="D514" s="284"/>
      <c r="E514" s="332"/>
      <c r="F514" s="284"/>
      <c r="G514" s="284"/>
      <c r="H514" s="284"/>
      <c r="I514" s="284"/>
      <c r="J514" s="284"/>
      <c r="K514" s="284"/>
      <c r="L514" s="284"/>
      <c r="M514" s="284"/>
      <c r="N514" s="333"/>
      <c r="O514" s="284"/>
      <c r="P514" s="284"/>
      <c r="Q514" s="284"/>
      <c r="R514" s="284"/>
      <c r="S514" s="284"/>
      <c r="T514" s="284"/>
      <c r="U514" s="284"/>
      <c r="V514" s="284"/>
      <c r="W514" s="284"/>
      <c r="X514" s="284"/>
      <c r="Y514" s="284"/>
      <c r="Z514" s="284"/>
      <c r="AA514" s="284"/>
      <c r="AB514" s="284"/>
      <c r="AC514" s="284"/>
      <c r="AD514" s="284"/>
      <c r="AE514" s="284"/>
      <c r="AF514" s="284"/>
      <c r="AG514" s="284"/>
      <c r="AH514" s="284"/>
      <c r="AI514" s="284"/>
      <c r="AJ514" s="284"/>
      <c r="AK514" s="284"/>
    </row>
    <row r="515" spans="1:37" ht="12.75" customHeight="1" x14ac:dyDescent="0.45">
      <c r="A515" s="284"/>
      <c r="B515" s="331"/>
      <c r="C515" s="284"/>
      <c r="D515" s="284"/>
      <c r="E515" s="332"/>
      <c r="F515" s="284"/>
      <c r="G515" s="284"/>
      <c r="H515" s="284"/>
      <c r="I515" s="284"/>
      <c r="J515" s="284"/>
      <c r="K515" s="284"/>
      <c r="L515" s="284"/>
      <c r="M515" s="284"/>
      <c r="N515" s="333"/>
      <c r="O515" s="284"/>
      <c r="P515" s="284"/>
      <c r="Q515" s="284"/>
      <c r="R515" s="284"/>
      <c r="S515" s="284"/>
      <c r="T515" s="284"/>
      <c r="U515" s="284"/>
      <c r="V515" s="284"/>
      <c r="W515" s="284"/>
      <c r="X515" s="284"/>
      <c r="Y515" s="284"/>
      <c r="Z515" s="284"/>
      <c r="AA515" s="284"/>
      <c r="AB515" s="284"/>
      <c r="AC515" s="284"/>
      <c r="AD515" s="284"/>
      <c r="AE515" s="284"/>
      <c r="AF515" s="284"/>
      <c r="AG515" s="284"/>
      <c r="AH515" s="284"/>
      <c r="AI515" s="284"/>
      <c r="AJ515" s="284"/>
      <c r="AK515" s="284"/>
    </row>
    <row r="516" spans="1:37" ht="12.75" customHeight="1" x14ac:dyDescent="0.45">
      <c r="A516" s="284"/>
      <c r="B516" s="331"/>
      <c r="C516" s="284"/>
      <c r="D516" s="284"/>
      <c r="E516" s="332"/>
      <c r="F516" s="284"/>
      <c r="G516" s="284"/>
      <c r="H516" s="284"/>
      <c r="I516" s="284"/>
      <c r="J516" s="284"/>
      <c r="K516" s="284"/>
      <c r="L516" s="284"/>
      <c r="M516" s="284"/>
      <c r="N516" s="333"/>
      <c r="O516" s="284"/>
      <c r="P516" s="284"/>
      <c r="Q516" s="284"/>
      <c r="R516" s="284"/>
      <c r="S516" s="284"/>
      <c r="T516" s="284"/>
      <c r="U516" s="284"/>
      <c r="V516" s="284"/>
      <c r="W516" s="284"/>
      <c r="X516" s="284"/>
      <c r="Y516" s="284"/>
      <c r="Z516" s="284"/>
      <c r="AA516" s="284"/>
      <c r="AB516" s="284"/>
      <c r="AC516" s="284"/>
      <c r="AD516" s="284"/>
      <c r="AE516" s="284"/>
      <c r="AF516" s="284"/>
      <c r="AG516" s="284"/>
      <c r="AH516" s="284"/>
      <c r="AI516" s="284"/>
      <c r="AJ516" s="284"/>
      <c r="AK516" s="284"/>
    </row>
    <row r="517" spans="1:37" ht="12.75" customHeight="1" x14ac:dyDescent="0.45">
      <c r="A517" s="284"/>
      <c r="B517" s="331"/>
      <c r="C517" s="284"/>
      <c r="D517" s="284"/>
      <c r="E517" s="332"/>
      <c r="F517" s="284"/>
      <c r="G517" s="284"/>
      <c r="H517" s="284"/>
      <c r="I517" s="284"/>
      <c r="J517" s="284"/>
      <c r="K517" s="284"/>
      <c r="L517" s="284"/>
      <c r="M517" s="284"/>
      <c r="N517" s="333"/>
      <c r="O517" s="284"/>
      <c r="P517" s="284"/>
      <c r="Q517" s="284"/>
      <c r="R517" s="284"/>
      <c r="S517" s="284"/>
      <c r="T517" s="284"/>
      <c r="U517" s="284"/>
      <c r="V517" s="284"/>
      <c r="W517" s="284"/>
      <c r="X517" s="284"/>
      <c r="Y517" s="284"/>
      <c r="Z517" s="284"/>
      <c r="AA517" s="284"/>
      <c r="AB517" s="284"/>
      <c r="AC517" s="284"/>
      <c r="AD517" s="284"/>
      <c r="AE517" s="284"/>
      <c r="AF517" s="284"/>
      <c r="AG517" s="284"/>
      <c r="AH517" s="284"/>
      <c r="AI517" s="284"/>
      <c r="AJ517" s="284"/>
      <c r="AK517" s="284"/>
    </row>
    <row r="518" spans="1:37" ht="12.75" customHeight="1" x14ac:dyDescent="0.45">
      <c r="A518" s="284"/>
      <c r="B518" s="331"/>
      <c r="C518" s="284"/>
      <c r="D518" s="284"/>
      <c r="E518" s="332"/>
      <c r="F518" s="284"/>
      <c r="G518" s="284"/>
      <c r="H518" s="284"/>
      <c r="I518" s="284"/>
      <c r="J518" s="284"/>
      <c r="K518" s="284"/>
      <c r="L518" s="284"/>
      <c r="M518" s="284"/>
      <c r="N518" s="333"/>
      <c r="O518" s="284"/>
      <c r="P518" s="284"/>
      <c r="Q518" s="284"/>
      <c r="R518" s="284"/>
      <c r="S518" s="284"/>
      <c r="T518" s="284"/>
      <c r="U518" s="284"/>
      <c r="V518" s="284"/>
      <c r="W518" s="284"/>
      <c r="X518" s="284"/>
      <c r="Y518" s="284"/>
      <c r="Z518" s="284"/>
      <c r="AA518" s="284"/>
      <c r="AB518" s="284"/>
      <c r="AC518" s="284"/>
      <c r="AD518" s="284"/>
      <c r="AE518" s="284"/>
      <c r="AF518" s="284"/>
      <c r="AG518" s="284"/>
      <c r="AH518" s="284"/>
      <c r="AI518" s="284"/>
      <c r="AJ518" s="284"/>
      <c r="AK518" s="284"/>
    </row>
    <row r="519" spans="1:37" ht="12.75" customHeight="1" x14ac:dyDescent="0.45">
      <c r="A519" s="284"/>
      <c r="B519" s="331"/>
      <c r="C519" s="284"/>
      <c r="D519" s="284"/>
      <c r="E519" s="332"/>
      <c r="F519" s="284"/>
      <c r="G519" s="284"/>
      <c r="H519" s="284"/>
      <c r="I519" s="284"/>
      <c r="J519" s="284"/>
      <c r="K519" s="284"/>
      <c r="L519" s="284"/>
      <c r="M519" s="284"/>
      <c r="N519" s="333"/>
      <c r="O519" s="284"/>
      <c r="P519" s="284"/>
      <c r="Q519" s="284"/>
      <c r="R519" s="284"/>
      <c r="S519" s="284"/>
      <c r="T519" s="284"/>
      <c r="U519" s="284"/>
      <c r="V519" s="284"/>
      <c r="W519" s="284"/>
      <c r="X519" s="284"/>
      <c r="Y519" s="284"/>
      <c r="Z519" s="284"/>
      <c r="AA519" s="284"/>
      <c r="AB519" s="284"/>
      <c r="AC519" s="284"/>
      <c r="AD519" s="284"/>
      <c r="AE519" s="284"/>
      <c r="AF519" s="284"/>
      <c r="AG519" s="284"/>
      <c r="AH519" s="284"/>
      <c r="AI519" s="284"/>
      <c r="AJ519" s="284"/>
      <c r="AK519" s="284"/>
    </row>
    <row r="520" spans="1:37" ht="12.75" customHeight="1" x14ac:dyDescent="0.45">
      <c r="A520" s="284"/>
      <c r="B520" s="331"/>
      <c r="C520" s="284"/>
      <c r="D520" s="284"/>
      <c r="E520" s="332"/>
      <c r="F520" s="284"/>
      <c r="G520" s="284"/>
      <c r="H520" s="284"/>
      <c r="I520" s="284"/>
      <c r="J520" s="284"/>
      <c r="K520" s="284"/>
      <c r="L520" s="284"/>
      <c r="M520" s="284"/>
      <c r="N520" s="333"/>
      <c r="O520" s="284"/>
      <c r="P520" s="284"/>
      <c r="Q520" s="284"/>
      <c r="R520" s="284"/>
      <c r="S520" s="284"/>
      <c r="T520" s="284"/>
      <c r="U520" s="284"/>
      <c r="V520" s="284"/>
      <c r="W520" s="284"/>
      <c r="X520" s="284"/>
      <c r="Y520" s="284"/>
      <c r="Z520" s="284"/>
      <c r="AA520" s="284"/>
      <c r="AB520" s="284"/>
      <c r="AC520" s="284"/>
      <c r="AD520" s="284"/>
      <c r="AE520" s="284"/>
      <c r="AF520" s="284"/>
      <c r="AG520" s="284"/>
      <c r="AH520" s="284"/>
      <c r="AI520" s="284"/>
      <c r="AJ520" s="284"/>
      <c r="AK520" s="284"/>
    </row>
    <row r="521" spans="1:37" ht="12.75" customHeight="1" x14ac:dyDescent="0.45">
      <c r="A521" s="284"/>
      <c r="B521" s="331"/>
      <c r="C521" s="284"/>
      <c r="D521" s="284"/>
      <c r="E521" s="332"/>
      <c r="F521" s="284"/>
      <c r="G521" s="284"/>
      <c r="H521" s="284"/>
      <c r="I521" s="284"/>
      <c r="J521" s="284"/>
      <c r="K521" s="284"/>
      <c r="L521" s="284"/>
      <c r="M521" s="284"/>
      <c r="N521" s="333"/>
      <c r="O521" s="284"/>
      <c r="P521" s="284"/>
      <c r="Q521" s="284"/>
      <c r="R521" s="284"/>
      <c r="S521" s="284"/>
      <c r="T521" s="284"/>
      <c r="U521" s="284"/>
      <c r="V521" s="284"/>
      <c r="W521" s="284"/>
      <c r="X521" s="284"/>
      <c r="Y521" s="284"/>
      <c r="Z521" s="284"/>
      <c r="AA521" s="284"/>
      <c r="AB521" s="284"/>
      <c r="AC521" s="284"/>
      <c r="AD521" s="284"/>
      <c r="AE521" s="284"/>
      <c r="AF521" s="284"/>
      <c r="AG521" s="284"/>
      <c r="AH521" s="284"/>
      <c r="AI521" s="284"/>
      <c r="AJ521" s="284"/>
      <c r="AK521" s="284"/>
    </row>
    <row r="522" spans="1:37" ht="12.75" customHeight="1" x14ac:dyDescent="0.45">
      <c r="A522" s="284"/>
      <c r="B522" s="331"/>
      <c r="C522" s="284"/>
      <c r="D522" s="284"/>
      <c r="E522" s="332"/>
      <c r="F522" s="284"/>
      <c r="G522" s="284"/>
      <c r="H522" s="284"/>
      <c r="I522" s="284"/>
      <c r="J522" s="284"/>
      <c r="K522" s="284"/>
      <c r="L522" s="284"/>
      <c r="M522" s="284"/>
      <c r="N522" s="333"/>
      <c r="O522" s="284"/>
      <c r="P522" s="284"/>
      <c r="Q522" s="284"/>
      <c r="R522" s="284"/>
      <c r="S522" s="284"/>
      <c r="T522" s="284"/>
      <c r="U522" s="284"/>
      <c r="V522" s="284"/>
      <c r="W522" s="284"/>
      <c r="X522" s="284"/>
      <c r="Y522" s="284"/>
      <c r="Z522" s="284"/>
      <c r="AA522" s="284"/>
      <c r="AB522" s="284"/>
      <c r="AC522" s="284"/>
      <c r="AD522" s="284"/>
      <c r="AE522" s="284"/>
      <c r="AF522" s="284"/>
      <c r="AG522" s="284"/>
      <c r="AH522" s="284"/>
      <c r="AI522" s="284"/>
      <c r="AJ522" s="284"/>
      <c r="AK522" s="284"/>
    </row>
    <row r="523" spans="1:37" ht="12.75" customHeight="1" x14ac:dyDescent="0.45">
      <c r="A523" s="284"/>
      <c r="B523" s="331"/>
      <c r="C523" s="284"/>
      <c r="D523" s="284"/>
      <c r="E523" s="332"/>
      <c r="F523" s="284"/>
      <c r="G523" s="284"/>
      <c r="H523" s="284"/>
      <c r="I523" s="284"/>
      <c r="J523" s="284"/>
      <c r="K523" s="284"/>
      <c r="L523" s="284"/>
      <c r="M523" s="284"/>
      <c r="N523" s="333"/>
      <c r="O523" s="284"/>
      <c r="P523" s="284"/>
      <c r="Q523" s="284"/>
      <c r="R523" s="284"/>
      <c r="S523" s="284"/>
      <c r="T523" s="284"/>
      <c r="U523" s="284"/>
      <c r="V523" s="284"/>
      <c r="W523" s="284"/>
      <c r="X523" s="284"/>
      <c r="Y523" s="284"/>
      <c r="Z523" s="284"/>
      <c r="AA523" s="284"/>
      <c r="AB523" s="284"/>
      <c r="AC523" s="284"/>
      <c r="AD523" s="284"/>
      <c r="AE523" s="284"/>
      <c r="AF523" s="284"/>
      <c r="AG523" s="284"/>
      <c r="AH523" s="284"/>
      <c r="AI523" s="284"/>
      <c r="AJ523" s="284"/>
      <c r="AK523" s="284"/>
    </row>
    <row r="524" spans="1:37" ht="12.75" customHeight="1" x14ac:dyDescent="0.45">
      <c r="A524" s="284"/>
      <c r="B524" s="331"/>
      <c r="C524" s="284"/>
      <c r="D524" s="284"/>
      <c r="E524" s="332"/>
      <c r="F524" s="284"/>
      <c r="G524" s="284"/>
      <c r="H524" s="284"/>
      <c r="I524" s="284"/>
      <c r="J524" s="284"/>
      <c r="K524" s="284"/>
      <c r="L524" s="284"/>
      <c r="M524" s="284"/>
      <c r="N524" s="333"/>
      <c r="O524" s="284"/>
      <c r="P524" s="284"/>
      <c r="Q524" s="284"/>
      <c r="R524" s="284"/>
      <c r="S524" s="284"/>
      <c r="T524" s="284"/>
      <c r="U524" s="284"/>
      <c r="V524" s="284"/>
      <c r="W524" s="284"/>
      <c r="X524" s="284"/>
      <c r="Y524" s="284"/>
      <c r="Z524" s="284"/>
      <c r="AA524" s="284"/>
      <c r="AB524" s="284"/>
      <c r="AC524" s="284"/>
      <c r="AD524" s="284"/>
      <c r="AE524" s="284"/>
      <c r="AF524" s="284"/>
      <c r="AG524" s="284"/>
      <c r="AH524" s="284"/>
      <c r="AI524" s="284"/>
      <c r="AJ524" s="284"/>
      <c r="AK524" s="284"/>
    </row>
    <row r="525" spans="1:37" ht="12.75" customHeight="1" x14ac:dyDescent="0.45">
      <c r="A525" s="284"/>
      <c r="B525" s="331"/>
      <c r="C525" s="284"/>
      <c r="D525" s="284"/>
      <c r="E525" s="332"/>
      <c r="F525" s="284"/>
      <c r="G525" s="284"/>
      <c r="H525" s="284"/>
      <c r="I525" s="284"/>
      <c r="J525" s="284"/>
      <c r="K525" s="284"/>
      <c r="L525" s="284"/>
      <c r="M525" s="284"/>
      <c r="N525" s="333"/>
      <c r="O525" s="284"/>
      <c r="P525" s="284"/>
      <c r="Q525" s="284"/>
      <c r="R525" s="284"/>
      <c r="S525" s="284"/>
      <c r="T525" s="284"/>
      <c r="U525" s="284"/>
      <c r="V525" s="284"/>
      <c r="W525" s="284"/>
      <c r="X525" s="284"/>
      <c r="Y525" s="284"/>
      <c r="Z525" s="284"/>
      <c r="AA525" s="284"/>
      <c r="AB525" s="284"/>
      <c r="AC525" s="284"/>
      <c r="AD525" s="284"/>
      <c r="AE525" s="284"/>
      <c r="AF525" s="284"/>
      <c r="AG525" s="284"/>
      <c r="AH525" s="284"/>
      <c r="AI525" s="284"/>
      <c r="AJ525" s="284"/>
      <c r="AK525" s="284"/>
    </row>
    <row r="526" spans="1:37" ht="12.75" customHeight="1" x14ac:dyDescent="0.45">
      <c r="A526" s="284"/>
      <c r="B526" s="331"/>
      <c r="C526" s="284"/>
      <c r="D526" s="284"/>
      <c r="E526" s="332"/>
      <c r="F526" s="284"/>
      <c r="G526" s="284"/>
      <c r="H526" s="284"/>
      <c r="I526" s="284"/>
      <c r="J526" s="284"/>
      <c r="K526" s="284"/>
      <c r="L526" s="284"/>
      <c r="M526" s="284"/>
      <c r="N526" s="333"/>
      <c r="O526" s="284"/>
      <c r="P526" s="284"/>
      <c r="Q526" s="284"/>
      <c r="R526" s="284"/>
      <c r="S526" s="284"/>
      <c r="T526" s="284"/>
      <c r="U526" s="284"/>
      <c r="V526" s="284"/>
      <c r="W526" s="284"/>
      <c r="X526" s="284"/>
      <c r="Y526" s="284"/>
      <c r="Z526" s="284"/>
      <c r="AA526" s="284"/>
      <c r="AB526" s="284"/>
      <c r="AC526" s="284"/>
      <c r="AD526" s="284"/>
      <c r="AE526" s="284"/>
      <c r="AF526" s="284"/>
      <c r="AG526" s="284"/>
      <c r="AH526" s="284"/>
      <c r="AI526" s="284"/>
      <c r="AJ526" s="284"/>
      <c r="AK526" s="284"/>
    </row>
    <row r="527" spans="1:37" ht="12.75" customHeight="1" x14ac:dyDescent="0.45">
      <c r="A527" s="284"/>
      <c r="B527" s="331"/>
      <c r="C527" s="284"/>
      <c r="D527" s="284"/>
      <c r="E527" s="332"/>
      <c r="F527" s="284"/>
      <c r="G527" s="284"/>
      <c r="H527" s="284"/>
      <c r="I527" s="284"/>
      <c r="J527" s="284"/>
      <c r="K527" s="284"/>
      <c r="L527" s="284"/>
      <c r="M527" s="284"/>
      <c r="N527" s="333"/>
      <c r="O527" s="284"/>
      <c r="P527" s="284"/>
      <c r="Q527" s="284"/>
      <c r="R527" s="284"/>
      <c r="S527" s="284"/>
      <c r="T527" s="284"/>
      <c r="U527" s="284"/>
      <c r="V527" s="284"/>
      <c r="W527" s="284"/>
      <c r="X527" s="284"/>
      <c r="Y527" s="284"/>
      <c r="Z527" s="284"/>
      <c r="AA527" s="284"/>
      <c r="AB527" s="284"/>
      <c r="AC527" s="284"/>
      <c r="AD527" s="284"/>
      <c r="AE527" s="284"/>
      <c r="AF527" s="284"/>
      <c r="AG527" s="284"/>
      <c r="AH527" s="284"/>
      <c r="AI527" s="284"/>
      <c r="AJ527" s="284"/>
      <c r="AK527" s="284"/>
    </row>
    <row r="528" spans="1:37" ht="12.75" customHeight="1" x14ac:dyDescent="0.45">
      <c r="A528" s="284"/>
      <c r="B528" s="331"/>
      <c r="C528" s="284"/>
      <c r="D528" s="284"/>
      <c r="E528" s="332"/>
      <c r="F528" s="284"/>
      <c r="G528" s="284"/>
      <c r="H528" s="284"/>
      <c r="I528" s="284"/>
      <c r="J528" s="284"/>
      <c r="K528" s="284"/>
      <c r="L528" s="284"/>
      <c r="M528" s="284"/>
      <c r="N528" s="333"/>
      <c r="O528" s="284"/>
      <c r="P528" s="284"/>
      <c r="Q528" s="284"/>
      <c r="R528" s="284"/>
      <c r="S528" s="284"/>
      <c r="T528" s="284"/>
      <c r="U528" s="284"/>
      <c r="V528" s="284"/>
      <c r="W528" s="284"/>
      <c r="X528" s="284"/>
      <c r="Y528" s="284"/>
      <c r="Z528" s="284"/>
      <c r="AA528" s="284"/>
      <c r="AB528" s="284"/>
      <c r="AC528" s="284"/>
      <c r="AD528" s="284"/>
      <c r="AE528" s="284"/>
      <c r="AF528" s="284"/>
      <c r="AG528" s="284"/>
      <c r="AH528" s="284"/>
      <c r="AI528" s="284"/>
      <c r="AJ528" s="284"/>
      <c r="AK528" s="284"/>
    </row>
    <row r="529" spans="1:37" ht="12.75" customHeight="1" x14ac:dyDescent="0.45">
      <c r="A529" s="284"/>
      <c r="B529" s="331"/>
      <c r="C529" s="284"/>
      <c r="D529" s="284"/>
      <c r="E529" s="332"/>
      <c r="F529" s="284"/>
      <c r="G529" s="284"/>
      <c r="H529" s="284"/>
      <c r="I529" s="284"/>
      <c r="J529" s="284"/>
      <c r="K529" s="284"/>
      <c r="L529" s="284"/>
      <c r="M529" s="284"/>
      <c r="N529" s="333"/>
      <c r="O529" s="284"/>
      <c r="P529" s="284"/>
      <c r="Q529" s="284"/>
      <c r="R529" s="284"/>
      <c r="S529" s="284"/>
      <c r="T529" s="284"/>
      <c r="U529" s="284"/>
      <c r="V529" s="284"/>
      <c r="W529" s="284"/>
      <c r="X529" s="284"/>
      <c r="Y529" s="284"/>
      <c r="Z529" s="284"/>
      <c r="AA529" s="284"/>
      <c r="AB529" s="284"/>
      <c r="AC529" s="284"/>
      <c r="AD529" s="284"/>
      <c r="AE529" s="284"/>
      <c r="AF529" s="284"/>
      <c r="AG529" s="284"/>
      <c r="AH529" s="284"/>
      <c r="AI529" s="284"/>
      <c r="AJ529" s="284"/>
      <c r="AK529" s="284"/>
    </row>
    <row r="530" spans="1:37" ht="12.75" customHeight="1" x14ac:dyDescent="0.45">
      <c r="A530" s="284"/>
      <c r="B530" s="331"/>
      <c r="C530" s="284"/>
      <c r="D530" s="284"/>
      <c r="E530" s="332"/>
      <c r="F530" s="284"/>
      <c r="G530" s="284"/>
      <c r="H530" s="284"/>
      <c r="I530" s="284"/>
      <c r="J530" s="284"/>
      <c r="K530" s="284"/>
      <c r="L530" s="284"/>
      <c r="M530" s="284"/>
      <c r="N530" s="333"/>
      <c r="O530" s="284"/>
      <c r="P530" s="284"/>
      <c r="Q530" s="284"/>
      <c r="R530" s="284"/>
      <c r="S530" s="284"/>
      <c r="T530" s="284"/>
      <c r="U530" s="284"/>
      <c r="V530" s="284"/>
      <c r="W530" s="284"/>
      <c r="X530" s="284"/>
      <c r="Y530" s="284"/>
      <c r="Z530" s="284"/>
      <c r="AA530" s="284"/>
      <c r="AB530" s="284"/>
      <c r="AC530" s="284"/>
      <c r="AD530" s="284"/>
      <c r="AE530" s="284"/>
      <c r="AF530" s="284"/>
      <c r="AG530" s="284"/>
      <c r="AH530" s="284"/>
      <c r="AI530" s="284"/>
      <c r="AJ530" s="284"/>
      <c r="AK530" s="284"/>
    </row>
    <row r="531" spans="1:37" ht="12.75" customHeight="1" x14ac:dyDescent="0.45">
      <c r="A531" s="284"/>
      <c r="B531" s="331"/>
      <c r="C531" s="284"/>
      <c r="D531" s="284"/>
      <c r="E531" s="332"/>
      <c r="F531" s="284"/>
      <c r="G531" s="284"/>
      <c r="H531" s="284"/>
      <c r="I531" s="284"/>
      <c r="J531" s="284"/>
      <c r="K531" s="284"/>
      <c r="L531" s="284"/>
      <c r="M531" s="284"/>
      <c r="N531" s="333"/>
      <c r="O531" s="284"/>
      <c r="P531" s="284"/>
      <c r="Q531" s="284"/>
      <c r="R531" s="284"/>
      <c r="S531" s="284"/>
      <c r="T531" s="284"/>
      <c r="U531" s="284"/>
      <c r="V531" s="284"/>
      <c r="W531" s="284"/>
      <c r="X531" s="284"/>
      <c r="Y531" s="284"/>
      <c r="Z531" s="284"/>
      <c r="AA531" s="284"/>
      <c r="AB531" s="284"/>
      <c r="AC531" s="284"/>
      <c r="AD531" s="284"/>
      <c r="AE531" s="284"/>
      <c r="AF531" s="284"/>
      <c r="AG531" s="284"/>
      <c r="AH531" s="284"/>
      <c r="AI531" s="284"/>
      <c r="AJ531" s="284"/>
      <c r="AK531" s="284"/>
    </row>
    <row r="532" spans="1:37" ht="12.75" customHeight="1" x14ac:dyDescent="0.45">
      <c r="A532" s="284"/>
      <c r="B532" s="331"/>
      <c r="C532" s="284"/>
      <c r="D532" s="284"/>
      <c r="E532" s="332"/>
      <c r="F532" s="284"/>
      <c r="G532" s="284"/>
      <c r="H532" s="284"/>
      <c r="I532" s="284"/>
      <c r="J532" s="284"/>
      <c r="K532" s="284"/>
      <c r="L532" s="284"/>
      <c r="M532" s="284"/>
      <c r="N532" s="333"/>
      <c r="O532" s="284"/>
      <c r="P532" s="284"/>
      <c r="Q532" s="284"/>
      <c r="R532" s="284"/>
      <c r="S532" s="284"/>
      <c r="T532" s="284"/>
      <c r="U532" s="284"/>
      <c r="V532" s="284"/>
      <c r="W532" s="284"/>
      <c r="X532" s="284"/>
      <c r="Y532" s="284"/>
      <c r="Z532" s="284"/>
      <c r="AA532" s="284"/>
      <c r="AB532" s="284"/>
      <c r="AC532" s="284"/>
      <c r="AD532" s="284"/>
      <c r="AE532" s="284"/>
      <c r="AF532" s="284"/>
      <c r="AG532" s="284"/>
      <c r="AH532" s="284"/>
      <c r="AI532" s="284"/>
      <c r="AJ532" s="284"/>
      <c r="AK532" s="284"/>
    </row>
    <row r="533" spans="1:37" ht="12.75" customHeight="1" x14ac:dyDescent="0.45">
      <c r="A533" s="284"/>
      <c r="B533" s="331"/>
      <c r="C533" s="284"/>
      <c r="D533" s="284"/>
      <c r="E533" s="332"/>
      <c r="F533" s="284"/>
      <c r="G533" s="284"/>
      <c r="H533" s="284"/>
      <c r="I533" s="284"/>
      <c r="J533" s="284"/>
      <c r="K533" s="284"/>
      <c r="L533" s="284"/>
      <c r="M533" s="284"/>
      <c r="N533" s="333"/>
      <c r="O533" s="284"/>
      <c r="P533" s="284"/>
      <c r="Q533" s="284"/>
      <c r="R533" s="284"/>
      <c r="S533" s="284"/>
      <c r="T533" s="284"/>
      <c r="U533" s="284"/>
      <c r="V533" s="284"/>
      <c r="W533" s="284"/>
      <c r="X533" s="284"/>
      <c r="Y533" s="284"/>
      <c r="Z533" s="284"/>
      <c r="AA533" s="284"/>
      <c r="AB533" s="284"/>
      <c r="AC533" s="284"/>
      <c r="AD533" s="284"/>
      <c r="AE533" s="284"/>
      <c r="AF533" s="284"/>
      <c r="AG533" s="284"/>
      <c r="AH533" s="284"/>
      <c r="AI533" s="284"/>
      <c r="AJ533" s="284"/>
      <c r="AK533" s="284"/>
    </row>
    <row r="534" spans="1:37" ht="12.75" customHeight="1" x14ac:dyDescent="0.45">
      <c r="A534" s="284"/>
      <c r="B534" s="331"/>
      <c r="C534" s="284"/>
      <c r="D534" s="284"/>
      <c r="E534" s="332"/>
      <c r="F534" s="284"/>
      <c r="G534" s="284"/>
      <c r="H534" s="284"/>
      <c r="I534" s="284"/>
      <c r="J534" s="284"/>
      <c r="K534" s="284"/>
      <c r="L534" s="284"/>
      <c r="M534" s="284"/>
      <c r="N534" s="333"/>
      <c r="O534" s="284"/>
      <c r="P534" s="284"/>
      <c r="Q534" s="284"/>
      <c r="R534" s="284"/>
      <c r="S534" s="284"/>
      <c r="T534" s="284"/>
      <c r="U534" s="284"/>
      <c r="V534" s="284"/>
      <c r="W534" s="284"/>
      <c r="X534" s="284"/>
      <c r="Y534" s="284"/>
      <c r="Z534" s="284"/>
      <c r="AA534" s="284"/>
      <c r="AB534" s="284"/>
      <c r="AC534" s="284"/>
      <c r="AD534" s="284"/>
      <c r="AE534" s="284"/>
      <c r="AF534" s="284"/>
      <c r="AG534" s="284"/>
      <c r="AH534" s="284"/>
      <c r="AI534" s="284"/>
      <c r="AJ534" s="284"/>
      <c r="AK534" s="284"/>
    </row>
    <row r="535" spans="1:37" ht="12.75" customHeight="1" x14ac:dyDescent="0.45">
      <c r="A535" s="284"/>
      <c r="B535" s="331"/>
      <c r="C535" s="284"/>
      <c r="D535" s="284"/>
      <c r="E535" s="332"/>
      <c r="F535" s="284"/>
      <c r="G535" s="284"/>
      <c r="H535" s="284"/>
      <c r="I535" s="284"/>
      <c r="J535" s="284"/>
      <c r="K535" s="284"/>
      <c r="L535" s="284"/>
      <c r="M535" s="284"/>
      <c r="N535" s="333"/>
      <c r="O535" s="284"/>
      <c r="P535" s="284"/>
      <c r="Q535" s="284"/>
      <c r="R535" s="284"/>
      <c r="S535" s="284"/>
      <c r="T535" s="284"/>
      <c r="U535" s="284"/>
      <c r="V535" s="284"/>
      <c r="W535" s="284"/>
      <c r="X535" s="284"/>
      <c r="Y535" s="284"/>
      <c r="Z535" s="284"/>
      <c r="AA535" s="284"/>
      <c r="AB535" s="284"/>
      <c r="AC535" s="284"/>
      <c r="AD535" s="284"/>
      <c r="AE535" s="284"/>
      <c r="AF535" s="284"/>
      <c r="AG535" s="284"/>
      <c r="AH535" s="284"/>
      <c r="AI535" s="284"/>
      <c r="AJ535" s="284"/>
      <c r="AK535" s="284"/>
    </row>
    <row r="536" spans="1:37" ht="12.75" customHeight="1" x14ac:dyDescent="0.45">
      <c r="A536" s="284"/>
      <c r="B536" s="331"/>
      <c r="C536" s="284"/>
      <c r="D536" s="284"/>
      <c r="E536" s="332"/>
      <c r="F536" s="284"/>
      <c r="G536" s="284"/>
      <c r="H536" s="284"/>
      <c r="I536" s="284"/>
      <c r="J536" s="284"/>
      <c r="K536" s="284"/>
      <c r="L536" s="284"/>
      <c r="M536" s="284"/>
      <c r="N536" s="333"/>
      <c r="O536" s="284"/>
      <c r="P536" s="284"/>
      <c r="Q536" s="284"/>
      <c r="R536" s="284"/>
      <c r="S536" s="284"/>
      <c r="T536" s="284"/>
      <c r="U536" s="284"/>
      <c r="V536" s="284"/>
      <c r="W536" s="284"/>
      <c r="X536" s="284"/>
      <c r="Y536" s="284"/>
      <c r="Z536" s="284"/>
      <c r="AA536" s="284"/>
      <c r="AB536" s="284"/>
      <c r="AC536" s="284"/>
      <c r="AD536" s="284"/>
      <c r="AE536" s="284"/>
      <c r="AF536" s="284"/>
      <c r="AG536" s="284"/>
      <c r="AH536" s="284"/>
      <c r="AI536" s="284"/>
      <c r="AJ536" s="284"/>
      <c r="AK536" s="284"/>
    </row>
    <row r="537" spans="1:37" ht="12.75" customHeight="1" x14ac:dyDescent="0.45">
      <c r="A537" s="284"/>
      <c r="B537" s="331"/>
      <c r="C537" s="284"/>
      <c r="D537" s="284"/>
      <c r="E537" s="332"/>
      <c r="F537" s="284"/>
      <c r="G537" s="284"/>
      <c r="H537" s="284"/>
      <c r="I537" s="284"/>
      <c r="J537" s="284"/>
      <c r="K537" s="284"/>
      <c r="L537" s="284"/>
      <c r="M537" s="284"/>
      <c r="N537" s="333"/>
      <c r="O537" s="284"/>
      <c r="P537" s="284"/>
      <c r="Q537" s="284"/>
      <c r="R537" s="284"/>
      <c r="S537" s="284"/>
      <c r="T537" s="284"/>
      <c r="U537" s="284"/>
      <c r="V537" s="284"/>
      <c r="W537" s="284"/>
      <c r="X537" s="284"/>
      <c r="Y537" s="284"/>
      <c r="Z537" s="284"/>
      <c r="AA537" s="284"/>
      <c r="AB537" s="284"/>
      <c r="AC537" s="284"/>
      <c r="AD537" s="284"/>
      <c r="AE537" s="284"/>
      <c r="AF537" s="284"/>
      <c r="AG537" s="284"/>
      <c r="AH537" s="284"/>
      <c r="AI537" s="284"/>
      <c r="AJ537" s="284"/>
      <c r="AK537" s="284"/>
    </row>
    <row r="538" spans="1:37" ht="12.75" customHeight="1" x14ac:dyDescent="0.45">
      <c r="A538" s="284"/>
      <c r="B538" s="331"/>
      <c r="C538" s="284"/>
      <c r="D538" s="284"/>
      <c r="E538" s="332"/>
      <c r="F538" s="284"/>
      <c r="G538" s="284"/>
      <c r="H538" s="284"/>
      <c r="I538" s="284"/>
      <c r="J538" s="284"/>
      <c r="K538" s="284"/>
      <c r="L538" s="284"/>
      <c r="M538" s="284"/>
      <c r="N538" s="333"/>
      <c r="O538" s="284"/>
      <c r="P538" s="284"/>
      <c r="Q538" s="284"/>
      <c r="R538" s="284"/>
      <c r="S538" s="284"/>
      <c r="T538" s="284"/>
      <c r="U538" s="284"/>
      <c r="V538" s="284"/>
      <c r="W538" s="284"/>
      <c r="X538" s="284"/>
      <c r="Y538" s="284"/>
      <c r="Z538" s="284"/>
      <c r="AA538" s="284"/>
      <c r="AB538" s="284"/>
      <c r="AC538" s="284"/>
      <c r="AD538" s="284"/>
      <c r="AE538" s="284"/>
      <c r="AF538" s="284"/>
      <c r="AG538" s="284"/>
      <c r="AH538" s="284"/>
      <c r="AI538" s="284"/>
      <c r="AJ538" s="284"/>
      <c r="AK538" s="284"/>
    </row>
    <row r="539" spans="1:37" ht="12.75" customHeight="1" x14ac:dyDescent="0.45">
      <c r="A539" s="284"/>
      <c r="B539" s="331"/>
      <c r="C539" s="284"/>
      <c r="D539" s="284"/>
      <c r="E539" s="332"/>
      <c r="F539" s="284"/>
      <c r="G539" s="284"/>
      <c r="H539" s="284"/>
      <c r="I539" s="284"/>
      <c r="J539" s="284"/>
      <c r="K539" s="284"/>
      <c r="L539" s="284"/>
      <c r="M539" s="284"/>
      <c r="N539" s="333"/>
      <c r="O539" s="284"/>
      <c r="P539" s="284"/>
      <c r="Q539" s="284"/>
      <c r="R539" s="284"/>
      <c r="S539" s="284"/>
      <c r="T539" s="284"/>
      <c r="U539" s="284"/>
      <c r="V539" s="284"/>
      <c r="W539" s="284"/>
      <c r="X539" s="284"/>
      <c r="Y539" s="284"/>
      <c r="Z539" s="284"/>
      <c r="AA539" s="284"/>
      <c r="AB539" s="284"/>
      <c r="AC539" s="284"/>
      <c r="AD539" s="284"/>
      <c r="AE539" s="284"/>
      <c r="AF539" s="284"/>
      <c r="AG539" s="284"/>
      <c r="AH539" s="284"/>
      <c r="AI539" s="284"/>
      <c r="AJ539" s="284"/>
      <c r="AK539" s="284"/>
    </row>
    <row r="540" spans="1:37" ht="12.75" customHeight="1" x14ac:dyDescent="0.45">
      <c r="A540" s="284"/>
      <c r="B540" s="331"/>
      <c r="C540" s="284"/>
      <c r="D540" s="284"/>
      <c r="E540" s="332"/>
      <c r="F540" s="284"/>
      <c r="G540" s="284"/>
      <c r="H540" s="284"/>
      <c r="I540" s="284"/>
      <c r="J540" s="284"/>
      <c r="K540" s="284"/>
      <c r="L540" s="284"/>
      <c r="M540" s="284"/>
      <c r="N540" s="333"/>
      <c r="O540" s="284"/>
      <c r="P540" s="284"/>
      <c r="Q540" s="284"/>
      <c r="R540" s="284"/>
      <c r="S540" s="284"/>
      <c r="T540" s="284"/>
      <c r="U540" s="284"/>
      <c r="V540" s="284"/>
      <c r="W540" s="284"/>
      <c r="X540" s="284"/>
      <c r="Y540" s="284"/>
      <c r="Z540" s="284"/>
      <c r="AA540" s="284"/>
      <c r="AB540" s="284"/>
      <c r="AC540" s="284"/>
      <c r="AD540" s="284"/>
      <c r="AE540" s="284"/>
      <c r="AF540" s="284"/>
      <c r="AG540" s="284"/>
      <c r="AH540" s="284"/>
      <c r="AI540" s="284"/>
      <c r="AJ540" s="284"/>
      <c r="AK540" s="284"/>
    </row>
    <row r="541" spans="1:37" ht="12.75" customHeight="1" x14ac:dyDescent="0.45">
      <c r="A541" s="284"/>
      <c r="B541" s="331"/>
      <c r="C541" s="284"/>
      <c r="D541" s="284"/>
      <c r="E541" s="332"/>
      <c r="F541" s="284"/>
      <c r="G541" s="284"/>
      <c r="H541" s="284"/>
      <c r="I541" s="284"/>
      <c r="J541" s="284"/>
      <c r="K541" s="284"/>
      <c r="L541" s="284"/>
      <c r="M541" s="284"/>
      <c r="N541" s="333"/>
      <c r="O541" s="284"/>
      <c r="P541" s="284"/>
      <c r="Q541" s="284"/>
      <c r="R541" s="284"/>
      <c r="S541" s="284"/>
      <c r="T541" s="284"/>
      <c r="U541" s="284"/>
      <c r="V541" s="284"/>
      <c r="W541" s="284"/>
      <c r="X541" s="284"/>
      <c r="Y541" s="284"/>
      <c r="Z541" s="284"/>
      <c r="AA541" s="284"/>
      <c r="AB541" s="284"/>
      <c r="AC541" s="284"/>
      <c r="AD541" s="284"/>
      <c r="AE541" s="284"/>
      <c r="AF541" s="284"/>
      <c r="AG541" s="284"/>
      <c r="AH541" s="284"/>
      <c r="AI541" s="284"/>
      <c r="AJ541" s="284"/>
      <c r="AK541" s="284"/>
    </row>
    <row r="542" spans="1:37" ht="12.75" customHeight="1" x14ac:dyDescent="0.45">
      <c r="A542" s="284"/>
      <c r="B542" s="331"/>
      <c r="C542" s="284"/>
      <c r="D542" s="284"/>
      <c r="E542" s="332"/>
      <c r="F542" s="284"/>
      <c r="G542" s="284"/>
      <c r="H542" s="284"/>
      <c r="I542" s="284"/>
      <c r="J542" s="284"/>
      <c r="K542" s="284"/>
      <c r="L542" s="284"/>
      <c r="M542" s="284"/>
      <c r="N542" s="333"/>
      <c r="O542" s="284"/>
      <c r="P542" s="284"/>
      <c r="Q542" s="284"/>
      <c r="R542" s="284"/>
      <c r="S542" s="284"/>
      <c r="T542" s="284"/>
      <c r="U542" s="284"/>
      <c r="V542" s="284"/>
      <c r="W542" s="284"/>
      <c r="X542" s="284"/>
      <c r="Y542" s="284"/>
      <c r="Z542" s="284"/>
      <c r="AA542" s="284"/>
      <c r="AB542" s="284"/>
      <c r="AC542" s="284"/>
      <c r="AD542" s="284"/>
      <c r="AE542" s="284"/>
      <c r="AF542" s="284"/>
      <c r="AG542" s="284"/>
      <c r="AH542" s="284"/>
      <c r="AI542" s="284"/>
      <c r="AJ542" s="284"/>
      <c r="AK542" s="284"/>
    </row>
    <row r="543" spans="1:37" ht="12.75" customHeight="1" x14ac:dyDescent="0.45">
      <c r="A543" s="284"/>
      <c r="B543" s="331"/>
      <c r="C543" s="284"/>
      <c r="D543" s="284"/>
      <c r="E543" s="332"/>
      <c r="F543" s="284"/>
      <c r="G543" s="284"/>
      <c r="H543" s="284"/>
      <c r="I543" s="284"/>
      <c r="J543" s="284"/>
      <c r="K543" s="284"/>
      <c r="L543" s="284"/>
      <c r="M543" s="284"/>
      <c r="N543" s="333"/>
      <c r="O543" s="284"/>
      <c r="P543" s="284"/>
      <c r="Q543" s="284"/>
      <c r="R543" s="284"/>
      <c r="S543" s="284"/>
      <c r="T543" s="284"/>
      <c r="U543" s="284"/>
      <c r="V543" s="284"/>
      <c r="W543" s="284"/>
      <c r="X543" s="284"/>
      <c r="Y543" s="284"/>
      <c r="Z543" s="284"/>
      <c r="AA543" s="284"/>
      <c r="AB543" s="284"/>
      <c r="AC543" s="284"/>
      <c r="AD543" s="284"/>
      <c r="AE543" s="284"/>
      <c r="AF543" s="284"/>
      <c r="AG543" s="284"/>
      <c r="AH543" s="284"/>
      <c r="AI543" s="284"/>
      <c r="AJ543" s="284"/>
      <c r="AK543" s="284"/>
    </row>
    <row r="544" spans="1:37" ht="12.75" customHeight="1" x14ac:dyDescent="0.45">
      <c r="A544" s="284"/>
      <c r="B544" s="331"/>
      <c r="C544" s="284"/>
      <c r="D544" s="284"/>
      <c r="E544" s="332"/>
      <c r="F544" s="284"/>
      <c r="G544" s="284"/>
      <c r="H544" s="284"/>
      <c r="I544" s="284"/>
      <c r="J544" s="284"/>
      <c r="K544" s="284"/>
      <c r="L544" s="284"/>
      <c r="M544" s="284"/>
      <c r="N544" s="333"/>
      <c r="O544" s="284"/>
      <c r="P544" s="284"/>
      <c r="Q544" s="284"/>
      <c r="R544" s="284"/>
      <c r="S544" s="284"/>
      <c r="T544" s="284"/>
      <c r="U544" s="284"/>
      <c r="V544" s="284"/>
      <c r="W544" s="284"/>
      <c r="X544" s="284"/>
      <c r="Y544" s="284"/>
      <c r="Z544" s="284"/>
      <c r="AA544" s="284"/>
      <c r="AB544" s="284"/>
      <c r="AC544" s="284"/>
      <c r="AD544" s="284"/>
      <c r="AE544" s="284"/>
      <c r="AF544" s="284"/>
      <c r="AG544" s="284"/>
      <c r="AH544" s="284"/>
      <c r="AI544" s="284"/>
      <c r="AJ544" s="284"/>
      <c r="AK544" s="284"/>
    </row>
    <row r="545" spans="1:37" ht="12.75" customHeight="1" x14ac:dyDescent="0.45">
      <c r="A545" s="284"/>
      <c r="B545" s="331"/>
      <c r="C545" s="284"/>
      <c r="D545" s="284"/>
      <c r="E545" s="332"/>
      <c r="F545" s="284"/>
      <c r="G545" s="284"/>
      <c r="H545" s="284"/>
      <c r="I545" s="284"/>
      <c r="J545" s="284"/>
      <c r="K545" s="284"/>
      <c r="L545" s="284"/>
      <c r="M545" s="284"/>
      <c r="N545" s="333"/>
      <c r="O545" s="284"/>
      <c r="P545" s="284"/>
      <c r="Q545" s="284"/>
      <c r="R545" s="284"/>
      <c r="S545" s="284"/>
      <c r="T545" s="284"/>
      <c r="U545" s="284"/>
      <c r="V545" s="284"/>
      <c r="W545" s="284"/>
      <c r="X545" s="284"/>
      <c r="Y545" s="284"/>
      <c r="Z545" s="284"/>
      <c r="AA545" s="284"/>
      <c r="AB545" s="284"/>
      <c r="AC545" s="284"/>
      <c r="AD545" s="284"/>
      <c r="AE545" s="284"/>
      <c r="AF545" s="284"/>
      <c r="AG545" s="284"/>
      <c r="AH545" s="284"/>
      <c r="AI545" s="284"/>
      <c r="AJ545" s="284"/>
      <c r="AK545" s="284"/>
    </row>
    <row r="546" spans="1:37" ht="12.75" customHeight="1" x14ac:dyDescent="0.45">
      <c r="A546" s="284"/>
      <c r="B546" s="331"/>
      <c r="C546" s="284"/>
      <c r="D546" s="284"/>
      <c r="E546" s="332"/>
      <c r="F546" s="284"/>
      <c r="G546" s="284"/>
      <c r="H546" s="284"/>
      <c r="I546" s="284"/>
      <c r="J546" s="284"/>
      <c r="K546" s="284"/>
      <c r="L546" s="284"/>
      <c r="M546" s="284"/>
      <c r="N546" s="333"/>
      <c r="O546" s="284"/>
      <c r="P546" s="284"/>
      <c r="Q546" s="284"/>
      <c r="R546" s="284"/>
      <c r="S546" s="284"/>
      <c r="T546" s="284"/>
      <c r="U546" s="284"/>
      <c r="V546" s="284"/>
      <c r="W546" s="284"/>
      <c r="X546" s="284"/>
      <c r="Y546" s="284"/>
      <c r="Z546" s="284"/>
      <c r="AA546" s="284"/>
      <c r="AB546" s="284"/>
      <c r="AC546" s="284"/>
      <c r="AD546" s="284"/>
      <c r="AE546" s="284"/>
      <c r="AF546" s="284"/>
      <c r="AG546" s="284"/>
      <c r="AH546" s="284"/>
      <c r="AI546" s="284"/>
      <c r="AJ546" s="284"/>
      <c r="AK546" s="284"/>
    </row>
    <row r="547" spans="1:37" ht="12.75" customHeight="1" x14ac:dyDescent="0.45">
      <c r="A547" s="284"/>
      <c r="B547" s="331"/>
      <c r="C547" s="284"/>
      <c r="D547" s="284"/>
      <c r="E547" s="332"/>
      <c r="F547" s="284"/>
      <c r="G547" s="284"/>
      <c r="H547" s="284"/>
      <c r="I547" s="284"/>
      <c r="J547" s="284"/>
      <c r="K547" s="284"/>
      <c r="L547" s="284"/>
      <c r="M547" s="284"/>
      <c r="N547" s="333"/>
      <c r="O547" s="284"/>
      <c r="P547" s="284"/>
      <c r="Q547" s="284"/>
      <c r="R547" s="284"/>
      <c r="S547" s="284"/>
      <c r="T547" s="284"/>
      <c r="U547" s="284"/>
      <c r="V547" s="284"/>
      <c r="W547" s="284"/>
      <c r="X547" s="284"/>
      <c r="Y547" s="284"/>
      <c r="Z547" s="284"/>
      <c r="AA547" s="284"/>
      <c r="AB547" s="284"/>
      <c r="AC547" s="284"/>
      <c r="AD547" s="284"/>
      <c r="AE547" s="284"/>
      <c r="AF547" s="284"/>
      <c r="AG547" s="284"/>
      <c r="AH547" s="284"/>
      <c r="AI547" s="284"/>
      <c r="AJ547" s="284"/>
      <c r="AK547" s="284"/>
    </row>
    <row r="548" spans="1:37" ht="12.75" customHeight="1" x14ac:dyDescent="0.45">
      <c r="A548" s="284"/>
      <c r="B548" s="331"/>
      <c r="C548" s="284"/>
      <c r="D548" s="284"/>
      <c r="E548" s="332"/>
      <c r="F548" s="284"/>
      <c r="G548" s="284"/>
      <c r="H548" s="284"/>
      <c r="I548" s="284"/>
      <c r="J548" s="284"/>
      <c r="K548" s="284"/>
      <c r="L548" s="284"/>
      <c r="M548" s="284"/>
      <c r="N548" s="333"/>
      <c r="O548" s="284"/>
      <c r="P548" s="284"/>
      <c r="Q548" s="284"/>
      <c r="R548" s="284"/>
      <c r="S548" s="284"/>
      <c r="T548" s="284"/>
      <c r="U548" s="284"/>
      <c r="V548" s="284"/>
      <c r="W548" s="284"/>
      <c r="X548" s="284"/>
      <c r="Y548" s="284"/>
      <c r="Z548" s="284"/>
      <c r="AA548" s="284"/>
      <c r="AB548" s="284"/>
      <c r="AC548" s="284"/>
      <c r="AD548" s="284"/>
      <c r="AE548" s="284"/>
      <c r="AF548" s="284"/>
      <c r="AG548" s="284"/>
      <c r="AH548" s="284"/>
      <c r="AI548" s="284"/>
      <c r="AJ548" s="284"/>
      <c r="AK548" s="284"/>
    </row>
    <row r="549" spans="1:37" ht="12.75" customHeight="1" x14ac:dyDescent="0.45">
      <c r="A549" s="284"/>
      <c r="B549" s="331"/>
      <c r="C549" s="284"/>
      <c r="D549" s="284"/>
      <c r="E549" s="332"/>
      <c r="F549" s="284"/>
      <c r="G549" s="284"/>
      <c r="H549" s="284"/>
      <c r="I549" s="284"/>
      <c r="J549" s="284"/>
      <c r="K549" s="284"/>
      <c r="L549" s="284"/>
      <c r="M549" s="284"/>
      <c r="N549" s="333"/>
      <c r="O549" s="284"/>
      <c r="P549" s="284"/>
      <c r="Q549" s="284"/>
      <c r="R549" s="284"/>
      <c r="S549" s="284"/>
      <c r="T549" s="284"/>
      <c r="U549" s="284"/>
      <c r="V549" s="284"/>
      <c r="W549" s="284"/>
      <c r="X549" s="284"/>
      <c r="Y549" s="284"/>
      <c r="Z549" s="284"/>
      <c r="AA549" s="284"/>
      <c r="AB549" s="284"/>
      <c r="AC549" s="284"/>
      <c r="AD549" s="284"/>
      <c r="AE549" s="284"/>
      <c r="AF549" s="284"/>
      <c r="AG549" s="284"/>
      <c r="AH549" s="284"/>
      <c r="AI549" s="284"/>
      <c r="AJ549" s="284"/>
      <c r="AK549" s="284"/>
    </row>
    <row r="550" spans="1:37" ht="12.75" customHeight="1" x14ac:dyDescent="0.45">
      <c r="A550" s="284"/>
      <c r="B550" s="331"/>
      <c r="C550" s="284"/>
      <c r="D550" s="284"/>
      <c r="E550" s="332"/>
      <c r="F550" s="284"/>
      <c r="G550" s="284"/>
      <c r="H550" s="284"/>
      <c r="I550" s="284"/>
      <c r="J550" s="284"/>
      <c r="K550" s="284"/>
      <c r="L550" s="284"/>
      <c r="M550" s="284"/>
      <c r="N550" s="333"/>
      <c r="O550" s="284"/>
      <c r="P550" s="284"/>
      <c r="Q550" s="284"/>
      <c r="R550" s="284"/>
      <c r="S550" s="284"/>
      <c r="T550" s="284"/>
      <c r="U550" s="284"/>
      <c r="V550" s="284"/>
      <c r="W550" s="284"/>
      <c r="X550" s="284"/>
      <c r="Y550" s="284"/>
      <c r="Z550" s="284"/>
      <c r="AA550" s="284"/>
      <c r="AB550" s="284"/>
      <c r="AC550" s="284"/>
      <c r="AD550" s="284"/>
      <c r="AE550" s="284"/>
      <c r="AF550" s="284"/>
      <c r="AG550" s="284"/>
      <c r="AH550" s="284"/>
      <c r="AI550" s="284"/>
      <c r="AJ550" s="284"/>
      <c r="AK550" s="284"/>
    </row>
    <row r="551" spans="1:37" ht="12.75" customHeight="1" x14ac:dyDescent="0.45">
      <c r="A551" s="284"/>
      <c r="B551" s="331"/>
      <c r="C551" s="284"/>
      <c r="D551" s="284"/>
      <c r="E551" s="332"/>
      <c r="F551" s="284"/>
      <c r="G551" s="284"/>
      <c r="H551" s="284"/>
      <c r="I551" s="284"/>
      <c r="J551" s="284"/>
      <c r="K551" s="284"/>
      <c r="L551" s="284"/>
      <c r="M551" s="284"/>
      <c r="N551" s="333"/>
      <c r="O551" s="284"/>
      <c r="P551" s="284"/>
      <c r="Q551" s="284"/>
      <c r="R551" s="284"/>
      <c r="S551" s="284"/>
      <c r="T551" s="284"/>
      <c r="U551" s="284"/>
      <c r="V551" s="284"/>
      <c r="W551" s="284"/>
      <c r="X551" s="284"/>
      <c r="Y551" s="284"/>
      <c r="Z551" s="284"/>
      <c r="AA551" s="284"/>
      <c r="AB551" s="284"/>
      <c r="AC551" s="284"/>
      <c r="AD551" s="284"/>
      <c r="AE551" s="284"/>
      <c r="AF551" s="284"/>
      <c r="AG551" s="284"/>
      <c r="AH551" s="284"/>
      <c r="AI551" s="284"/>
      <c r="AJ551" s="284"/>
      <c r="AK551" s="284"/>
    </row>
    <row r="552" spans="1:37" ht="12.75" customHeight="1" x14ac:dyDescent="0.45">
      <c r="A552" s="284"/>
      <c r="B552" s="331"/>
      <c r="C552" s="284"/>
      <c r="D552" s="284"/>
      <c r="E552" s="332"/>
      <c r="F552" s="284"/>
      <c r="G552" s="284"/>
      <c r="H552" s="284"/>
      <c r="I552" s="284"/>
      <c r="J552" s="284"/>
      <c r="K552" s="284"/>
      <c r="L552" s="284"/>
      <c r="M552" s="284"/>
      <c r="N552" s="333"/>
      <c r="O552" s="284"/>
      <c r="P552" s="284"/>
      <c r="Q552" s="284"/>
      <c r="R552" s="284"/>
      <c r="S552" s="284"/>
      <c r="T552" s="284"/>
      <c r="U552" s="284"/>
      <c r="V552" s="284"/>
      <c r="W552" s="284"/>
      <c r="X552" s="284"/>
      <c r="Y552" s="284"/>
      <c r="Z552" s="284"/>
      <c r="AA552" s="284"/>
      <c r="AB552" s="284"/>
      <c r="AC552" s="284"/>
      <c r="AD552" s="284"/>
      <c r="AE552" s="284"/>
      <c r="AF552" s="284"/>
      <c r="AG552" s="284"/>
      <c r="AH552" s="284"/>
      <c r="AI552" s="284"/>
      <c r="AJ552" s="284"/>
      <c r="AK552" s="284"/>
    </row>
    <row r="553" spans="1:37" ht="12.75" customHeight="1" x14ac:dyDescent="0.45">
      <c r="A553" s="284"/>
      <c r="B553" s="331"/>
      <c r="C553" s="284"/>
      <c r="D553" s="284"/>
      <c r="E553" s="332"/>
      <c r="F553" s="284"/>
      <c r="G553" s="284"/>
      <c r="H553" s="284"/>
      <c r="I553" s="284"/>
      <c r="J553" s="284"/>
      <c r="K553" s="284"/>
      <c r="L553" s="284"/>
      <c r="M553" s="284"/>
      <c r="N553" s="333"/>
      <c r="O553" s="284"/>
      <c r="P553" s="284"/>
      <c r="Q553" s="284"/>
      <c r="R553" s="284"/>
      <c r="S553" s="284"/>
      <c r="T553" s="284"/>
      <c r="U553" s="284"/>
      <c r="V553" s="284"/>
      <c r="W553" s="284"/>
      <c r="X553" s="284"/>
      <c r="Y553" s="284"/>
      <c r="Z553" s="284"/>
      <c r="AA553" s="284"/>
      <c r="AB553" s="284"/>
      <c r="AC553" s="284"/>
      <c r="AD553" s="284"/>
      <c r="AE553" s="284"/>
      <c r="AF553" s="284"/>
      <c r="AG553" s="284"/>
      <c r="AH553" s="284"/>
      <c r="AI553" s="284"/>
      <c r="AJ553" s="284"/>
      <c r="AK553" s="284"/>
    </row>
    <row r="554" spans="1:37" ht="12.75" customHeight="1" x14ac:dyDescent="0.45">
      <c r="A554" s="284"/>
      <c r="B554" s="331"/>
      <c r="C554" s="284"/>
      <c r="D554" s="284"/>
      <c r="E554" s="332"/>
      <c r="F554" s="284"/>
      <c r="G554" s="284"/>
      <c r="H554" s="284"/>
      <c r="I554" s="284"/>
      <c r="J554" s="284"/>
      <c r="K554" s="284"/>
      <c r="L554" s="284"/>
      <c r="M554" s="284"/>
      <c r="N554" s="333"/>
      <c r="O554" s="284"/>
      <c r="P554" s="284"/>
      <c r="Q554" s="284"/>
      <c r="R554" s="284"/>
      <c r="S554" s="284"/>
      <c r="T554" s="284"/>
      <c r="U554" s="284"/>
      <c r="V554" s="284"/>
      <c r="W554" s="284"/>
      <c r="X554" s="284"/>
      <c r="Y554" s="284"/>
      <c r="Z554" s="284"/>
      <c r="AA554" s="284"/>
      <c r="AB554" s="284"/>
      <c r="AC554" s="284"/>
      <c r="AD554" s="284"/>
      <c r="AE554" s="284"/>
      <c r="AF554" s="284"/>
      <c r="AG554" s="284"/>
      <c r="AH554" s="284"/>
      <c r="AI554" s="284"/>
      <c r="AJ554" s="284"/>
      <c r="AK554" s="284"/>
    </row>
    <row r="555" spans="1:37" ht="12.75" customHeight="1" x14ac:dyDescent="0.45">
      <c r="A555" s="284"/>
      <c r="B555" s="331"/>
      <c r="C555" s="284"/>
      <c r="D555" s="284"/>
      <c r="E555" s="332"/>
      <c r="F555" s="284"/>
      <c r="G555" s="284"/>
      <c r="H555" s="284"/>
      <c r="I555" s="284"/>
      <c r="J555" s="284"/>
      <c r="K555" s="284"/>
      <c r="L555" s="284"/>
      <c r="M555" s="284"/>
      <c r="N555" s="333"/>
      <c r="O555" s="284"/>
      <c r="P555" s="284"/>
      <c r="Q555" s="284"/>
      <c r="R555" s="284"/>
      <c r="S555" s="284"/>
      <c r="T555" s="284"/>
      <c r="U555" s="284"/>
      <c r="V555" s="284"/>
      <c r="W555" s="284"/>
      <c r="X555" s="284"/>
      <c r="Y555" s="284"/>
      <c r="Z555" s="284"/>
      <c r="AA555" s="284"/>
      <c r="AB555" s="284"/>
      <c r="AC555" s="284"/>
      <c r="AD555" s="284"/>
      <c r="AE555" s="284"/>
      <c r="AF555" s="284"/>
      <c r="AG555" s="284"/>
      <c r="AH555" s="284"/>
      <c r="AI555" s="284"/>
      <c r="AJ555" s="284"/>
      <c r="AK555" s="284"/>
    </row>
    <row r="556" spans="1:37" ht="12.75" customHeight="1" x14ac:dyDescent="0.45">
      <c r="A556" s="284"/>
      <c r="B556" s="331"/>
      <c r="C556" s="284"/>
      <c r="D556" s="284"/>
      <c r="E556" s="332"/>
      <c r="F556" s="284"/>
      <c r="G556" s="284"/>
      <c r="H556" s="284"/>
      <c r="I556" s="284"/>
      <c r="J556" s="284"/>
      <c r="K556" s="284"/>
      <c r="L556" s="284"/>
      <c r="M556" s="284"/>
      <c r="N556" s="333"/>
      <c r="O556" s="284"/>
      <c r="P556" s="284"/>
      <c r="Q556" s="284"/>
      <c r="R556" s="284"/>
      <c r="S556" s="284"/>
      <c r="T556" s="284"/>
      <c r="U556" s="284"/>
      <c r="V556" s="284"/>
      <c r="W556" s="284"/>
      <c r="X556" s="284"/>
      <c r="Y556" s="284"/>
      <c r="Z556" s="284"/>
      <c r="AA556" s="284"/>
      <c r="AB556" s="284"/>
      <c r="AC556" s="284"/>
      <c r="AD556" s="284"/>
      <c r="AE556" s="284"/>
      <c r="AF556" s="284"/>
      <c r="AG556" s="284"/>
      <c r="AH556" s="284"/>
      <c r="AI556" s="284"/>
      <c r="AJ556" s="284"/>
      <c r="AK556" s="284"/>
    </row>
    <row r="557" spans="1:37" ht="12.75" customHeight="1" x14ac:dyDescent="0.45">
      <c r="A557" s="284"/>
      <c r="B557" s="331"/>
      <c r="C557" s="284"/>
      <c r="D557" s="284"/>
      <c r="E557" s="332"/>
      <c r="F557" s="284"/>
      <c r="G557" s="284"/>
      <c r="H557" s="284"/>
      <c r="I557" s="284"/>
      <c r="J557" s="284"/>
      <c r="K557" s="284"/>
      <c r="L557" s="284"/>
      <c r="M557" s="284"/>
      <c r="N557" s="333"/>
      <c r="O557" s="284"/>
      <c r="P557" s="284"/>
      <c r="Q557" s="284"/>
      <c r="R557" s="284"/>
      <c r="S557" s="284"/>
      <c r="T557" s="284"/>
      <c r="U557" s="284"/>
      <c r="V557" s="284"/>
      <c r="W557" s="284"/>
      <c r="X557" s="284"/>
      <c r="Y557" s="284"/>
      <c r="Z557" s="284"/>
      <c r="AA557" s="284"/>
      <c r="AB557" s="284"/>
      <c r="AC557" s="284"/>
      <c r="AD557" s="284"/>
      <c r="AE557" s="284"/>
      <c r="AF557" s="284"/>
      <c r="AG557" s="284"/>
      <c r="AH557" s="284"/>
      <c r="AI557" s="284"/>
      <c r="AJ557" s="284"/>
      <c r="AK557" s="284"/>
    </row>
    <row r="558" spans="1:37" ht="12.75" customHeight="1" x14ac:dyDescent="0.45">
      <c r="A558" s="284"/>
      <c r="B558" s="331"/>
      <c r="C558" s="284"/>
      <c r="D558" s="284"/>
      <c r="E558" s="332"/>
      <c r="F558" s="284"/>
      <c r="G558" s="284"/>
      <c r="H558" s="284"/>
      <c r="I558" s="284"/>
      <c r="J558" s="284"/>
      <c r="K558" s="284"/>
      <c r="L558" s="284"/>
      <c r="M558" s="284"/>
      <c r="N558" s="333"/>
      <c r="O558" s="284"/>
      <c r="P558" s="284"/>
      <c r="Q558" s="284"/>
      <c r="R558" s="284"/>
      <c r="S558" s="284"/>
      <c r="T558" s="284"/>
      <c r="U558" s="284"/>
      <c r="V558" s="284"/>
      <c r="W558" s="284"/>
      <c r="X558" s="284"/>
      <c r="Y558" s="284"/>
      <c r="Z558" s="284"/>
      <c r="AA558" s="284"/>
      <c r="AB558" s="284"/>
      <c r="AC558" s="284"/>
      <c r="AD558" s="284"/>
      <c r="AE558" s="284"/>
      <c r="AF558" s="284"/>
      <c r="AG558" s="284"/>
      <c r="AH558" s="284"/>
      <c r="AI558" s="284"/>
      <c r="AJ558" s="284"/>
      <c r="AK558" s="284"/>
    </row>
    <row r="559" spans="1:37" ht="12.75" customHeight="1" x14ac:dyDescent="0.45">
      <c r="A559" s="284"/>
      <c r="B559" s="331"/>
      <c r="C559" s="284"/>
      <c r="D559" s="284"/>
      <c r="E559" s="332"/>
      <c r="F559" s="284"/>
      <c r="G559" s="284"/>
      <c r="H559" s="284"/>
      <c r="I559" s="284"/>
      <c r="J559" s="284"/>
      <c r="K559" s="284"/>
      <c r="L559" s="284"/>
      <c r="M559" s="284"/>
      <c r="N559" s="333"/>
      <c r="O559" s="284"/>
      <c r="P559" s="284"/>
      <c r="Q559" s="284"/>
      <c r="R559" s="284"/>
      <c r="S559" s="284"/>
      <c r="T559" s="284"/>
      <c r="U559" s="284"/>
      <c r="V559" s="284"/>
      <c r="W559" s="284"/>
      <c r="X559" s="284"/>
      <c r="Y559" s="284"/>
      <c r="Z559" s="284"/>
      <c r="AA559" s="284"/>
      <c r="AB559" s="284"/>
      <c r="AC559" s="284"/>
      <c r="AD559" s="284"/>
      <c r="AE559" s="284"/>
      <c r="AF559" s="284"/>
      <c r="AG559" s="284"/>
      <c r="AH559" s="284"/>
      <c r="AI559" s="284"/>
      <c r="AJ559" s="284"/>
      <c r="AK559" s="284"/>
    </row>
    <row r="560" spans="1:37" ht="12.75" customHeight="1" x14ac:dyDescent="0.45">
      <c r="A560" s="284"/>
      <c r="B560" s="331"/>
      <c r="C560" s="284"/>
      <c r="D560" s="284"/>
      <c r="E560" s="332"/>
      <c r="F560" s="284"/>
      <c r="G560" s="284"/>
      <c r="H560" s="284"/>
      <c r="I560" s="284"/>
      <c r="J560" s="284"/>
      <c r="K560" s="284"/>
      <c r="L560" s="284"/>
      <c r="M560" s="284"/>
      <c r="N560" s="333"/>
      <c r="O560" s="284"/>
      <c r="P560" s="284"/>
      <c r="Q560" s="284"/>
      <c r="R560" s="284"/>
      <c r="S560" s="284"/>
      <c r="T560" s="284"/>
      <c r="U560" s="284"/>
      <c r="V560" s="284"/>
      <c r="W560" s="284"/>
      <c r="X560" s="284"/>
      <c r="Y560" s="284"/>
      <c r="Z560" s="284"/>
      <c r="AA560" s="284"/>
      <c r="AB560" s="284"/>
      <c r="AC560" s="284"/>
      <c r="AD560" s="284"/>
      <c r="AE560" s="284"/>
      <c r="AF560" s="284"/>
      <c r="AG560" s="284"/>
      <c r="AH560" s="284"/>
      <c r="AI560" s="284"/>
      <c r="AJ560" s="284"/>
      <c r="AK560" s="284"/>
    </row>
    <row r="561" spans="1:37" ht="12.75" customHeight="1" x14ac:dyDescent="0.45">
      <c r="A561" s="284"/>
      <c r="B561" s="331"/>
      <c r="C561" s="284"/>
      <c r="D561" s="284"/>
      <c r="E561" s="332"/>
      <c r="F561" s="284"/>
      <c r="G561" s="284"/>
      <c r="H561" s="284"/>
      <c r="I561" s="284"/>
      <c r="J561" s="284"/>
      <c r="K561" s="284"/>
      <c r="L561" s="284"/>
      <c r="M561" s="284"/>
      <c r="N561" s="333"/>
      <c r="O561" s="284"/>
      <c r="P561" s="284"/>
      <c r="Q561" s="284"/>
      <c r="R561" s="284"/>
      <c r="S561" s="284"/>
      <c r="T561" s="284"/>
      <c r="U561" s="284"/>
      <c r="V561" s="284"/>
      <c r="W561" s="284"/>
      <c r="X561" s="284"/>
      <c r="Y561" s="284"/>
      <c r="Z561" s="284"/>
      <c r="AA561" s="284"/>
      <c r="AB561" s="284"/>
      <c r="AC561" s="284"/>
      <c r="AD561" s="284"/>
      <c r="AE561" s="284"/>
      <c r="AF561" s="284"/>
      <c r="AG561" s="284"/>
      <c r="AH561" s="284"/>
      <c r="AI561" s="284"/>
      <c r="AJ561" s="284"/>
      <c r="AK561" s="284"/>
    </row>
    <row r="562" spans="1:37" ht="12.75" customHeight="1" x14ac:dyDescent="0.45">
      <c r="A562" s="284"/>
      <c r="B562" s="331"/>
      <c r="C562" s="284"/>
      <c r="D562" s="284"/>
      <c r="E562" s="332"/>
      <c r="F562" s="284"/>
      <c r="G562" s="284"/>
      <c r="H562" s="284"/>
      <c r="I562" s="284"/>
      <c r="J562" s="284"/>
      <c r="K562" s="284"/>
      <c r="L562" s="284"/>
      <c r="M562" s="284"/>
      <c r="N562" s="333"/>
      <c r="O562" s="284"/>
      <c r="P562" s="284"/>
      <c r="Q562" s="284"/>
      <c r="R562" s="284"/>
      <c r="S562" s="284"/>
      <c r="T562" s="284"/>
      <c r="U562" s="284"/>
      <c r="V562" s="284"/>
      <c r="W562" s="284"/>
      <c r="X562" s="284"/>
      <c r="Y562" s="284"/>
      <c r="Z562" s="284"/>
      <c r="AA562" s="284"/>
      <c r="AB562" s="284"/>
      <c r="AC562" s="284"/>
      <c r="AD562" s="284"/>
      <c r="AE562" s="284"/>
      <c r="AF562" s="284"/>
      <c r="AG562" s="284"/>
      <c r="AH562" s="284"/>
      <c r="AI562" s="284"/>
      <c r="AJ562" s="284"/>
      <c r="AK562" s="284"/>
    </row>
    <row r="563" spans="1:37" ht="12.75" customHeight="1" x14ac:dyDescent="0.45">
      <c r="A563" s="284"/>
      <c r="B563" s="331"/>
      <c r="C563" s="284"/>
      <c r="D563" s="284"/>
      <c r="E563" s="332"/>
      <c r="F563" s="284"/>
      <c r="G563" s="284"/>
      <c r="H563" s="284"/>
      <c r="I563" s="284"/>
      <c r="J563" s="284"/>
      <c r="K563" s="284"/>
      <c r="L563" s="284"/>
      <c r="M563" s="284"/>
      <c r="N563" s="333"/>
      <c r="O563" s="284"/>
      <c r="P563" s="284"/>
      <c r="Q563" s="284"/>
      <c r="R563" s="284"/>
      <c r="S563" s="284"/>
      <c r="T563" s="284"/>
      <c r="U563" s="284"/>
      <c r="V563" s="284"/>
      <c r="W563" s="284"/>
      <c r="X563" s="284"/>
      <c r="Y563" s="284"/>
      <c r="Z563" s="284"/>
      <c r="AA563" s="284"/>
      <c r="AB563" s="284"/>
      <c r="AC563" s="284"/>
      <c r="AD563" s="284"/>
      <c r="AE563" s="284"/>
      <c r="AF563" s="284"/>
      <c r="AG563" s="284"/>
      <c r="AH563" s="284"/>
      <c r="AI563" s="284"/>
      <c r="AJ563" s="284"/>
      <c r="AK563" s="284"/>
    </row>
    <row r="564" spans="1:37" ht="12.75" customHeight="1" x14ac:dyDescent="0.45">
      <c r="A564" s="284"/>
      <c r="B564" s="331"/>
      <c r="C564" s="284"/>
      <c r="D564" s="284"/>
      <c r="E564" s="332"/>
      <c r="F564" s="284"/>
      <c r="G564" s="284"/>
      <c r="H564" s="284"/>
      <c r="I564" s="284"/>
      <c r="J564" s="284"/>
      <c r="K564" s="284"/>
      <c r="L564" s="284"/>
      <c r="M564" s="284"/>
      <c r="N564" s="333"/>
      <c r="O564" s="284"/>
      <c r="P564" s="284"/>
      <c r="Q564" s="284"/>
      <c r="R564" s="284"/>
      <c r="S564" s="284"/>
      <c r="T564" s="284"/>
      <c r="U564" s="284"/>
      <c r="V564" s="284"/>
      <c r="W564" s="284"/>
      <c r="X564" s="284"/>
      <c r="Y564" s="284"/>
      <c r="Z564" s="284"/>
      <c r="AA564" s="284"/>
      <c r="AB564" s="284"/>
      <c r="AC564" s="284"/>
      <c r="AD564" s="284"/>
      <c r="AE564" s="284"/>
      <c r="AF564" s="284"/>
      <c r="AG564" s="284"/>
      <c r="AH564" s="284"/>
      <c r="AI564" s="284"/>
      <c r="AJ564" s="284"/>
      <c r="AK564" s="284"/>
    </row>
    <row r="565" spans="1:37" ht="12.75" customHeight="1" x14ac:dyDescent="0.45">
      <c r="A565" s="284"/>
      <c r="B565" s="331"/>
      <c r="C565" s="284"/>
      <c r="D565" s="284"/>
      <c r="E565" s="332"/>
      <c r="F565" s="284"/>
      <c r="G565" s="284"/>
      <c r="H565" s="284"/>
      <c r="I565" s="284"/>
      <c r="J565" s="284"/>
      <c r="K565" s="284"/>
      <c r="L565" s="284"/>
      <c r="M565" s="284"/>
      <c r="N565" s="333"/>
      <c r="O565" s="284"/>
      <c r="P565" s="284"/>
      <c r="Q565" s="284"/>
      <c r="R565" s="284"/>
      <c r="S565" s="284"/>
      <c r="T565" s="284"/>
      <c r="U565" s="284"/>
      <c r="V565" s="284"/>
      <c r="W565" s="284"/>
      <c r="X565" s="284"/>
      <c r="Y565" s="284"/>
      <c r="Z565" s="284"/>
      <c r="AA565" s="284"/>
      <c r="AB565" s="284"/>
      <c r="AC565" s="284"/>
      <c r="AD565" s="284"/>
      <c r="AE565" s="284"/>
      <c r="AF565" s="284"/>
      <c r="AG565" s="284"/>
      <c r="AH565" s="284"/>
      <c r="AI565" s="284"/>
      <c r="AJ565" s="284"/>
      <c r="AK565" s="284"/>
    </row>
    <row r="566" spans="1:37" ht="12.75" customHeight="1" x14ac:dyDescent="0.45">
      <c r="A566" s="284"/>
      <c r="B566" s="331"/>
      <c r="C566" s="284"/>
      <c r="D566" s="284"/>
      <c r="E566" s="332"/>
      <c r="F566" s="284"/>
      <c r="G566" s="284"/>
      <c r="H566" s="284"/>
      <c r="I566" s="284"/>
      <c r="J566" s="284"/>
      <c r="K566" s="284"/>
      <c r="L566" s="284"/>
      <c r="M566" s="284"/>
      <c r="N566" s="333"/>
      <c r="O566" s="284"/>
      <c r="P566" s="284"/>
      <c r="Q566" s="284"/>
      <c r="R566" s="284"/>
      <c r="S566" s="284"/>
      <c r="T566" s="284"/>
      <c r="U566" s="284"/>
      <c r="V566" s="284"/>
      <c r="W566" s="284"/>
      <c r="X566" s="284"/>
      <c r="Y566" s="284"/>
      <c r="Z566" s="284"/>
      <c r="AA566" s="284"/>
      <c r="AB566" s="284"/>
      <c r="AC566" s="284"/>
      <c r="AD566" s="284"/>
      <c r="AE566" s="284"/>
      <c r="AF566" s="284"/>
      <c r="AG566" s="284"/>
      <c r="AH566" s="284"/>
      <c r="AI566" s="284"/>
      <c r="AJ566" s="284"/>
      <c r="AK566" s="284"/>
    </row>
    <row r="567" spans="1:37" ht="12.75" customHeight="1" x14ac:dyDescent="0.45">
      <c r="A567" s="284"/>
      <c r="B567" s="331"/>
      <c r="C567" s="284"/>
      <c r="D567" s="284"/>
      <c r="E567" s="332"/>
      <c r="F567" s="284"/>
      <c r="G567" s="284"/>
      <c r="H567" s="284"/>
      <c r="I567" s="284"/>
      <c r="J567" s="284"/>
      <c r="K567" s="284"/>
      <c r="L567" s="284"/>
      <c r="M567" s="284"/>
      <c r="N567" s="333"/>
      <c r="O567" s="284"/>
      <c r="P567" s="284"/>
      <c r="Q567" s="284"/>
      <c r="R567" s="284"/>
      <c r="S567" s="284"/>
      <c r="T567" s="284"/>
      <c r="U567" s="284"/>
      <c r="V567" s="284"/>
      <c r="W567" s="284"/>
      <c r="X567" s="284"/>
      <c r="Y567" s="284"/>
      <c r="Z567" s="284"/>
      <c r="AA567" s="284"/>
      <c r="AB567" s="284"/>
      <c r="AC567" s="284"/>
      <c r="AD567" s="284"/>
      <c r="AE567" s="284"/>
      <c r="AF567" s="284"/>
      <c r="AG567" s="284"/>
      <c r="AH567" s="284"/>
      <c r="AI567" s="284"/>
      <c r="AJ567" s="284"/>
      <c r="AK567" s="284"/>
    </row>
    <row r="568" spans="1:37" ht="12.75" customHeight="1" x14ac:dyDescent="0.45">
      <c r="A568" s="284"/>
      <c r="B568" s="331"/>
      <c r="C568" s="284"/>
      <c r="D568" s="284"/>
      <c r="E568" s="332"/>
      <c r="F568" s="284"/>
      <c r="G568" s="284"/>
      <c r="H568" s="284"/>
      <c r="I568" s="284"/>
      <c r="J568" s="284"/>
      <c r="K568" s="284"/>
      <c r="L568" s="284"/>
      <c r="M568" s="284"/>
      <c r="N568" s="333"/>
      <c r="O568" s="284"/>
      <c r="P568" s="284"/>
      <c r="Q568" s="284"/>
      <c r="R568" s="284"/>
      <c r="S568" s="284"/>
      <c r="T568" s="284"/>
      <c r="U568" s="284"/>
      <c r="V568" s="284"/>
      <c r="W568" s="284"/>
      <c r="X568" s="284"/>
      <c r="Y568" s="284"/>
      <c r="Z568" s="284"/>
      <c r="AA568" s="284"/>
      <c r="AB568" s="284"/>
      <c r="AC568" s="284"/>
      <c r="AD568" s="284"/>
      <c r="AE568" s="284"/>
      <c r="AF568" s="284"/>
      <c r="AG568" s="284"/>
      <c r="AH568" s="284"/>
      <c r="AI568" s="284"/>
      <c r="AJ568" s="284"/>
      <c r="AK568" s="284"/>
    </row>
    <row r="569" spans="1:37" ht="12.75" customHeight="1" x14ac:dyDescent="0.45">
      <c r="A569" s="284"/>
      <c r="B569" s="331"/>
      <c r="C569" s="284"/>
      <c r="D569" s="284"/>
      <c r="E569" s="332"/>
      <c r="F569" s="284"/>
      <c r="G569" s="284"/>
      <c r="H569" s="284"/>
      <c r="I569" s="284"/>
      <c r="J569" s="284"/>
      <c r="K569" s="284"/>
      <c r="L569" s="284"/>
      <c r="M569" s="284"/>
      <c r="N569" s="333"/>
      <c r="O569" s="284"/>
      <c r="P569" s="284"/>
      <c r="Q569" s="284"/>
      <c r="R569" s="284"/>
      <c r="S569" s="284"/>
      <c r="T569" s="284"/>
      <c r="U569" s="284"/>
      <c r="V569" s="284"/>
      <c r="W569" s="284"/>
      <c r="X569" s="284"/>
      <c r="Y569" s="284"/>
      <c r="Z569" s="284"/>
      <c r="AA569" s="284"/>
      <c r="AB569" s="284"/>
      <c r="AC569" s="284"/>
      <c r="AD569" s="284"/>
      <c r="AE569" s="284"/>
      <c r="AF569" s="284"/>
      <c r="AG569" s="284"/>
      <c r="AH569" s="284"/>
      <c r="AI569" s="284"/>
      <c r="AJ569" s="284"/>
      <c r="AK569" s="284"/>
    </row>
    <row r="570" spans="1:37" ht="12.75" customHeight="1" x14ac:dyDescent="0.45">
      <c r="A570" s="284"/>
      <c r="B570" s="331"/>
      <c r="C570" s="284"/>
      <c r="D570" s="284"/>
      <c r="E570" s="332"/>
      <c r="F570" s="284"/>
      <c r="G570" s="284"/>
      <c r="H570" s="284"/>
      <c r="I570" s="284"/>
      <c r="J570" s="284"/>
      <c r="K570" s="284"/>
      <c r="L570" s="284"/>
      <c r="M570" s="284"/>
      <c r="N570" s="333"/>
      <c r="O570" s="284"/>
      <c r="P570" s="284"/>
      <c r="Q570" s="284"/>
      <c r="R570" s="284"/>
      <c r="S570" s="284"/>
      <c r="T570" s="284"/>
      <c r="U570" s="284"/>
      <c r="V570" s="284"/>
      <c r="W570" s="284"/>
      <c r="X570" s="284"/>
      <c r="Y570" s="284"/>
      <c r="Z570" s="284"/>
      <c r="AA570" s="284"/>
      <c r="AB570" s="284"/>
      <c r="AC570" s="284"/>
      <c r="AD570" s="284"/>
      <c r="AE570" s="284"/>
      <c r="AF570" s="284"/>
      <c r="AG570" s="284"/>
      <c r="AH570" s="284"/>
      <c r="AI570" s="284"/>
      <c r="AJ570" s="284"/>
      <c r="AK570" s="284"/>
    </row>
    <row r="571" spans="1:37" ht="12.75" customHeight="1" x14ac:dyDescent="0.45">
      <c r="A571" s="284"/>
      <c r="B571" s="331"/>
      <c r="C571" s="284"/>
      <c r="D571" s="284"/>
      <c r="E571" s="332"/>
      <c r="F571" s="284"/>
      <c r="G571" s="284"/>
      <c r="H571" s="284"/>
      <c r="I571" s="284"/>
      <c r="J571" s="284"/>
      <c r="K571" s="284"/>
      <c r="L571" s="284"/>
      <c r="M571" s="284"/>
      <c r="N571" s="333"/>
      <c r="O571" s="284"/>
      <c r="P571" s="284"/>
      <c r="Q571" s="284"/>
      <c r="R571" s="284"/>
      <c r="S571" s="284"/>
      <c r="T571" s="284"/>
      <c r="U571" s="284"/>
      <c r="V571" s="284"/>
      <c r="W571" s="284"/>
      <c r="X571" s="284"/>
      <c r="Y571" s="284"/>
      <c r="Z571" s="284"/>
      <c r="AA571" s="284"/>
      <c r="AB571" s="284"/>
      <c r="AC571" s="284"/>
      <c r="AD571" s="284"/>
      <c r="AE571" s="284"/>
      <c r="AF571" s="284"/>
      <c r="AG571" s="284"/>
      <c r="AH571" s="284"/>
      <c r="AI571" s="284"/>
      <c r="AJ571" s="284"/>
      <c r="AK571" s="284"/>
    </row>
    <row r="572" spans="1:37" ht="12.75" customHeight="1" x14ac:dyDescent="0.45">
      <c r="A572" s="284"/>
      <c r="B572" s="331"/>
      <c r="C572" s="284"/>
      <c r="D572" s="284"/>
      <c r="E572" s="332"/>
      <c r="F572" s="284"/>
      <c r="G572" s="284"/>
      <c r="H572" s="284"/>
      <c r="I572" s="284"/>
      <c r="J572" s="284"/>
      <c r="K572" s="284"/>
      <c r="L572" s="284"/>
      <c r="M572" s="284"/>
      <c r="N572" s="333"/>
      <c r="O572" s="284"/>
      <c r="P572" s="284"/>
      <c r="Q572" s="284"/>
      <c r="R572" s="284"/>
      <c r="S572" s="284"/>
      <c r="T572" s="284"/>
      <c r="U572" s="284"/>
      <c r="V572" s="284"/>
      <c r="W572" s="284"/>
      <c r="X572" s="284"/>
      <c r="Y572" s="284"/>
      <c r="Z572" s="284"/>
      <c r="AA572" s="284"/>
      <c r="AB572" s="284"/>
      <c r="AC572" s="284"/>
      <c r="AD572" s="284"/>
      <c r="AE572" s="284"/>
      <c r="AF572" s="284"/>
      <c r="AG572" s="284"/>
      <c r="AH572" s="284"/>
      <c r="AI572" s="284"/>
      <c r="AJ572" s="284"/>
      <c r="AK572" s="284"/>
    </row>
    <row r="573" spans="1:37" ht="12.75" customHeight="1" x14ac:dyDescent="0.45">
      <c r="A573" s="284"/>
      <c r="B573" s="331"/>
      <c r="C573" s="284"/>
      <c r="D573" s="284"/>
      <c r="E573" s="332"/>
      <c r="F573" s="284"/>
      <c r="G573" s="284"/>
      <c r="H573" s="284"/>
      <c r="I573" s="284"/>
      <c r="J573" s="284"/>
      <c r="K573" s="284"/>
      <c r="L573" s="284"/>
      <c r="M573" s="284"/>
      <c r="N573" s="333"/>
      <c r="O573" s="284"/>
      <c r="P573" s="284"/>
      <c r="Q573" s="284"/>
      <c r="R573" s="284"/>
      <c r="S573" s="284"/>
      <c r="T573" s="284"/>
      <c r="U573" s="284"/>
      <c r="V573" s="284"/>
      <c r="W573" s="284"/>
      <c r="X573" s="284"/>
      <c r="Y573" s="284"/>
      <c r="Z573" s="284"/>
      <c r="AA573" s="284"/>
      <c r="AB573" s="284"/>
      <c r="AC573" s="284"/>
      <c r="AD573" s="284"/>
      <c r="AE573" s="284"/>
      <c r="AF573" s="284"/>
      <c r="AG573" s="284"/>
      <c r="AH573" s="284"/>
      <c r="AI573" s="284"/>
      <c r="AJ573" s="284"/>
      <c r="AK573" s="284"/>
    </row>
    <row r="574" spans="1:37" ht="12.75" customHeight="1" x14ac:dyDescent="0.45">
      <c r="A574" s="284"/>
      <c r="B574" s="331"/>
      <c r="C574" s="284"/>
      <c r="D574" s="284"/>
      <c r="E574" s="332"/>
      <c r="F574" s="284"/>
      <c r="G574" s="284"/>
      <c r="H574" s="284"/>
      <c r="I574" s="284"/>
      <c r="J574" s="284"/>
      <c r="K574" s="284"/>
      <c r="L574" s="284"/>
      <c r="M574" s="284"/>
      <c r="N574" s="333"/>
      <c r="O574" s="284"/>
      <c r="P574" s="284"/>
      <c r="Q574" s="284"/>
      <c r="R574" s="284"/>
      <c r="S574" s="284"/>
      <c r="T574" s="284"/>
      <c r="U574" s="284"/>
      <c r="V574" s="284"/>
      <c r="W574" s="284"/>
      <c r="X574" s="284"/>
      <c r="Y574" s="284"/>
      <c r="Z574" s="284"/>
      <c r="AA574" s="284"/>
      <c r="AB574" s="284"/>
      <c r="AC574" s="284"/>
      <c r="AD574" s="284"/>
      <c r="AE574" s="284"/>
      <c r="AF574" s="284"/>
      <c r="AG574" s="284"/>
      <c r="AH574" s="284"/>
      <c r="AI574" s="284"/>
      <c r="AJ574" s="284"/>
      <c r="AK574" s="284"/>
    </row>
    <row r="575" spans="1:37" ht="12.75" customHeight="1" x14ac:dyDescent="0.45">
      <c r="A575" s="284"/>
      <c r="B575" s="331"/>
      <c r="C575" s="284"/>
      <c r="D575" s="284"/>
      <c r="E575" s="332"/>
      <c r="F575" s="284"/>
      <c r="G575" s="284"/>
      <c r="H575" s="284"/>
      <c r="I575" s="284"/>
      <c r="J575" s="284"/>
      <c r="K575" s="284"/>
      <c r="L575" s="284"/>
      <c r="M575" s="284"/>
      <c r="N575" s="333"/>
      <c r="O575" s="284"/>
      <c r="P575" s="284"/>
      <c r="Q575" s="284"/>
      <c r="R575" s="284"/>
      <c r="S575" s="284"/>
      <c r="T575" s="284"/>
      <c r="U575" s="284"/>
      <c r="V575" s="284"/>
      <c r="W575" s="284"/>
      <c r="X575" s="284"/>
      <c r="Y575" s="284"/>
      <c r="Z575" s="284"/>
      <c r="AA575" s="284"/>
      <c r="AB575" s="284"/>
      <c r="AC575" s="284"/>
      <c r="AD575" s="284"/>
      <c r="AE575" s="284"/>
      <c r="AF575" s="284"/>
      <c r="AG575" s="284"/>
      <c r="AH575" s="284"/>
      <c r="AI575" s="284"/>
      <c r="AJ575" s="284"/>
      <c r="AK575" s="284"/>
    </row>
    <row r="576" spans="1:37" ht="12.75" customHeight="1" x14ac:dyDescent="0.45">
      <c r="A576" s="284"/>
      <c r="B576" s="331"/>
      <c r="C576" s="284"/>
      <c r="D576" s="284"/>
      <c r="E576" s="332"/>
      <c r="F576" s="284"/>
      <c r="G576" s="284"/>
      <c r="H576" s="284"/>
      <c r="I576" s="284"/>
      <c r="J576" s="284"/>
      <c r="K576" s="284"/>
      <c r="L576" s="284"/>
      <c r="M576" s="284"/>
      <c r="N576" s="333"/>
      <c r="O576" s="284"/>
      <c r="P576" s="284"/>
      <c r="Q576" s="284"/>
      <c r="R576" s="284"/>
      <c r="S576" s="284"/>
      <c r="T576" s="284"/>
      <c r="U576" s="284"/>
      <c r="V576" s="284"/>
      <c r="W576" s="284"/>
      <c r="X576" s="284"/>
      <c r="Y576" s="284"/>
      <c r="Z576" s="284"/>
      <c r="AA576" s="284"/>
      <c r="AB576" s="284"/>
      <c r="AC576" s="284"/>
      <c r="AD576" s="284"/>
      <c r="AE576" s="284"/>
      <c r="AF576" s="284"/>
      <c r="AG576" s="284"/>
      <c r="AH576" s="284"/>
      <c r="AI576" s="284"/>
      <c r="AJ576" s="284"/>
      <c r="AK576" s="284"/>
    </row>
    <row r="577" spans="1:37" ht="12.75" customHeight="1" x14ac:dyDescent="0.45">
      <c r="A577" s="284"/>
      <c r="B577" s="331"/>
      <c r="C577" s="284"/>
      <c r="D577" s="284"/>
      <c r="E577" s="332"/>
      <c r="F577" s="284"/>
      <c r="G577" s="284"/>
      <c r="H577" s="284"/>
      <c r="I577" s="284"/>
      <c r="J577" s="284"/>
      <c r="K577" s="284"/>
      <c r="L577" s="284"/>
      <c r="M577" s="284"/>
      <c r="N577" s="333"/>
      <c r="O577" s="284"/>
      <c r="P577" s="284"/>
      <c r="Q577" s="284"/>
      <c r="R577" s="284"/>
      <c r="S577" s="284"/>
      <c r="T577" s="284"/>
      <c r="U577" s="284"/>
      <c r="V577" s="284"/>
      <c r="W577" s="284"/>
      <c r="X577" s="284"/>
      <c r="Y577" s="284"/>
      <c r="Z577" s="284"/>
      <c r="AA577" s="284"/>
      <c r="AB577" s="284"/>
      <c r="AC577" s="284"/>
      <c r="AD577" s="284"/>
      <c r="AE577" s="284"/>
      <c r="AF577" s="284"/>
      <c r="AG577" s="284"/>
      <c r="AH577" s="284"/>
      <c r="AI577" s="284"/>
      <c r="AJ577" s="284"/>
      <c r="AK577" s="284"/>
    </row>
    <row r="578" spans="1:37" ht="12.75" customHeight="1" x14ac:dyDescent="0.45">
      <c r="A578" s="284"/>
      <c r="B578" s="331"/>
      <c r="C578" s="284"/>
      <c r="D578" s="284"/>
      <c r="E578" s="332"/>
      <c r="F578" s="284"/>
      <c r="G578" s="284"/>
      <c r="H578" s="284"/>
      <c r="I578" s="284"/>
      <c r="J578" s="284"/>
      <c r="K578" s="284"/>
      <c r="L578" s="284"/>
      <c r="M578" s="284"/>
      <c r="N578" s="333"/>
      <c r="O578" s="284"/>
      <c r="P578" s="284"/>
      <c r="Q578" s="284"/>
      <c r="R578" s="284"/>
      <c r="S578" s="284"/>
      <c r="T578" s="284"/>
      <c r="U578" s="284"/>
      <c r="V578" s="284"/>
      <c r="W578" s="284"/>
      <c r="X578" s="284"/>
      <c r="Y578" s="284"/>
      <c r="Z578" s="284"/>
      <c r="AA578" s="284"/>
      <c r="AB578" s="284"/>
      <c r="AC578" s="284"/>
      <c r="AD578" s="284"/>
      <c r="AE578" s="284"/>
      <c r="AF578" s="284"/>
      <c r="AG578" s="284"/>
      <c r="AH578" s="284"/>
      <c r="AI578" s="284"/>
      <c r="AJ578" s="284"/>
      <c r="AK578" s="284"/>
    </row>
    <row r="579" spans="1:37" ht="12.75" customHeight="1" x14ac:dyDescent="0.45">
      <c r="A579" s="284"/>
      <c r="B579" s="331"/>
      <c r="C579" s="284"/>
      <c r="D579" s="284"/>
      <c r="E579" s="332"/>
      <c r="F579" s="284"/>
      <c r="G579" s="284"/>
      <c r="H579" s="284"/>
      <c r="I579" s="284"/>
      <c r="J579" s="284"/>
      <c r="K579" s="284"/>
      <c r="L579" s="284"/>
      <c r="M579" s="284"/>
      <c r="N579" s="333"/>
      <c r="O579" s="284"/>
      <c r="P579" s="284"/>
      <c r="Q579" s="284"/>
      <c r="R579" s="284"/>
      <c r="S579" s="284"/>
      <c r="T579" s="284"/>
      <c r="U579" s="284"/>
      <c r="V579" s="284"/>
      <c r="W579" s="284"/>
      <c r="X579" s="284"/>
      <c r="Y579" s="284"/>
      <c r="Z579" s="284"/>
      <c r="AA579" s="284"/>
      <c r="AB579" s="284"/>
      <c r="AC579" s="284"/>
      <c r="AD579" s="284"/>
      <c r="AE579" s="284"/>
      <c r="AF579" s="284"/>
      <c r="AG579" s="284"/>
      <c r="AH579" s="284"/>
      <c r="AI579" s="284"/>
      <c r="AJ579" s="284"/>
      <c r="AK579" s="284"/>
    </row>
    <row r="580" spans="1:37" ht="12.75" customHeight="1" x14ac:dyDescent="0.45">
      <c r="A580" s="284"/>
      <c r="B580" s="331"/>
      <c r="C580" s="284"/>
      <c r="D580" s="284"/>
      <c r="E580" s="332"/>
      <c r="F580" s="284"/>
      <c r="G580" s="284"/>
      <c r="H580" s="284"/>
      <c r="I580" s="284"/>
      <c r="J580" s="284"/>
      <c r="K580" s="284"/>
      <c r="L580" s="284"/>
      <c r="M580" s="284"/>
      <c r="N580" s="333"/>
      <c r="O580" s="284"/>
      <c r="P580" s="284"/>
      <c r="Q580" s="284"/>
      <c r="R580" s="284"/>
      <c r="S580" s="284"/>
      <c r="T580" s="284"/>
      <c r="U580" s="284"/>
      <c r="V580" s="284"/>
      <c r="W580" s="284"/>
      <c r="X580" s="284"/>
      <c r="Y580" s="284"/>
      <c r="Z580" s="284"/>
      <c r="AA580" s="284"/>
      <c r="AB580" s="284"/>
      <c r="AC580" s="284"/>
      <c r="AD580" s="284"/>
      <c r="AE580" s="284"/>
      <c r="AF580" s="284"/>
      <c r="AG580" s="284"/>
      <c r="AH580" s="284"/>
      <c r="AI580" s="284"/>
      <c r="AJ580" s="284"/>
      <c r="AK580" s="284"/>
    </row>
    <row r="581" spans="1:37" ht="12.75" customHeight="1" x14ac:dyDescent="0.45">
      <c r="A581" s="284"/>
      <c r="B581" s="331"/>
      <c r="C581" s="284"/>
      <c r="D581" s="284"/>
      <c r="E581" s="332"/>
      <c r="F581" s="284"/>
      <c r="G581" s="284"/>
      <c r="H581" s="284"/>
      <c r="I581" s="284"/>
      <c r="J581" s="284"/>
      <c r="K581" s="284"/>
      <c r="L581" s="284"/>
      <c r="M581" s="284"/>
      <c r="N581" s="333"/>
      <c r="O581" s="284"/>
      <c r="P581" s="284"/>
      <c r="Q581" s="284"/>
      <c r="R581" s="284"/>
      <c r="S581" s="284"/>
      <c r="T581" s="284"/>
      <c r="U581" s="284"/>
      <c r="V581" s="284"/>
      <c r="W581" s="284"/>
      <c r="X581" s="284"/>
      <c r="Y581" s="284"/>
      <c r="Z581" s="284"/>
      <c r="AA581" s="284"/>
      <c r="AB581" s="284"/>
      <c r="AC581" s="284"/>
      <c r="AD581" s="284"/>
      <c r="AE581" s="284"/>
      <c r="AF581" s="284"/>
      <c r="AG581" s="284"/>
      <c r="AH581" s="284"/>
      <c r="AI581" s="284"/>
      <c r="AJ581" s="284"/>
      <c r="AK581" s="284"/>
    </row>
    <row r="582" spans="1:37" ht="12.75" customHeight="1" x14ac:dyDescent="0.45">
      <c r="A582" s="284"/>
      <c r="B582" s="331"/>
      <c r="C582" s="284"/>
      <c r="D582" s="284"/>
      <c r="E582" s="332"/>
      <c r="F582" s="284"/>
      <c r="G582" s="284"/>
      <c r="H582" s="284"/>
      <c r="I582" s="284"/>
      <c r="J582" s="284"/>
      <c r="K582" s="284"/>
      <c r="L582" s="284"/>
      <c r="M582" s="284"/>
      <c r="N582" s="333"/>
      <c r="O582" s="284"/>
      <c r="P582" s="284"/>
      <c r="Q582" s="284"/>
      <c r="R582" s="284"/>
      <c r="S582" s="284"/>
      <c r="T582" s="284"/>
      <c r="U582" s="284"/>
      <c r="V582" s="284"/>
      <c r="W582" s="284"/>
      <c r="X582" s="284"/>
      <c r="Y582" s="284"/>
      <c r="Z582" s="284"/>
      <c r="AA582" s="284"/>
      <c r="AB582" s="284"/>
      <c r="AC582" s="284"/>
      <c r="AD582" s="284"/>
      <c r="AE582" s="284"/>
      <c r="AF582" s="284"/>
      <c r="AG582" s="284"/>
      <c r="AH582" s="284"/>
      <c r="AI582" s="284"/>
      <c r="AJ582" s="284"/>
      <c r="AK582" s="284"/>
    </row>
    <row r="583" spans="1:37" ht="12.75" customHeight="1" x14ac:dyDescent="0.45">
      <c r="A583" s="284"/>
      <c r="B583" s="331"/>
      <c r="C583" s="284"/>
      <c r="D583" s="284"/>
      <c r="E583" s="332"/>
      <c r="F583" s="284"/>
      <c r="G583" s="284"/>
      <c r="H583" s="284"/>
      <c r="I583" s="284"/>
      <c r="J583" s="284"/>
      <c r="K583" s="284"/>
      <c r="L583" s="284"/>
      <c r="M583" s="284"/>
      <c r="N583" s="333"/>
      <c r="O583" s="284"/>
      <c r="P583" s="284"/>
      <c r="Q583" s="284"/>
      <c r="R583" s="284"/>
      <c r="S583" s="284"/>
      <c r="T583" s="284"/>
      <c r="U583" s="284"/>
      <c r="V583" s="284"/>
      <c r="W583" s="284"/>
      <c r="X583" s="284"/>
      <c r="Y583" s="284"/>
      <c r="Z583" s="284"/>
      <c r="AA583" s="284"/>
      <c r="AB583" s="284"/>
      <c r="AC583" s="284"/>
      <c r="AD583" s="284"/>
      <c r="AE583" s="284"/>
      <c r="AF583" s="284"/>
      <c r="AG583" s="284"/>
      <c r="AH583" s="284"/>
      <c r="AI583" s="284"/>
      <c r="AJ583" s="284"/>
      <c r="AK583" s="284"/>
    </row>
    <row r="584" spans="1:37" ht="12.75" customHeight="1" x14ac:dyDescent="0.45">
      <c r="A584" s="284"/>
      <c r="B584" s="331"/>
      <c r="C584" s="284"/>
      <c r="D584" s="284"/>
      <c r="E584" s="332"/>
      <c r="F584" s="284"/>
      <c r="G584" s="284"/>
      <c r="H584" s="284"/>
      <c r="I584" s="284"/>
      <c r="J584" s="284"/>
      <c r="K584" s="284"/>
      <c r="L584" s="284"/>
      <c r="M584" s="284"/>
      <c r="N584" s="333"/>
      <c r="O584" s="284"/>
      <c r="P584" s="284"/>
      <c r="Q584" s="284"/>
      <c r="R584" s="284"/>
      <c r="S584" s="284"/>
      <c r="T584" s="284"/>
      <c r="U584" s="284"/>
      <c r="V584" s="284"/>
      <c r="W584" s="284"/>
      <c r="X584" s="284"/>
      <c r="Y584" s="284"/>
      <c r="Z584" s="284"/>
      <c r="AA584" s="284"/>
      <c r="AB584" s="284"/>
      <c r="AC584" s="284"/>
      <c r="AD584" s="284"/>
      <c r="AE584" s="284"/>
      <c r="AF584" s="284"/>
      <c r="AG584" s="284"/>
      <c r="AH584" s="284"/>
      <c r="AI584" s="284"/>
      <c r="AJ584" s="284"/>
      <c r="AK584" s="284"/>
    </row>
    <row r="585" spans="1:37" ht="12.75" customHeight="1" x14ac:dyDescent="0.45">
      <c r="A585" s="284"/>
      <c r="B585" s="331"/>
      <c r="C585" s="284"/>
      <c r="D585" s="284"/>
      <c r="E585" s="332"/>
      <c r="F585" s="284"/>
      <c r="G585" s="284"/>
      <c r="H585" s="284"/>
      <c r="I585" s="284"/>
      <c r="J585" s="284"/>
      <c r="K585" s="284"/>
      <c r="L585" s="284"/>
      <c r="M585" s="284"/>
      <c r="N585" s="333"/>
      <c r="O585" s="284"/>
      <c r="P585" s="284"/>
      <c r="Q585" s="284"/>
      <c r="R585" s="284"/>
      <c r="S585" s="284"/>
      <c r="T585" s="284"/>
      <c r="U585" s="284"/>
      <c r="V585" s="284"/>
      <c r="W585" s="284"/>
      <c r="X585" s="284"/>
      <c r="Y585" s="284"/>
      <c r="Z585" s="284"/>
      <c r="AA585" s="284"/>
      <c r="AB585" s="284"/>
      <c r="AC585" s="284"/>
      <c r="AD585" s="284"/>
      <c r="AE585" s="284"/>
      <c r="AF585" s="284"/>
      <c r="AG585" s="284"/>
      <c r="AH585" s="284"/>
      <c r="AI585" s="284"/>
      <c r="AJ585" s="284"/>
      <c r="AK585" s="284"/>
    </row>
    <row r="586" spans="1:37" ht="12.75" customHeight="1" x14ac:dyDescent="0.45">
      <c r="A586" s="284"/>
      <c r="B586" s="331"/>
      <c r="C586" s="284"/>
      <c r="D586" s="284"/>
      <c r="E586" s="332"/>
      <c r="F586" s="284"/>
      <c r="G586" s="284"/>
      <c r="H586" s="284"/>
      <c r="I586" s="284"/>
      <c r="J586" s="284"/>
      <c r="K586" s="284"/>
      <c r="L586" s="284"/>
      <c r="M586" s="284"/>
      <c r="N586" s="333"/>
      <c r="O586" s="284"/>
      <c r="P586" s="284"/>
      <c r="Q586" s="284"/>
      <c r="R586" s="284"/>
      <c r="S586" s="284"/>
      <c r="T586" s="284"/>
      <c r="U586" s="284"/>
      <c r="V586" s="284"/>
      <c r="W586" s="284"/>
      <c r="X586" s="284"/>
      <c r="Y586" s="284"/>
      <c r="Z586" s="284"/>
      <c r="AA586" s="284"/>
      <c r="AB586" s="284"/>
      <c r="AC586" s="284"/>
      <c r="AD586" s="284"/>
      <c r="AE586" s="284"/>
      <c r="AF586" s="284"/>
      <c r="AG586" s="284"/>
      <c r="AH586" s="284"/>
      <c r="AI586" s="284"/>
      <c r="AJ586" s="284"/>
      <c r="AK586" s="284"/>
    </row>
    <row r="587" spans="1:37" ht="12.75" customHeight="1" x14ac:dyDescent="0.45">
      <c r="A587" s="284"/>
      <c r="B587" s="331"/>
      <c r="C587" s="284"/>
      <c r="D587" s="284"/>
      <c r="E587" s="332"/>
      <c r="F587" s="284"/>
      <c r="G587" s="284"/>
      <c r="H587" s="284"/>
      <c r="I587" s="284"/>
      <c r="J587" s="284"/>
      <c r="K587" s="284"/>
      <c r="L587" s="284"/>
      <c r="M587" s="284"/>
      <c r="N587" s="333"/>
      <c r="O587" s="284"/>
      <c r="P587" s="284"/>
      <c r="Q587" s="284"/>
      <c r="R587" s="284"/>
      <c r="S587" s="284"/>
      <c r="T587" s="284"/>
      <c r="U587" s="284"/>
      <c r="V587" s="284"/>
      <c r="W587" s="284"/>
      <c r="X587" s="284"/>
      <c r="Y587" s="284"/>
      <c r="Z587" s="284"/>
      <c r="AA587" s="284"/>
      <c r="AB587" s="284"/>
      <c r="AC587" s="284"/>
      <c r="AD587" s="284"/>
      <c r="AE587" s="284"/>
      <c r="AF587" s="284"/>
      <c r="AG587" s="284"/>
      <c r="AH587" s="284"/>
      <c r="AI587" s="284"/>
      <c r="AJ587" s="284"/>
      <c r="AK587" s="284"/>
    </row>
    <row r="588" spans="1:37" ht="12.75" customHeight="1" x14ac:dyDescent="0.45">
      <c r="A588" s="284"/>
      <c r="B588" s="331"/>
      <c r="C588" s="284"/>
      <c r="D588" s="284"/>
      <c r="E588" s="332"/>
      <c r="F588" s="284"/>
      <c r="G588" s="284"/>
      <c r="H588" s="284"/>
      <c r="I588" s="284"/>
      <c r="J588" s="284"/>
      <c r="K588" s="284"/>
      <c r="L588" s="284"/>
      <c r="M588" s="284"/>
      <c r="N588" s="333"/>
      <c r="O588" s="284"/>
      <c r="P588" s="284"/>
      <c r="Q588" s="284"/>
      <c r="R588" s="284"/>
      <c r="S588" s="284"/>
      <c r="T588" s="284"/>
      <c r="U588" s="284"/>
      <c r="V588" s="284"/>
      <c r="W588" s="284"/>
      <c r="X588" s="284"/>
      <c r="Y588" s="284"/>
      <c r="Z588" s="284"/>
      <c r="AA588" s="284"/>
      <c r="AB588" s="284"/>
      <c r="AC588" s="284"/>
      <c r="AD588" s="284"/>
      <c r="AE588" s="284"/>
      <c r="AF588" s="284"/>
      <c r="AG588" s="284"/>
      <c r="AH588" s="284"/>
      <c r="AI588" s="284"/>
      <c r="AJ588" s="284"/>
      <c r="AK588" s="284"/>
    </row>
    <row r="589" spans="1:37" ht="12.75" customHeight="1" x14ac:dyDescent="0.45">
      <c r="A589" s="284"/>
      <c r="B589" s="331"/>
      <c r="C589" s="284"/>
      <c r="D589" s="284"/>
      <c r="E589" s="332"/>
      <c r="F589" s="284"/>
      <c r="G589" s="284"/>
      <c r="H589" s="284"/>
      <c r="I589" s="284"/>
      <c r="J589" s="284"/>
      <c r="K589" s="284"/>
      <c r="L589" s="284"/>
      <c r="M589" s="284"/>
      <c r="N589" s="333"/>
      <c r="O589" s="284"/>
      <c r="P589" s="284"/>
      <c r="Q589" s="284"/>
      <c r="R589" s="284"/>
      <c r="S589" s="284"/>
      <c r="T589" s="284"/>
      <c r="U589" s="284"/>
      <c r="V589" s="284"/>
      <c r="W589" s="284"/>
      <c r="X589" s="284"/>
      <c r="Y589" s="284"/>
      <c r="Z589" s="284"/>
      <c r="AA589" s="284"/>
      <c r="AB589" s="284"/>
      <c r="AC589" s="284"/>
      <c r="AD589" s="284"/>
      <c r="AE589" s="284"/>
      <c r="AF589" s="284"/>
      <c r="AG589" s="284"/>
      <c r="AH589" s="284"/>
      <c r="AI589" s="284"/>
      <c r="AJ589" s="284"/>
      <c r="AK589" s="284"/>
    </row>
    <row r="590" spans="1:37" ht="12.75" customHeight="1" x14ac:dyDescent="0.45">
      <c r="A590" s="284"/>
      <c r="B590" s="331"/>
      <c r="C590" s="284"/>
      <c r="D590" s="284"/>
      <c r="E590" s="332"/>
      <c r="F590" s="284"/>
      <c r="G590" s="284"/>
      <c r="H590" s="284"/>
      <c r="I590" s="284"/>
      <c r="J590" s="284"/>
      <c r="K590" s="284"/>
      <c r="L590" s="284"/>
      <c r="M590" s="284"/>
      <c r="N590" s="333"/>
      <c r="O590" s="284"/>
      <c r="P590" s="284"/>
      <c r="Q590" s="284"/>
      <c r="R590" s="284"/>
      <c r="S590" s="284"/>
      <c r="T590" s="284"/>
      <c r="U590" s="284"/>
      <c r="V590" s="284"/>
      <c r="W590" s="284"/>
      <c r="X590" s="284"/>
      <c r="Y590" s="284"/>
      <c r="Z590" s="284"/>
      <c r="AA590" s="284"/>
      <c r="AB590" s="284"/>
      <c r="AC590" s="284"/>
      <c r="AD590" s="284"/>
      <c r="AE590" s="284"/>
      <c r="AF590" s="284"/>
      <c r="AG590" s="284"/>
      <c r="AH590" s="284"/>
      <c r="AI590" s="284"/>
      <c r="AJ590" s="284"/>
      <c r="AK590" s="284"/>
    </row>
    <row r="591" spans="1:37" ht="12.75" customHeight="1" x14ac:dyDescent="0.45">
      <c r="A591" s="284"/>
      <c r="B591" s="331"/>
      <c r="C591" s="284"/>
      <c r="D591" s="284"/>
      <c r="E591" s="332"/>
      <c r="F591" s="284"/>
      <c r="G591" s="284"/>
      <c r="H591" s="284"/>
      <c r="I591" s="284"/>
      <c r="J591" s="284"/>
      <c r="K591" s="284"/>
      <c r="L591" s="284"/>
      <c r="M591" s="284"/>
      <c r="N591" s="333"/>
      <c r="O591" s="284"/>
      <c r="P591" s="284"/>
      <c r="Q591" s="284"/>
      <c r="R591" s="284"/>
      <c r="S591" s="284"/>
      <c r="T591" s="284"/>
      <c r="U591" s="284"/>
      <c r="V591" s="284"/>
      <c r="W591" s="284"/>
      <c r="X591" s="284"/>
      <c r="Y591" s="284"/>
      <c r="Z591" s="284"/>
      <c r="AA591" s="284"/>
      <c r="AB591" s="284"/>
      <c r="AC591" s="284"/>
      <c r="AD591" s="284"/>
      <c r="AE591" s="284"/>
      <c r="AF591" s="284"/>
      <c r="AG591" s="284"/>
      <c r="AH591" s="284"/>
      <c r="AI591" s="284"/>
      <c r="AJ591" s="284"/>
      <c r="AK591" s="284"/>
    </row>
    <row r="592" spans="1:37" ht="12.75" customHeight="1" x14ac:dyDescent="0.45">
      <c r="A592" s="284"/>
      <c r="B592" s="331"/>
      <c r="C592" s="284"/>
      <c r="D592" s="284"/>
      <c r="E592" s="332"/>
      <c r="F592" s="284"/>
      <c r="G592" s="284"/>
      <c r="H592" s="284"/>
      <c r="I592" s="284"/>
      <c r="J592" s="284"/>
      <c r="K592" s="284"/>
      <c r="L592" s="284"/>
      <c r="M592" s="284"/>
      <c r="N592" s="333"/>
      <c r="O592" s="284"/>
      <c r="P592" s="284"/>
      <c r="Q592" s="284"/>
      <c r="R592" s="284"/>
      <c r="S592" s="284"/>
      <c r="T592" s="284"/>
      <c r="U592" s="284"/>
      <c r="V592" s="284"/>
      <c r="W592" s="284"/>
      <c r="X592" s="284"/>
      <c r="Y592" s="284"/>
      <c r="Z592" s="284"/>
      <c r="AA592" s="284"/>
      <c r="AB592" s="284"/>
      <c r="AC592" s="284"/>
      <c r="AD592" s="284"/>
      <c r="AE592" s="284"/>
      <c r="AF592" s="284"/>
      <c r="AG592" s="284"/>
      <c r="AH592" s="284"/>
      <c r="AI592" s="284"/>
      <c r="AJ592" s="284"/>
      <c r="AK592" s="284"/>
    </row>
    <row r="593" spans="1:37" ht="12.75" customHeight="1" x14ac:dyDescent="0.45">
      <c r="A593" s="284"/>
      <c r="B593" s="331"/>
      <c r="C593" s="284"/>
      <c r="D593" s="284"/>
      <c r="E593" s="332"/>
      <c r="F593" s="284"/>
      <c r="G593" s="284"/>
      <c r="H593" s="284"/>
      <c r="I593" s="284"/>
      <c r="J593" s="284"/>
      <c r="K593" s="284"/>
      <c r="L593" s="284"/>
      <c r="M593" s="284"/>
      <c r="N593" s="333"/>
      <c r="O593" s="284"/>
      <c r="P593" s="284"/>
      <c r="Q593" s="284"/>
      <c r="R593" s="284"/>
      <c r="S593" s="284"/>
      <c r="T593" s="284"/>
      <c r="U593" s="284"/>
      <c r="V593" s="284"/>
      <c r="W593" s="284"/>
      <c r="X593" s="284"/>
      <c r="Y593" s="284"/>
      <c r="Z593" s="284"/>
      <c r="AA593" s="284"/>
      <c r="AB593" s="284"/>
      <c r="AC593" s="284"/>
      <c r="AD593" s="284"/>
      <c r="AE593" s="284"/>
      <c r="AF593" s="284"/>
      <c r="AG593" s="284"/>
      <c r="AH593" s="284"/>
      <c r="AI593" s="284"/>
      <c r="AJ593" s="284"/>
      <c r="AK593" s="284"/>
    </row>
    <row r="594" spans="1:37" ht="12.75" customHeight="1" x14ac:dyDescent="0.45">
      <c r="A594" s="284"/>
      <c r="B594" s="331"/>
      <c r="C594" s="284"/>
      <c r="D594" s="284"/>
      <c r="E594" s="332"/>
      <c r="F594" s="284"/>
      <c r="G594" s="284"/>
      <c r="H594" s="284"/>
      <c r="I594" s="284"/>
      <c r="J594" s="284"/>
      <c r="K594" s="284"/>
      <c r="L594" s="284"/>
      <c r="M594" s="284"/>
      <c r="N594" s="333"/>
      <c r="O594" s="284"/>
      <c r="P594" s="284"/>
      <c r="Q594" s="284"/>
      <c r="R594" s="284"/>
      <c r="S594" s="284"/>
      <c r="T594" s="284"/>
      <c r="U594" s="284"/>
      <c r="V594" s="284"/>
      <c r="W594" s="284"/>
      <c r="X594" s="284"/>
      <c r="Y594" s="284"/>
      <c r="Z594" s="284"/>
      <c r="AA594" s="284"/>
      <c r="AB594" s="284"/>
      <c r="AC594" s="284"/>
      <c r="AD594" s="284"/>
      <c r="AE594" s="284"/>
      <c r="AF594" s="284"/>
      <c r="AG594" s="284"/>
      <c r="AH594" s="284"/>
      <c r="AI594" s="284"/>
      <c r="AJ594" s="284"/>
      <c r="AK594" s="284"/>
    </row>
    <row r="595" spans="1:37" ht="12.75" customHeight="1" x14ac:dyDescent="0.45">
      <c r="A595" s="284"/>
      <c r="B595" s="331"/>
      <c r="C595" s="284"/>
      <c r="D595" s="284"/>
      <c r="E595" s="332"/>
      <c r="F595" s="284"/>
      <c r="G595" s="284"/>
      <c r="H595" s="284"/>
      <c r="I595" s="284"/>
      <c r="J595" s="284"/>
      <c r="K595" s="284"/>
      <c r="L595" s="284"/>
      <c r="M595" s="284"/>
      <c r="N595" s="333"/>
      <c r="O595" s="284"/>
      <c r="P595" s="284"/>
      <c r="Q595" s="284"/>
      <c r="R595" s="284"/>
      <c r="S595" s="284"/>
      <c r="T595" s="284"/>
      <c r="U595" s="284"/>
      <c r="V595" s="284"/>
      <c r="W595" s="284"/>
      <c r="X595" s="284"/>
      <c r="Y595" s="284"/>
      <c r="Z595" s="284"/>
      <c r="AA595" s="284"/>
      <c r="AB595" s="284"/>
      <c r="AC595" s="284"/>
      <c r="AD595" s="284"/>
      <c r="AE595" s="284"/>
      <c r="AF595" s="284"/>
      <c r="AG595" s="284"/>
      <c r="AH595" s="284"/>
      <c r="AI595" s="284"/>
      <c r="AJ595" s="284"/>
      <c r="AK595" s="284"/>
    </row>
    <row r="596" spans="1:37" ht="12.75" customHeight="1" x14ac:dyDescent="0.45">
      <c r="A596" s="284"/>
      <c r="B596" s="331"/>
      <c r="C596" s="284"/>
      <c r="D596" s="284"/>
      <c r="E596" s="332"/>
      <c r="F596" s="284"/>
      <c r="G596" s="284"/>
      <c r="H596" s="284"/>
      <c r="I596" s="284"/>
      <c r="J596" s="284"/>
      <c r="K596" s="284"/>
      <c r="L596" s="284"/>
      <c r="M596" s="284"/>
      <c r="N596" s="333"/>
      <c r="O596" s="284"/>
      <c r="P596" s="284"/>
      <c r="Q596" s="284"/>
      <c r="R596" s="284"/>
      <c r="S596" s="284"/>
      <c r="T596" s="284"/>
      <c r="U596" s="284"/>
      <c r="V596" s="284"/>
      <c r="W596" s="284"/>
      <c r="X596" s="284"/>
      <c r="Y596" s="284"/>
      <c r="Z596" s="284"/>
      <c r="AA596" s="284"/>
      <c r="AB596" s="284"/>
      <c r="AC596" s="284"/>
      <c r="AD596" s="284"/>
      <c r="AE596" s="284"/>
      <c r="AF596" s="284"/>
      <c r="AG596" s="284"/>
      <c r="AH596" s="284"/>
      <c r="AI596" s="284"/>
      <c r="AJ596" s="284"/>
      <c r="AK596" s="284"/>
    </row>
    <row r="597" spans="1:37" ht="12.75" customHeight="1" x14ac:dyDescent="0.45">
      <c r="A597" s="284"/>
      <c r="B597" s="331"/>
      <c r="C597" s="284"/>
      <c r="D597" s="284"/>
      <c r="E597" s="332"/>
      <c r="F597" s="284"/>
      <c r="G597" s="284"/>
      <c r="H597" s="284"/>
      <c r="I597" s="284"/>
      <c r="J597" s="284"/>
      <c r="K597" s="284"/>
      <c r="L597" s="284"/>
      <c r="M597" s="284"/>
      <c r="N597" s="333"/>
      <c r="O597" s="284"/>
      <c r="P597" s="284"/>
      <c r="Q597" s="284"/>
      <c r="R597" s="284"/>
      <c r="S597" s="284"/>
      <c r="T597" s="284"/>
      <c r="U597" s="284"/>
      <c r="V597" s="284"/>
      <c r="W597" s="284"/>
      <c r="X597" s="284"/>
      <c r="Y597" s="284"/>
      <c r="Z597" s="284"/>
      <c r="AA597" s="284"/>
      <c r="AB597" s="284"/>
      <c r="AC597" s="284"/>
      <c r="AD597" s="284"/>
      <c r="AE597" s="284"/>
      <c r="AF597" s="284"/>
      <c r="AG597" s="284"/>
      <c r="AH597" s="284"/>
      <c r="AI597" s="284"/>
      <c r="AJ597" s="284"/>
      <c r="AK597" s="284"/>
    </row>
    <row r="598" spans="1:37" ht="12.75" customHeight="1" x14ac:dyDescent="0.45">
      <c r="A598" s="284"/>
      <c r="B598" s="331"/>
      <c r="C598" s="284"/>
      <c r="D598" s="284"/>
      <c r="E598" s="332"/>
      <c r="F598" s="284"/>
      <c r="G598" s="284"/>
      <c r="H598" s="284"/>
      <c r="I598" s="284"/>
      <c r="J598" s="284"/>
      <c r="K598" s="284"/>
      <c r="L598" s="284"/>
      <c r="M598" s="284"/>
      <c r="N598" s="333"/>
      <c r="O598" s="284"/>
      <c r="P598" s="284"/>
      <c r="Q598" s="284"/>
      <c r="R598" s="284"/>
      <c r="S598" s="284"/>
      <c r="T598" s="284"/>
      <c r="U598" s="284"/>
      <c r="V598" s="284"/>
      <c r="W598" s="284"/>
      <c r="X598" s="284"/>
      <c r="Y598" s="284"/>
      <c r="Z598" s="284"/>
      <c r="AA598" s="284"/>
      <c r="AB598" s="284"/>
      <c r="AC598" s="284"/>
      <c r="AD598" s="284"/>
      <c r="AE598" s="284"/>
      <c r="AF598" s="284"/>
      <c r="AG598" s="284"/>
      <c r="AH598" s="284"/>
      <c r="AI598" s="284"/>
      <c r="AJ598" s="284"/>
      <c r="AK598" s="284"/>
    </row>
    <row r="599" spans="1:37" ht="12.75" customHeight="1" x14ac:dyDescent="0.45">
      <c r="A599" s="284"/>
      <c r="B599" s="331"/>
      <c r="C599" s="284"/>
      <c r="D599" s="284"/>
      <c r="E599" s="332"/>
      <c r="F599" s="284"/>
      <c r="G599" s="284"/>
      <c r="H599" s="284"/>
      <c r="I599" s="284"/>
      <c r="J599" s="284"/>
      <c r="K599" s="284"/>
      <c r="L599" s="284"/>
      <c r="M599" s="284"/>
      <c r="N599" s="333"/>
      <c r="O599" s="284"/>
      <c r="P599" s="284"/>
      <c r="Q599" s="284"/>
      <c r="R599" s="284"/>
      <c r="S599" s="284"/>
      <c r="T599" s="284"/>
      <c r="U599" s="284"/>
      <c r="V599" s="284"/>
      <c r="W599" s="284"/>
      <c r="X599" s="284"/>
      <c r="Y599" s="284"/>
      <c r="Z599" s="284"/>
      <c r="AA599" s="284"/>
      <c r="AB599" s="284"/>
      <c r="AC599" s="284"/>
      <c r="AD599" s="284"/>
      <c r="AE599" s="284"/>
      <c r="AF599" s="284"/>
      <c r="AG599" s="284"/>
      <c r="AH599" s="284"/>
      <c r="AI599" s="284"/>
      <c r="AJ599" s="284"/>
      <c r="AK599" s="284"/>
    </row>
    <row r="600" spans="1:37" ht="12.75" customHeight="1" x14ac:dyDescent="0.45">
      <c r="A600" s="284"/>
      <c r="B600" s="331"/>
      <c r="C600" s="284"/>
      <c r="D600" s="284"/>
      <c r="E600" s="332"/>
      <c r="F600" s="284"/>
      <c r="G600" s="284"/>
      <c r="H600" s="284"/>
      <c r="I600" s="284"/>
      <c r="J600" s="284"/>
      <c r="K600" s="284"/>
      <c r="L600" s="284"/>
      <c r="M600" s="284"/>
      <c r="N600" s="333"/>
      <c r="O600" s="284"/>
      <c r="P600" s="284"/>
      <c r="Q600" s="284"/>
      <c r="R600" s="284"/>
      <c r="S600" s="284"/>
      <c r="T600" s="284"/>
      <c r="U600" s="284"/>
      <c r="V600" s="284"/>
      <c r="W600" s="284"/>
      <c r="X600" s="284"/>
      <c r="Y600" s="284"/>
      <c r="Z600" s="284"/>
      <c r="AA600" s="284"/>
      <c r="AB600" s="284"/>
      <c r="AC600" s="284"/>
      <c r="AD600" s="284"/>
      <c r="AE600" s="284"/>
      <c r="AF600" s="284"/>
      <c r="AG600" s="284"/>
      <c r="AH600" s="284"/>
      <c r="AI600" s="284"/>
      <c r="AJ600" s="284"/>
      <c r="AK600" s="284"/>
    </row>
    <row r="601" spans="1:37" ht="12.75" customHeight="1" x14ac:dyDescent="0.45">
      <c r="A601" s="284"/>
      <c r="B601" s="331"/>
      <c r="C601" s="284"/>
      <c r="D601" s="284"/>
      <c r="E601" s="332"/>
      <c r="F601" s="284"/>
      <c r="G601" s="284"/>
      <c r="H601" s="284"/>
      <c r="I601" s="284"/>
      <c r="J601" s="284"/>
      <c r="K601" s="284"/>
      <c r="L601" s="284"/>
      <c r="M601" s="284"/>
      <c r="N601" s="333"/>
      <c r="O601" s="284"/>
      <c r="P601" s="284"/>
      <c r="Q601" s="284"/>
      <c r="R601" s="284"/>
      <c r="S601" s="284"/>
      <c r="T601" s="284"/>
      <c r="U601" s="284"/>
      <c r="V601" s="284"/>
      <c r="W601" s="284"/>
      <c r="X601" s="284"/>
      <c r="Y601" s="284"/>
      <c r="Z601" s="284"/>
      <c r="AA601" s="284"/>
      <c r="AB601" s="284"/>
      <c r="AC601" s="284"/>
      <c r="AD601" s="284"/>
      <c r="AE601" s="284"/>
      <c r="AF601" s="284"/>
      <c r="AG601" s="284"/>
      <c r="AH601" s="284"/>
      <c r="AI601" s="284"/>
      <c r="AJ601" s="284"/>
      <c r="AK601" s="284"/>
    </row>
    <row r="602" spans="1:37" ht="12.75" customHeight="1" x14ac:dyDescent="0.45">
      <c r="A602" s="284"/>
      <c r="B602" s="331"/>
      <c r="C602" s="284"/>
      <c r="D602" s="284"/>
      <c r="E602" s="332"/>
      <c r="F602" s="284"/>
      <c r="G602" s="284"/>
      <c r="H602" s="284"/>
      <c r="I602" s="284"/>
      <c r="J602" s="284"/>
      <c r="K602" s="284"/>
      <c r="L602" s="284"/>
      <c r="M602" s="284"/>
      <c r="N602" s="333"/>
      <c r="O602" s="284"/>
      <c r="P602" s="284"/>
      <c r="Q602" s="284"/>
      <c r="R602" s="284"/>
      <c r="S602" s="284"/>
      <c r="T602" s="284"/>
      <c r="U602" s="284"/>
      <c r="V602" s="284"/>
      <c r="W602" s="284"/>
      <c r="X602" s="284"/>
      <c r="Y602" s="284"/>
      <c r="Z602" s="284"/>
      <c r="AA602" s="284"/>
      <c r="AB602" s="284"/>
      <c r="AC602" s="284"/>
      <c r="AD602" s="284"/>
      <c r="AE602" s="284"/>
      <c r="AF602" s="284"/>
      <c r="AG602" s="284"/>
      <c r="AH602" s="284"/>
      <c r="AI602" s="284"/>
      <c r="AJ602" s="284"/>
      <c r="AK602" s="284"/>
    </row>
    <row r="603" spans="1:37" ht="12.75" customHeight="1" x14ac:dyDescent="0.45">
      <c r="A603" s="284"/>
      <c r="B603" s="331"/>
      <c r="C603" s="284"/>
      <c r="D603" s="284"/>
      <c r="E603" s="332"/>
      <c r="F603" s="284"/>
      <c r="G603" s="284"/>
      <c r="H603" s="284"/>
      <c r="I603" s="284"/>
      <c r="J603" s="284"/>
      <c r="K603" s="284"/>
      <c r="L603" s="284"/>
      <c r="M603" s="284"/>
      <c r="N603" s="333"/>
      <c r="O603" s="284"/>
      <c r="P603" s="284"/>
      <c r="Q603" s="284"/>
      <c r="R603" s="284"/>
      <c r="S603" s="284"/>
      <c r="T603" s="284"/>
      <c r="U603" s="284"/>
      <c r="V603" s="284"/>
      <c r="W603" s="284"/>
      <c r="X603" s="284"/>
      <c r="Y603" s="284"/>
      <c r="Z603" s="284"/>
      <c r="AA603" s="284"/>
      <c r="AB603" s="284"/>
      <c r="AC603" s="284"/>
      <c r="AD603" s="284"/>
      <c r="AE603" s="284"/>
      <c r="AF603" s="284"/>
      <c r="AG603" s="284"/>
      <c r="AH603" s="284"/>
      <c r="AI603" s="284"/>
      <c r="AJ603" s="284"/>
      <c r="AK603" s="284"/>
    </row>
    <row r="604" spans="1:37" ht="12.75" customHeight="1" x14ac:dyDescent="0.45">
      <c r="A604" s="284"/>
      <c r="B604" s="331"/>
      <c r="C604" s="284"/>
      <c r="D604" s="284"/>
      <c r="E604" s="332"/>
      <c r="F604" s="284"/>
      <c r="G604" s="284"/>
      <c r="H604" s="284"/>
      <c r="I604" s="284"/>
      <c r="J604" s="284"/>
      <c r="K604" s="284"/>
      <c r="L604" s="284"/>
      <c r="M604" s="284"/>
      <c r="N604" s="333"/>
      <c r="O604" s="284"/>
      <c r="P604" s="284"/>
      <c r="Q604" s="284"/>
      <c r="R604" s="284"/>
      <c r="S604" s="284"/>
      <c r="T604" s="284"/>
      <c r="U604" s="284"/>
      <c r="V604" s="284"/>
      <c r="W604" s="284"/>
      <c r="X604" s="284"/>
      <c r="Y604" s="284"/>
      <c r="Z604" s="284"/>
      <c r="AA604" s="284"/>
      <c r="AB604" s="284"/>
      <c r="AC604" s="284"/>
      <c r="AD604" s="284"/>
      <c r="AE604" s="284"/>
      <c r="AF604" s="284"/>
      <c r="AG604" s="284"/>
      <c r="AH604" s="284"/>
      <c r="AI604" s="284"/>
      <c r="AJ604" s="284"/>
      <c r="AK604" s="284"/>
    </row>
    <row r="605" spans="1:37" ht="12.75" customHeight="1" x14ac:dyDescent="0.45">
      <c r="A605" s="284"/>
      <c r="B605" s="331"/>
      <c r="C605" s="284"/>
      <c r="D605" s="284"/>
      <c r="E605" s="332"/>
      <c r="F605" s="284"/>
      <c r="G605" s="284"/>
      <c r="H605" s="284"/>
      <c r="I605" s="284"/>
      <c r="J605" s="284"/>
      <c r="K605" s="284"/>
      <c r="L605" s="284"/>
      <c r="M605" s="284"/>
      <c r="N605" s="333"/>
      <c r="O605" s="284"/>
      <c r="P605" s="284"/>
      <c r="Q605" s="284"/>
      <c r="R605" s="284"/>
      <c r="S605" s="284"/>
      <c r="T605" s="284"/>
      <c r="U605" s="284"/>
      <c r="V605" s="284"/>
      <c r="W605" s="284"/>
      <c r="X605" s="284"/>
      <c r="Y605" s="284"/>
      <c r="Z605" s="284"/>
      <c r="AA605" s="284"/>
      <c r="AB605" s="284"/>
      <c r="AC605" s="284"/>
      <c r="AD605" s="284"/>
      <c r="AE605" s="284"/>
      <c r="AF605" s="284"/>
      <c r="AG605" s="284"/>
      <c r="AH605" s="284"/>
      <c r="AI605" s="284"/>
      <c r="AJ605" s="284"/>
      <c r="AK605" s="284"/>
    </row>
    <row r="606" spans="1:37" ht="12.75" customHeight="1" x14ac:dyDescent="0.45">
      <c r="A606" s="284"/>
      <c r="B606" s="331"/>
      <c r="C606" s="284"/>
      <c r="D606" s="284"/>
      <c r="E606" s="332"/>
      <c r="F606" s="284"/>
      <c r="G606" s="284"/>
      <c r="H606" s="284"/>
      <c r="I606" s="284"/>
      <c r="J606" s="284"/>
      <c r="K606" s="284"/>
      <c r="L606" s="284"/>
      <c r="M606" s="284"/>
      <c r="N606" s="333"/>
      <c r="O606" s="284"/>
      <c r="P606" s="284"/>
      <c r="Q606" s="284"/>
      <c r="R606" s="284"/>
      <c r="S606" s="284"/>
      <c r="T606" s="284"/>
      <c r="U606" s="284"/>
      <c r="V606" s="284"/>
      <c r="W606" s="284"/>
      <c r="X606" s="284"/>
      <c r="Y606" s="284"/>
      <c r="Z606" s="284"/>
      <c r="AA606" s="284"/>
      <c r="AB606" s="284"/>
      <c r="AC606" s="284"/>
      <c r="AD606" s="284"/>
      <c r="AE606" s="284"/>
      <c r="AF606" s="284"/>
      <c r="AG606" s="284"/>
      <c r="AH606" s="284"/>
      <c r="AI606" s="284"/>
      <c r="AJ606" s="284"/>
      <c r="AK606" s="284"/>
    </row>
    <row r="607" spans="1:37" ht="12.75" customHeight="1" x14ac:dyDescent="0.45">
      <c r="A607" s="284"/>
      <c r="B607" s="331"/>
      <c r="C607" s="284"/>
      <c r="D607" s="284"/>
      <c r="E607" s="332"/>
      <c r="F607" s="284"/>
      <c r="G607" s="284"/>
      <c r="H607" s="284"/>
      <c r="I607" s="284"/>
      <c r="J607" s="284"/>
      <c r="K607" s="284"/>
      <c r="L607" s="284"/>
      <c r="M607" s="284"/>
      <c r="N607" s="333"/>
      <c r="O607" s="284"/>
      <c r="P607" s="284"/>
      <c r="Q607" s="284"/>
      <c r="R607" s="284"/>
      <c r="S607" s="284"/>
      <c r="T607" s="284"/>
      <c r="U607" s="284"/>
      <c r="V607" s="284"/>
      <c r="W607" s="284"/>
      <c r="X607" s="284"/>
      <c r="Y607" s="284"/>
      <c r="Z607" s="284"/>
      <c r="AA607" s="284"/>
      <c r="AB607" s="284"/>
      <c r="AC607" s="284"/>
      <c r="AD607" s="284"/>
      <c r="AE607" s="284"/>
      <c r="AF607" s="284"/>
      <c r="AG607" s="284"/>
      <c r="AH607" s="284"/>
      <c r="AI607" s="284"/>
      <c r="AJ607" s="284"/>
      <c r="AK607" s="284"/>
    </row>
    <row r="608" spans="1:37" ht="12.75" customHeight="1" x14ac:dyDescent="0.45">
      <c r="A608" s="284"/>
      <c r="B608" s="331"/>
      <c r="C608" s="284"/>
      <c r="D608" s="284"/>
      <c r="E608" s="332"/>
      <c r="F608" s="284"/>
      <c r="G608" s="284"/>
      <c r="H608" s="284"/>
      <c r="I608" s="284"/>
      <c r="J608" s="284"/>
      <c r="K608" s="284"/>
      <c r="L608" s="284"/>
      <c r="M608" s="284"/>
      <c r="N608" s="333"/>
      <c r="O608" s="284"/>
      <c r="P608" s="284"/>
      <c r="Q608" s="284"/>
      <c r="R608" s="284"/>
      <c r="S608" s="284"/>
      <c r="T608" s="284"/>
      <c r="U608" s="284"/>
      <c r="V608" s="284"/>
      <c r="W608" s="284"/>
      <c r="X608" s="284"/>
      <c r="Y608" s="284"/>
      <c r="Z608" s="284"/>
      <c r="AA608" s="284"/>
      <c r="AB608" s="284"/>
      <c r="AC608" s="284"/>
      <c r="AD608" s="284"/>
      <c r="AE608" s="284"/>
      <c r="AF608" s="284"/>
      <c r="AG608" s="284"/>
      <c r="AH608" s="284"/>
      <c r="AI608" s="284"/>
      <c r="AJ608" s="284"/>
      <c r="AK608" s="284"/>
    </row>
    <row r="609" spans="1:37" ht="12.75" customHeight="1" x14ac:dyDescent="0.45">
      <c r="A609" s="284"/>
      <c r="B609" s="331"/>
      <c r="C609" s="284"/>
      <c r="D609" s="284"/>
      <c r="E609" s="332"/>
      <c r="F609" s="284"/>
      <c r="G609" s="284"/>
      <c r="H609" s="284"/>
      <c r="I609" s="284"/>
      <c r="J609" s="284"/>
      <c r="K609" s="284"/>
      <c r="L609" s="284"/>
      <c r="M609" s="284"/>
      <c r="N609" s="333"/>
      <c r="O609" s="284"/>
      <c r="P609" s="284"/>
      <c r="Q609" s="284"/>
      <c r="R609" s="284"/>
      <c r="S609" s="284"/>
      <c r="T609" s="284"/>
      <c r="U609" s="284"/>
      <c r="V609" s="284"/>
      <c r="W609" s="284"/>
      <c r="X609" s="284"/>
      <c r="Y609" s="284"/>
      <c r="Z609" s="284"/>
      <c r="AA609" s="284"/>
      <c r="AB609" s="284"/>
      <c r="AC609" s="284"/>
      <c r="AD609" s="284"/>
      <c r="AE609" s="284"/>
      <c r="AF609" s="284"/>
      <c r="AG609" s="284"/>
      <c r="AH609" s="284"/>
      <c r="AI609" s="284"/>
      <c r="AJ609" s="284"/>
      <c r="AK609" s="284"/>
    </row>
    <row r="610" spans="1:37" ht="12.75" customHeight="1" x14ac:dyDescent="0.45">
      <c r="A610" s="284"/>
      <c r="B610" s="331"/>
      <c r="C610" s="284"/>
      <c r="D610" s="284"/>
      <c r="E610" s="332"/>
      <c r="F610" s="284"/>
      <c r="G610" s="284"/>
      <c r="H610" s="284"/>
      <c r="I610" s="284"/>
      <c r="J610" s="284"/>
      <c r="K610" s="284"/>
      <c r="L610" s="284"/>
      <c r="M610" s="284"/>
      <c r="N610" s="333"/>
      <c r="O610" s="284"/>
      <c r="P610" s="284"/>
      <c r="Q610" s="284"/>
      <c r="R610" s="284"/>
      <c r="S610" s="284"/>
      <c r="T610" s="284"/>
      <c r="U610" s="284"/>
      <c r="V610" s="284"/>
      <c r="W610" s="284"/>
      <c r="X610" s="284"/>
      <c r="Y610" s="284"/>
      <c r="Z610" s="284"/>
      <c r="AA610" s="284"/>
      <c r="AB610" s="284"/>
      <c r="AC610" s="284"/>
      <c r="AD610" s="284"/>
      <c r="AE610" s="284"/>
      <c r="AF610" s="284"/>
      <c r="AG610" s="284"/>
      <c r="AH610" s="284"/>
      <c r="AI610" s="284"/>
      <c r="AJ610" s="284"/>
      <c r="AK610" s="284"/>
    </row>
    <row r="611" spans="1:37" ht="12.75" customHeight="1" x14ac:dyDescent="0.45">
      <c r="A611" s="284"/>
      <c r="B611" s="331"/>
      <c r="C611" s="284"/>
      <c r="D611" s="284"/>
      <c r="E611" s="332"/>
      <c r="F611" s="284"/>
      <c r="G611" s="284"/>
      <c r="H611" s="284"/>
      <c r="I611" s="284"/>
      <c r="J611" s="284"/>
      <c r="K611" s="284"/>
      <c r="L611" s="284"/>
      <c r="M611" s="284"/>
      <c r="N611" s="333"/>
      <c r="O611" s="284"/>
      <c r="P611" s="284"/>
      <c r="Q611" s="284"/>
      <c r="R611" s="284"/>
      <c r="S611" s="284"/>
      <c r="T611" s="284"/>
      <c r="U611" s="284"/>
      <c r="V611" s="284"/>
      <c r="W611" s="284"/>
      <c r="X611" s="284"/>
      <c r="Y611" s="284"/>
      <c r="Z611" s="284"/>
      <c r="AA611" s="284"/>
      <c r="AB611" s="284"/>
      <c r="AC611" s="284"/>
      <c r="AD611" s="284"/>
      <c r="AE611" s="284"/>
      <c r="AF611" s="284"/>
      <c r="AG611" s="284"/>
      <c r="AH611" s="284"/>
      <c r="AI611" s="284"/>
      <c r="AJ611" s="284"/>
      <c r="AK611" s="284"/>
    </row>
    <row r="612" spans="1:37" ht="12.75" customHeight="1" x14ac:dyDescent="0.45">
      <c r="A612" s="284"/>
      <c r="B612" s="331"/>
      <c r="C612" s="284"/>
      <c r="D612" s="284"/>
      <c r="E612" s="332"/>
      <c r="F612" s="284"/>
      <c r="G612" s="284"/>
      <c r="H612" s="284"/>
      <c r="I612" s="284"/>
      <c r="J612" s="284"/>
      <c r="K612" s="284"/>
      <c r="L612" s="284"/>
      <c r="M612" s="284"/>
      <c r="N612" s="333"/>
      <c r="O612" s="284"/>
      <c r="P612" s="284"/>
      <c r="Q612" s="284"/>
      <c r="R612" s="284"/>
      <c r="S612" s="284"/>
      <c r="T612" s="284"/>
      <c r="U612" s="284"/>
      <c r="V612" s="284"/>
      <c r="W612" s="284"/>
      <c r="X612" s="284"/>
      <c r="Y612" s="284"/>
      <c r="Z612" s="284"/>
      <c r="AA612" s="284"/>
      <c r="AB612" s="284"/>
      <c r="AC612" s="284"/>
      <c r="AD612" s="284"/>
      <c r="AE612" s="284"/>
      <c r="AF612" s="284"/>
      <c r="AG612" s="284"/>
      <c r="AH612" s="284"/>
      <c r="AI612" s="284"/>
      <c r="AJ612" s="284"/>
      <c r="AK612" s="284"/>
    </row>
    <row r="613" spans="1:37" ht="12.75" customHeight="1" x14ac:dyDescent="0.45">
      <c r="A613" s="284"/>
      <c r="B613" s="331"/>
      <c r="C613" s="284"/>
      <c r="D613" s="284"/>
      <c r="E613" s="332"/>
      <c r="F613" s="284"/>
      <c r="G613" s="284"/>
      <c r="H613" s="284"/>
      <c r="I613" s="284"/>
      <c r="J613" s="284"/>
      <c r="K613" s="284"/>
      <c r="L613" s="284"/>
      <c r="M613" s="284"/>
      <c r="N613" s="333"/>
      <c r="O613" s="284"/>
      <c r="P613" s="284"/>
      <c r="Q613" s="284"/>
      <c r="R613" s="284"/>
      <c r="S613" s="284"/>
      <c r="T613" s="284"/>
      <c r="U613" s="284"/>
      <c r="V613" s="284"/>
      <c r="W613" s="284"/>
      <c r="X613" s="284"/>
      <c r="Y613" s="284"/>
      <c r="Z613" s="284"/>
      <c r="AA613" s="284"/>
      <c r="AB613" s="284"/>
      <c r="AC613" s="284"/>
      <c r="AD613" s="284"/>
      <c r="AE613" s="284"/>
      <c r="AF613" s="284"/>
      <c r="AG613" s="284"/>
      <c r="AH613" s="284"/>
      <c r="AI613" s="284"/>
      <c r="AJ613" s="284"/>
      <c r="AK613" s="284"/>
    </row>
    <row r="614" spans="1:37" ht="12.75" customHeight="1" x14ac:dyDescent="0.45">
      <c r="A614" s="284"/>
      <c r="B614" s="331"/>
      <c r="C614" s="284"/>
      <c r="D614" s="284"/>
      <c r="E614" s="332"/>
      <c r="F614" s="284"/>
      <c r="G614" s="284"/>
      <c r="H614" s="284"/>
      <c r="I614" s="284"/>
      <c r="J614" s="284"/>
      <c r="K614" s="284"/>
      <c r="L614" s="284"/>
      <c r="M614" s="284"/>
      <c r="N614" s="333"/>
      <c r="O614" s="284"/>
      <c r="P614" s="284"/>
      <c r="Q614" s="284"/>
      <c r="R614" s="284"/>
      <c r="S614" s="284"/>
      <c r="T614" s="284"/>
      <c r="U614" s="284"/>
      <c r="V614" s="284"/>
      <c r="W614" s="284"/>
      <c r="X614" s="284"/>
      <c r="Y614" s="284"/>
      <c r="Z614" s="284"/>
      <c r="AA614" s="284"/>
      <c r="AB614" s="284"/>
      <c r="AC614" s="284"/>
      <c r="AD614" s="284"/>
      <c r="AE614" s="284"/>
      <c r="AF614" s="284"/>
      <c r="AG614" s="284"/>
      <c r="AH614" s="284"/>
      <c r="AI614" s="284"/>
      <c r="AJ614" s="284"/>
      <c r="AK614" s="284"/>
    </row>
    <row r="615" spans="1:37" ht="12.75" customHeight="1" x14ac:dyDescent="0.45">
      <c r="A615" s="284"/>
      <c r="B615" s="331"/>
      <c r="C615" s="284"/>
      <c r="D615" s="284"/>
      <c r="E615" s="332"/>
      <c r="F615" s="284"/>
      <c r="G615" s="284"/>
      <c r="H615" s="284"/>
      <c r="I615" s="284"/>
      <c r="J615" s="284"/>
      <c r="K615" s="284"/>
      <c r="L615" s="284"/>
      <c r="M615" s="284"/>
      <c r="N615" s="333"/>
      <c r="O615" s="284"/>
      <c r="P615" s="284"/>
      <c r="Q615" s="284"/>
      <c r="R615" s="284"/>
      <c r="S615" s="284"/>
      <c r="T615" s="284"/>
      <c r="U615" s="284"/>
      <c r="V615" s="284"/>
      <c r="W615" s="284"/>
      <c r="X615" s="284"/>
      <c r="Y615" s="284"/>
      <c r="Z615" s="284"/>
      <c r="AA615" s="284"/>
      <c r="AB615" s="284"/>
      <c r="AC615" s="284"/>
      <c r="AD615" s="284"/>
      <c r="AE615" s="284"/>
      <c r="AF615" s="284"/>
      <c r="AG615" s="284"/>
      <c r="AH615" s="284"/>
      <c r="AI615" s="284"/>
      <c r="AJ615" s="284"/>
      <c r="AK615" s="284"/>
    </row>
    <row r="616" spans="1:37" ht="12.75" customHeight="1" x14ac:dyDescent="0.45">
      <c r="A616" s="284"/>
      <c r="B616" s="331"/>
      <c r="C616" s="284"/>
      <c r="D616" s="284"/>
      <c r="E616" s="332"/>
      <c r="F616" s="284"/>
      <c r="G616" s="284"/>
      <c r="H616" s="284"/>
      <c r="I616" s="284"/>
      <c r="J616" s="284"/>
      <c r="K616" s="284"/>
      <c r="L616" s="284"/>
      <c r="M616" s="284"/>
      <c r="N616" s="333"/>
      <c r="O616" s="284"/>
      <c r="P616" s="284"/>
      <c r="Q616" s="284"/>
      <c r="R616" s="284"/>
      <c r="S616" s="284"/>
      <c r="T616" s="284"/>
      <c r="U616" s="284"/>
      <c r="V616" s="284"/>
      <c r="W616" s="284"/>
      <c r="X616" s="284"/>
      <c r="Y616" s="284"/>
      <c r="Z616" s="284"/>
      <c r="AA616" s="284"/>
      <c r="AB616" s="284"/>
      <c r="AC616" s="284"/>
      <c r="AD616" s="284"/>
      <c r="AE616" s="284"/>
      <c r="AF616" s="284"/>
      <c r="AG616" s="284"/>
      <c r="AH616" s="284"/>
      <c r="AI616" s="284"/>
      <c r="AJ616" s="284"/>
      <c r="AK616" s="284"/>
    </row>
    <row r="617" spans="1:37" ht="12.75" customHeight="1" x14ac:dyDescent="0.45">
      <c r="A617" s="284"/>
      <c r="B617" s="331"/>
      <c r="C617" s="284"/>
      <c r="D617" s="284"/>
      <c r="E617" s="332"/>
      <c r="F617" s="284"/>
      <c r="G617" s="284"/>
      <c r="H617" s="284"/>
      <c r="I617" s="284"/>
      <c r="J617" s="284"/>
      <c r="K617" s="284"/>
      <c r="L617" s="284"/>
      <c r="M617" s="284"/>
      <c r="N617" s="333"/>
      <c r="O617" s="284"/>
      <c r="P617" s="284"/>
      <c r="Q617" s="284"/>
      <c r="R617" s="284"/>
      <c r="S617" s="284"/>
      <c r="T617" s="284"/>
      <c r="U617" s="284"/>
      <c r="V617" s="284"/>
      <c r="W617" s="284"/>
      <c r="X617" s="284"/>
      <c r="Y617" s="284"/>
      <c r="Z617" s="284"/>
      <c r="AA617" s="284"/>
      <c r="AB617" s="284"/>
      <c r="AC617" s="284"/>
      <c r="AD617" s="284"/>
      <c r="AE617" s="284"/>
      <c r="AF617" s="284"/>
      <c r="AG617" s="284"/>
      <c r="AH617" s="284"/>
      <c r="AI617" s="284"/>
      <c r="AJ617" s="284"/>
      <c r="AK617" s="284"/>
    </row>
    <row r="618" spans="1:37" ht="12.75" customHeight="1" x14ac:dyDescent="0.45">
      <c r="A618" s="284"/>
      <c r="B618" s="331"/>
      <c r="C618" s="284"/>
      <c r="D618" s="284"/>
      <c r="E618" s="332"/>
      <c r="F618" s="284"/>
      <c r="G618" s="284"/>
      <c r="H618" s="284"/>
      <c r="I618" s="284"/>
      <c r="J618" s="284"/>
      <c r="K618" s="284"/>
      <c r="L618" s="284"/>
      <c r="M618" s="284"/>
      <c r="N618" s="333"/>
      <c r="O618" s="284"/>
      <c r="P618" s="284"/>
      <c r="Q618" s="284"/>
      <c r="R618" s="284"/>
      <c r="S618" s="284"/>
      <c r="T618" s="284"/>
      <c r="U618" s="284"/>
      <c r="V618" s="284"/>
      <c r="W618" s="284"/>
      <c r="X618" s="284"/>
      <c r="Y618" s="284"/>
      <c r="Z618" s="284"/>
      <c r="AA618" s="284"/>
      <c r="AB618" s="284"/>
      <c r="AC618" s="284"/>
      <c r="AD618" s="284"/>
      <c r="AE618" s="284"/>
      <c r="AF618" s="284"/>
      <c r="AG618" s="284"/>
      <c r="AH618" s="284"/>
      <c r="AI618" s="284"/>
      <c r="AJ618" s="284"/>
      <c r="AK618" s="284"/>
    </row>
    <row r="619" spans="1:37" ht="12.75" customHeight="1" x14ac:dyDescent="0.45">
      <c r="A619" s="284"/>
      <c r="B619" s="331"/>
      <c r="C619" s="284"/>
      <c r="D619" s="284"/>
      <c r="E619" s="332"/>
      <c r="F619" s="284"/>
      <c r="G619" s="284"/>
      <c r="H619" s="284"/>
      <c r="I619" s="284"/>
      <c r="J619" s="284"/>
      <c r="K619" s="284"/>
      <c r="L619" s="284"/>
      <c r="M619" s="284"/>
      <c r="N619" s="333"/>
      <c r="O619" s="284"/>
      <c r="P619" s="284"/>
      <c r="Q619" s="284"/>
      <c r="R619" s="284"/>
      <c r="S619" s="284"/>
      <c r="T619" s="284"/>
      <c r="U619" s="284"/>
      <c r="V619" s="284"/>
      <c r="W619" s="284"/>
      <c r="X619" s="284"/>
      <c r="Y619" s="284"/>
      <c r="Z619" s="284"/>
      <c r="AA619" s="284"/>
      <c r="AB619" s="284"/>
      <c r="AC619" s="284"/>
      <c r="AD619" s="284"/>
      <c r="AE619" s="284"/>
      <c r="AF619" s="284"/>
      <c r="AG619" s="284"/>
      <c r="AH619" s="284"/>
      <c r="AI619" s="284"/>
      <c r="AJ619" s="284"/>
      <c r="AK619" s="284"/>
    </row>
    <row r="620" spans="1:37" ht="12.75" customHeight="1" x14ac:dyDescent="0.45">
      <c r="A620" s="284"/>
      <c r="B620" s="331"/>
      <c r="C620" s="284"/>
      <c r="D620" s="284"/>
      <c r="E620" s="332"/>
      <c r="F620" s="284"/>
      <c r="G620" s="284"/>
      <c r="H620" s="284"/>
      <c r="I620" s="284"/>
      <c r="J620" s="284"/>
      <c r="K620" s="284"/>
      <c r="L620" s="284"/>
      <c r="M620" s="284"/>
      <c r="N620" s="333"/>
      <c r="O620" s="284"/>
      <c r="P620" s="284"/>
      <c r="Q620" s="284"/>
      <c r="R620" s="284"/>
      <c r="S620" s="284"/>
      <c r="T620" s="284"/>
      <c r="U620" s="284"/>
      <c r="V620" s="284"/>
      <c r="W620" s="284"/>
      <c r="X620" s="284"/>
      <c r="Y620" s="284"/>
      <c r="Z620" s="284"/>
      <c r="AA620" s="284"/>
      <c r="AB620" s="284"/>
      <c r="AC620" s="284"/>
      <c r="AD620" s="284"/>
      <c r="AE620" s="284"/>
      <c r="AF620" s="284"/>
      <c r="AG620" s="284"/>
      <c r="AH620" s="284"/>
      <c r="AI620" s="284"/>
      <c r="AJ620" s="284"/>
      <c r="AK620" s="284"/>
    </row>
    <row r="621" spans="1:37" ht="12.75" customHeight="1" x14ac:dyDescent="0.45">
      <c r="A621" s="284"/>
      <c r="B621" s="331"/>
      <c r="C621" s="284"/>
      <c r="D621" s="284"/>
      <c r="E621" s="332"/>
      <c r="F621" s="284"/>
      <c r="G621" s="284"/>
      <c r="H621" s="284"/>
      <c r="I621" s="284"/>
      <c r="J621" s="284"/>
      <c r="K621" s="284"/>
      <c r="L621" s="284"/>
      <c r="M621" s="284"/>
      <c r="N621" s="333"/>
      <c r="O621" s="284"/>
      <c r="P621" s="284"/>
      <c r="Q621" s="284"/>
      <c r="R621" s="284"/>
      <c r="S621" s="284"/>
      <c r="T621" s="284"/>
      <c r="U621" s="284"/>
      <c r="V621" s="284"/>
      <c r="W621" s="284"/>
      <c r="X621" s="284"/>
      <c r="Y621" s="284"/>
      <c r="Z621" s="284"/>
      <c r="AA621" s="284"/>
      <c r="AB621" s="284"/>
      <c r="AC621" s="284"/>
      <c r="AD621" s="284"/>
      <c r="AE621" s="284"/>
      <c r="AF621" s="284"/>
      <c r="AG621" s="284"/>
      <c r="AH621" s="284"/>
      <c r="AI621" s="284"/>
      <c r="AJ621" s="284"/>
      <c r="AK621" s="284"/>
    </row>
    <row r="622" spans="1:37" ht="12.75" customHeight="1" x14ac:dyDescent="0.45">
      <c r="A622" s="284"/>
      <c r="B622" s="331"/>
      <c r="C622" s="284"/>
      <c r="D622" s="284"/>
      <c r="E622" s="332"/>
      <c r="F622" s="284"/>
      <c r="G622" s="284"/>
      <c r="H622" s="284"/>
      <c r="I622" s="284"/>
      <c r="J622" s="284"/>
      <c r="K622" s="284"/>
      <c r="L622" s="284"/>
      <c r="M622" s="284"/>
      <c r="N622" s="333"/>
      <c r="O622" s="284"/>
      <c r="P622" s="284"/>
      <c r="Q622" s="284"/>
      <c r="R622" s="284"/>
      <c r="S622" s="284"/>
      <c r="T622" s="284"/>
      <c r="U622" s="284"/>
      <c r="V622" s="284"/>
      <c r="W622" s="284"/>
      <c r="X622" s="284"/>
      <c r="Y622" s="284"/>
      <c r="Z622" s="284"/>
      <c r="AA622" s="284"/>
      <c r="AB622" s="284"/>
      <c r="AC622" s="284"/>
      <c r="AD622" s="284"/>
      <c r="AE622" s="284"/>
      <c r="AF622" s="284"/>
      <c r="AG622" s="284"/>
      <c r="AH622" s="284"/>
      <c r="AI622" s="284"/>
      <c r="AJ622" s="284"/>
      <c r="AK622" s="284"/>
    </row>
    <row r="623" spans="1:37" ht="12.75" customHeight="1" x14ac:dyDescent="0.45">
      <c r="A623" s="284"/>
      <c r="B623" s="331"/>
      <c r="C623" s="284"/>
      <c r="D623" s="284"/>
      <c r="E623" s="332"/>
      <c r="F623" s="284"/>
      <c r="G623" s="284"/>
      <c r="H623" s="284"/>
      <c r="I623" s="284"/>
      <c r="J623" s="284"/>
      <c r="K623" s="284"/>
      <c r="L623" s="284"/>
      <c r="M623" s="284"/>
      <c r="N623" s="333"/>
      <c r="O623" s="284"/>
      <c r="P623" s="284"/>
      <c r="Q623" s="284"/>
      <c r="R623" s="284"/>
      <c r="S623" s="284"/>
      <c r="T623" s="284"/>
      <c r="U623" s="284"/>
      <c r="V623" s="284"/>
      <c r="W623" s="284"/>
      <c r="X623" s="284"/>
      <c r="Y623" s="284"/>
      <c r="Z623" s="284"/>
      <c r="AA623" s="284"/>
      <c r="AB623" s="284"/>
      <c r="AC623" s="284"/>
      <c r="AD623" s="284"/>
      <c r="AE623" s="284"/>
      <c r="AF623" s="284"/>
      <c r="AG623" s="284"/>
      <c r="AH623" s="284"/>
      <c r="AI623" s="284"/>
      <c r="AJ623" s="284"/>
      <c r="AK623" s="284"/>
    </row>
  </sheetData>
  <conditionalFormatting sqref="A2:C2 A4:XFD4 E5:G5 AB28:XFD29 A35:F36 AB35:XFD35 AL36:XFD36 AB37:XFD39 J147:XFD147 J149:XFD155 AB148:XFD148 J140:XFD145 AB138:XFD139 J249:XFD257 G268:XFD269 J260:XFD267 J270:XFD281 A80:C80 G80:XFD80 A72:XFD79 J71:XFD71 J85:XFD91 A95:G98 A132:E135 D92:D94 A92:B94 A81:XFD81 I106:XFD107 E123 H112:H122 I109:XFD126 H92:XFD100 AB101:XFD101 H108:XFD108 H102:XFD105 G105 G109:H109 G127:XFD131 G126:H126 G134:AA135 A99:A116 B117 B120 A121:A131 D122:E122 G123:H123 A46:F49 AB46:XFD49 D45:XFD45 A45:B45 A64:XFD65 A66:B68 A69:XFD70 A40:XFD44 AB132:XFD135 E2:XFD2 A297:XFD1048576 I5:XFD5 A5:D6 E6:F6 A8:F8 A1:XFD1 AB8:XFD8 AB6:XFD6 A13:F13 AB12:XFD13 A14:XFD15 G10:XFD10 A12:B12 A83:XFD84 A82:F82 AB82:XFD82 I136:XFD137 A9:XFD9 A10:D10 D12 D112:F121 F92:G94 G92:AA92 D66:XFD68 A34:XFD34 G46:AA55 G5:AA13 A3:F3 M3:XFD3 G26:XFD27 A26:E33 G30:XFD33 A39:F39 A37:E38 A19:XFD25">
    <cfRule type="expression" dxfId="253" priority="84">
      <formula>_xludf.ISFORMULA(A1)</formula>
    </cfRule>
  </conditionalFormatting>
  <conditionalFormatting sqref="A1">
    <cfRule type="expression" dxfId="252" priority="82">
      <formula>_xlfn.ISFORMULA(A1)</formula>
    </cfRule>
    <cfRule type="expression" dxfId="251" priority="83">
      <formula>_xlfn.ISFORMULA(A1)</formula>
    </cfRule>
  </conditionalFormatting>
  <conditionalFormatting sqref="D2">
    <cfRule type="expression" dxfId="250" priority="81">
      <formula>_xludf.ISFORMULA(D2)</formula>
    </cfRule>
  </conditionalFormatting>
  <conditionalFormatting sqref="G5:AA13">
    <cfRule type="expression" dxfId="249" priority="80">
      <formula>_xludf.ISFORMULA(G5)</formula>
    </cfRule>
  </conditionalFormatting>
  <conditionalFormatting sqref="G37:P39">
    <cfRule type="expression" dxfId="248" priority="75">
      <formula>_xludf.ISFORMULA(G37)</formula>
    </cfRule>
  </conditionalFormatting>
  <conditionalFormatting sqref="G28:N28">
    <cfRule type="expression" dxfId="247" priority="79">
      <formula>_xludf.ISFORMULA(G28)</formula>
    </cfRule>
  </conditionalFormatting>
  <conditionalFormatting sqref="O28:AA28">
    <cfRule type="expression" dxfId="246" priority="78">
      <formula>_xludf.ISFORMULA(O28)</formula>
    </cfRule>
  </conditionalFormatting>
  <conditionalFormatting sqref="G35:N35">
    <cfRule type="expression" dxfId="245" priority="77">
      <formula>_xludf.ISFORMULA(G35)</formula>
    </cfRule>
  </conditionalFormatting>
  <conditionalFormatting sqref="O35:AA35 Q37:AA39">
    <cfRule type="expression" dxfId="244" priority="76">
      <formula>_xludf.ISFORMULA(O35)</formula>
    </cfRule>
  </conditionalFormatting>
  <conditionalFormatting sqref="I195:XFD196 J198:XFD212 AB197:XFD197">
    <cfRule type="expression" dxfId="243" priority="71">
      <formula>_xludf.ISFORMULA(I195)</formula>
    </cfRule>
  </conditionalFormatting>
  <conditionalFormatting sqref="I156:XFD157 J159:XFD165 J167:XFD167 J170:XFD176 AB158:XFD158">
    <cfRule type="expression" dxfId="242" priority="73">
      <formula>_xludf.ISFORMULA(I156)</formula>
    </cfRule>
  </conditionalFormatting>
  <conditionalFormatting sqref="I177:XFD178 J180:XFD194 AB179:XFD179">
    <cfRule type="expression" dxfId="241" priority="72">
      <formula>_xludf.ISFORMULA(I177)</formula>
    </cfRule>
  </conditionalFormatting>
  <conditionalFormatting sqref="I213:XFD214 J216:XFD230 AB215:XFD215">
    <cfRule type="expression" dxfId="240" priority="70">
      <formula>_xludf.ISFORMULA(I213)</formula>
    </cfRule>
  </conditionalFormatting>
  <conditionalFormatting sqref="I231:XFD232 J233:XFD248">
    <cfRule type="expression" dxfId="239" priority="69">
      <formula>_xludf.ISFORMULA(I231)</formula>
    </cfRule>
  </conditionalFormatting>
  <conditionalFormatting sqref="G233:AA233">
    <cfRule type="expression" dxfId="238" priority="68">
      <formula>_xludf.ISFORMULA(G233)</formula>
    </cfRule>
  </conditionalFormatting>
  <conditionalFormatting sqref="AB146:XFD146">
    <cfRule type="expression" dxfId="237" priority="67">
      <formula>_xludf.ISFORMULA(AB146)</formula>
    </cfRule>
  </conditionalFormatting>
  <conditionalFormatting sqref="AB166:XFD166">
    <cfRule type="expression" dxfId="236" priority="66">
      <formula>_xludf.ISFORMULA(AB166)</formula>
    </cfRule>
  </conditionalFormatting>
  <conditionalFormatting sqref="G168:XFD168">
    <cfRule type="expression" dxfId="235" priority="65">
      <formula>_xludf.ISFORMULA(G168)</formula>
    </cfRule>
  </conditionalFormatting>
  <conditionalFormatting sqref="J169:XFD169">
    <cfRule type="expression" dxfId="234" priority="64">
      <formula>_xludf.ISFORMULA(J169)</formula>
    </cfRule>
  </conditionalFormatting>
  <conditionalFormatting sqref="J258:XFD259">
    <cfRule type="expression" dxfId="233" priority="63">
      <formula>_xludf.ISFORMULA(J258)</formula>
    </cfRule>
  </conditionalFormatting>
  <conditionalFormatting sqref="G29:N29">
    <cfRule type="expression" dxfId="232" priority="62">
      <formula>_xludf.ISFORMULA(G29)</formula>
    </cfRule>
  </conditionalFormatting>
  <conditionalFormatting sqref="O29:AA29">
    <cfRule type="expression" dxfId="231" priority="61">
      <formula>_xludf.ISFORMULA(O29)</formula>
    </cfRule>
  </conditionalFormatting>
  <conditionalFormatting sqref="B129">
    <cfRule type="expression" dxfId="230" priority="60">
      <formula>_xludf.ISFORMULA(B129)</formula>
    </cfRule>
  </conditionalFormatting>
  <conditionalFormatting sqref="G127:AA129">
    <cfRule type="expression" dxfId="229" priority="59">
      <formula>_xludf.ISFORMULA(G127)</formula>
    </cfRule>
  </conditionalFormatting>
  <conditionalFormatting sqref="G127:AA129">
    <cfRule type="expression" dxfId="228" priority="58">
      <formula>_xludf.ISFORMULA(G127)</formula>
    </cfRule>
  </conditionalFormatting>
  <conditionalFormatting sqref="G126">
    <cfRule type="expression" dxfId="227" priority="57">
      <formula>_xludf.ISFORMULA(G126)</formula>
    </cfRule>
  </conditionalFormatting>
  <conditionalFormatting sqref="G134:AA135">
    <cfRule type="expression" dxfId="226" priority="48">
      <formula>_xludf.ISFORMULA(G134)</formula>
    </cfRule>
  </conditionalFormatting>
  <conditionalFormatting sqref="G103:AA105">
    <cfRule type="expression" dxfId="225" priority="56">
      <formula>_xludf.ISFORMULA(G103)</formula>
    </cfRule>
  </conditionalFormatting>
  <conditionalFormatting sqref="G131:AA131">
    <cfRule type="expression" dxfId="224" priority="55">
      <formula>_xludf.ISFORMULA(G131)</formula>
    </cfRule>
  </conditionalFormatting>
  <conditionalFormatting sqref="G132:AA132">
    <cfRule type="expression" dxfId="223" priority="54">
      <formula>_xludf.ISFORMULA(G132)</formula>
    </cfRule>
  </conditionalFormatting>
  <conditionalFormatting sqref="G132:AA132">
    <cfRule type="expression" dxfId="222" priority="53">
      <formula>_xludf.ISFORMULA(G132)</formula>
    </cfRule>
  </conditionalFormatting>
  <conditionalFormatting sqref="G132:AA132">
    <cfRule type="expression" dxfId="221" priority="52">
      <formula>_xludf.ISFORMULA(G132)</formula>
    </cfRule>
  </conditionalFormatting>
  <conditionalFormatting sqref="G133:AA133">
    <cfRule type="expression" dxfId="220" priority="51">
      <formula>_xludf.ISFORMULA(G133)</formula>
    </cfRule>
  </conditionalFormatting>
  <conditionalFormatting sqref="G133:AA133">
    <cfRule type="expression" dxfId="219" priority="50">
      <formula>_xludf.ISFORMULA(G133)</formula>
    </cfRule>
  </conditionalFormatting>
  <conditionalFormatting sqref="G133:AA133">
    <cfRule type="expression" dxfId="218" priority="49">
      <formula>_xludf.ISFORMULA(G133)</formula>
    </cfRule>
  </conditionalFormatting>
  <conditionalFormatting sqref="A50:F51 AB50:XFD51 A57:F61 AB57:XFD57 AL58:XFD58 AB59:XFD61 A62:XFD63 A52:XFD56">
    <cfRule type="expression" dxfId="217" priority="47">
      <formula>_xludf.ISFORMULA(A50)</formula>
    </cfRule>
  </conditionalFormatting>
  <conditionalFormatting sqref="H59:P59 G60:AA61">
    <cfRule type="expression" dxfId="216" priority="42">
      <formula>_xludf.ISFORMULA(G59)</formula>
    </cfRule>
  </conditionalFormatting>
  <conditionalFormatting sqref="G50:AA50">
    <cfRule type="expression" dxfId="215" priority="46">
      <formula>_xludf.ISFORMULA(G50)</formula>
    </cfRule>
  </conditionalFormatting>
  <conditionalFormatting sqref="O50:AA50">
    <cfRule type="expression" dxfId="214" priority="45">
      <formula>_xludf.ISFORMULA(O50)</formula>
    </cfRule>
  </conditionalFormatting>
  <conditionalFormatting sqref="H57:N57">
    <cfRule type="expression" dxfId="213" priority="44">
      <formula>_xludf.ISFORMULA(H57)</formula>
    </cfRule>
  </conditionalFormatting>
  <conditionalFormatting sqref="O57:AA57 Q59:AA61">
    <cfRule type="expression" dxfId="212" priority="43">
      <formula>_xludf.ISFORMULA(O57)</formula>
    </cfRule>
  </conditionalFormatting>
  <conditionalFormatting sqref="G51:AA51">
    <cfRule type="expression" dxfId="211" priority="41">
      <formula>_xludf.ISFORMULA(G51)</formula>
    </cfRule>
  </conditionalFormatting>
  <conditionalFormatting sqref="O51:AA51">
    <cfRule type="expression" dxfId="210" priority="40">
      <formula>_xludf.ISFORMULA(O51)</formula>
    </cfRule>
  </conditionalFormatting>
  <conditionalFormatting sqref="G59:AA61">
    <cfRule type="expression" dxfId="209" priority="39">
      <formula>_xludf.ISFORMULA(G59)</formula>
    </cfRule>
  </conditionalFormatting>
  <conditionalFormatting sqref="G57:AA57">
    <cfRule type="expression" dxfId="208" priority="38">
      <formula>_xludf.ISFORMULA(G57)</formula>
    </cfRule>
  </conditionalFormatting>
  <conditionalFormatting sqref="F122:F123">
    <cfRule type="expression" dxfId="207" priority="37">
      <formula>_xludf.ISFORMULA(F122)</formula>
    </cfRule>
  </conditionalFormatting>
  <conditionalFormatting sqref="A11:F11 AB11:XFD11">
    <cfRule type="expression" dxfId="206" priority="36">
      <formula>_xludf.ISFORMULA(A11)</formula>
    </cfRule>
  </conditionalFormatting>
  <conditionalFormatting sqref="A7:F7 AB7:XFD7">
    <cfRule type="expression" dxfId="205" priority="35">
      <formula>_xludf.ISFORMULA(A7)</formula>
    </cfRule>
  </conditionalFormatting>
  <conditionalFormatting sqref="A16:XFD18">
    <cfRule type="expression" dxfId="204" priority="34">
      <formula>_xludf.ISFORMULA(A16)</formula>
    </cfRule>
  </conditionalFormatting>
  <conditionalFormatting sqref="E10">
    <cfRule type="expression" dxfId="203" priority="33">
      <formula>_xludf.ISFORMULA(E10)</formula>
    </cfRule>
  </conditionalFormatting>
  <conditionalFormatting sqref="E12:F12">
    <cfRule type="expression" dxfId="202" priority="32">
      <formula>_xludf.ISFORMULA(E12)</formula>
    </cfRule>
  </conditionalFormatting>
  <conditionalFormatting sqref="G82:AA82">
    <cfRule type="expression" dxfId="201" priority="31">
      <formula>_xludf.ISFORMULA(G82)</formula>
    </cfRule>
  </conditionalFormatting>
  <conditionalFormatting sqref="G197:AA197">
    <cfRule type="expression" dxfId="200" priority="28">
      <formula>_xludf.ISFORMULA(G197)</formula>
    </cfRule>
  </conditionalFormatting>
  <conditionalFormatting sqref="E290:F290">
    <cfRule type="expression" dxfId="199" priority="11">
      <formula>_xludf.ISFORMULA(E290)</formula>
    </cfRule>
  </conditionalFormatting>
  <conditionalFormatting sqref="C290">
    <cfRule type="expression" dxfId="198" priority="10">
      <formula>_xludf.ISFORMULA(C290)</formula>
    </cfRule>
  </conditionalFormatting>
  <conditionalFormatting sqref="H283">
    <cfRule type="expression" dxfId="197" priority="8">
      <formula>_xludf.ISFORMULA(H283)</formula>
    </cfRule>
  </conditionalFormatting>
  <conditionalFormatting sqref="G179:AA179">
    <cfRule type="expression" dxfId="196" priority="7">
      <formula>_xludf.ISFORMULA(G179)</formula>
    </cfRule>
  </conditionalFormatting>
  <conditionalFormatting sqref="G158:AA158">
    <cfRule type="expression" dxfId="195" priority="6">
      <formula>_xludf.ISFORMULA(G158)</formula>
    </cfRule>
  </conditionalFormatting>
  <conditionalFormatting sqref="C12">
    <cfRule type="expression" dxfId="194" priority="20">
      <formula>_xludf.ISFORMULA(C12)</formula>
    </cfRule>
  </conditionalFormatting>
  <conditionalFormatting sqref="F10">
    <cfRule type="expression" dxfId="193" priority="19">
      <formula>_xludf.ISFORMULA(F10)</formula>
    </cfRule>
  </conditionalFormatting>
  <conditionalFormatting sqref="H5 U5">
    <cfRule type="expression" dxfId="192" priority="18">
      <formula>_xludf.ISFORMULA(H5)</formula>
    </cfRule>
  </conditionalFormatting>
  <conditionalFormatting sqref="A282:XFD282 E283:G283 I283:XFD283 A283:D284 E284:F284 A286:F286 AB286:XFD286 AB284:XFD284 A291:F291 AB290:XFD291 A292:XFD293 G288:XFD288 A290:B290 A287:XFD287 A288:D288 D290 G283:AA291">
    <cfRule type="expression" dxfId="191" priority="17">
      <formula>_xludf.ISFORMULA(A282)</formula>
    </cfRule>
  </conditionalFormatting>
  <conditionalFormatting sqref="G283:AA291">
    <cfRule type="expression" dxfId="190" priority="16">
      <formula>_xludf.ISFORMULA(G283)</formula>
    </cfRule>
  </conditionalFormatting>
  <conditionalFormatting sqref="A289:F289 AB289:XFD289">
    <cfRule type="expression" dxfId="189" priority="15">
      <formula>_xludf.ISFORMULA(A289)</formula>
    </cfRule>
  </conditionalFormatting>
  <conditionalFormatting sqref="A285:F285 AB285:XFD285">
    <cfRule type="expression" dxfId="188" priority="14">
      <formula>_xludf.ISFORMULA(A285)</formula>
    </cfRule>
  </conditionalFormatting>
  <conditionalFormatting sqref="A294:XFD296">
    <cfRule type="expression" dxfId="187" priority="13">
      <formula>_xludf.ISFORMULA(A294)</formula>
    </cfRule>
  </conditionalFormatting>
  <conditionalFormatting sqref="E288">
    <cfRule type="expression" dxfId="186" priority="12">
      <formula>_xludf.ISFORMULA(E288)</formula>
    </cfRule>
  </conditionalFormatting>
  <conditionalFormatting sqref="G215:AA215">
    <cfRule type="expression" dxfId="185" priority="4">
      <formula>_xludf.ISFORMULA(G215)</formula>
    </cfRule>
  </conditionalFormatting>
  <conditionalFormatting sqref="F288">
    <cfRule type="expression" dxfId="184" priority="3">
      <formula>_xludf.ISFORMULA(F288)</formula>
    </cfRule>
  </conditionalFormatting>
  <conditionalFormatting sqref="G138:AA138">
    <cfRule type="expression" dxfId="183" priority="2">
      <formula>_xludf.ISFORMULA(G138)</formula>
    </cfRule>
  </conditionalFormatting>
  <conditionalFormatting sqref="G3:L3">
    <cfRule type="expression" dxfId="182" priority="1">
      <formula>_xlfn.ISFORMULA(INDIRECT("rc",FALSE))</formula>
    </cfRule>
  </conditionalFormatting>
  <pageMargins left="0.23622047244094491" right="0.23622047244094491" top="0.74803149606299213" bottom="0.74803149606299213" header="0.31496062992125984" footer="0.31496062992125984"/>
  <pageSetup paperSize="9" scale="63"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BC470"/>
  <sheetViews>
    <sheetView showGridLines="0" zoomScale="70" zoomScaleNormal="70" workbookViewId="0">
      <pane xSplit="6" ySplit="10" topLeftCell="G164" activePane="bottomRight" state="frozen"/>
      <selection activeCell="H11" sqref="H11"/>
      <selection pane="topRight" activeCell="H11" sqref="H11"/>
      <selection pane="bottomLeft" activeCell="H11" sqref="H11"/>
      <selection pane="bottomRight" activeCell="H393" sqref="H393"/>
    </sheetView>
  </sheetViews>
  <sheetFormatPr defaultColWidth="9.1328125" defaultRowHeight="14.25" x14ac:dyDescent="0.45"/>
  <cols>
    <col min="1" max="1" width="4.3984375" style="2" customWidth="1"/>
    <col min="2" max="2" width="4" style="2" customWidth="1"/>
    <col min="3" max="3" width="19" style="2" customWidth="1"/>
    <col min="4" max="4" width="64" style="2" customWidth="1"/>
    <col min="5" max="5" width="24.3984375" style="23" customWidth="1"/>
    <col min="6" max="6" width="20" style="2" customWidth="1"/>
    <col min="7" max="27" width="18.1328125" style="2" customWidth="1"/>
    <col min="28" max="39" width="10.86328125" style="2" customWidth="1"/>
    <col min="40" max="40" width="12.59765625" style="2" customWidth="1"/>
    <col min="41" max="16384" width="9.1328125" style="2"/>
  </cols>
  <sheetData>
    <row r="1" spans="1:55" x14ac:dyDescent="0.45">
      <c r="A1" s="18" t="str">
        <f ca="1">RIGHT(CELL("filename",$A$1),LEN(CELL("filename",$A$1))-FIND("]",CELL("filename",$A$1)))</f>
        <v>Financial Overview</v>
      </c>
      <c r="E1" s="126">
        <f ca="1">F414</f>
        <v>16243658.526131678</v>
      </c>
      <c r="F1" s="127">
        <f ca="1">MIN($G$303:$AM$303)</f>
        <v>559751.44489366515</v>
      </c>
      <c r="G1" s="20">
        <v>1</v>
      </c>
      <c r="H1" s="20">
        <v>2</v>
      </c>
      <c r="I1" s="20">
        <v>3</v>
      </c>
      <c r="J1" s="20">
        <v>4</v>
      </c>
      <c r="K1" s="20">
        <v>5</v>
      </c>
      <c r="L1" s="20">
        <v>6</v>
      </c>
      <c r="M1" s="20">
        <v>7</v>
      </c>
      <c r="N1" s="20">
        <v>8</v>
      </c>
      <c r="O1" s="20">
        <v>9</v>
      </c>
      <c r="P1" s="20">
        <v>10</v>
      </c>
      <c r="Q1" s="20">
        <v>11</v>
      </c>
      <c r="R1" s="20">
        <v>12</v>
      </c>
      <c r="S1" s="20">
        <v>13</v>
      </c>
      <c r="T1" s="20">
        <v>14</v>
      </c>
      <c r="U1" s="20">
        <v>15</v>
      </c>
      <c r="V1" s="20"/>
    </row>
    <row r="2" spans="1:55" x14ac:dyDescent="0.45">
      <c r="A2" s="18"/>
      <c r="B2" s="21"/>
      <c r="C2" s="21"/>
      <c r="E2" s="2"/>
      <c r="F2" s="486"/>
      <c r="G2" s="261"/>
      <c r="H2" s="261"/>
      <c r="I2" s="261"/>
      <c r="J2" s="261"/>
      <c r="K2" s="261"/>
      <c r="L2" s="261"/>
    </row>
    <row r="3" spans="1:55" x14ac:dyDescent="0.45">
      <c r="A3" s="4" t="s">
        <v>6</v>
      </c>
      <c r="E3" s="2"/>
      <c r="F3" s="486"/>
      <c r="G3" s="262"/>
      <c r="H3" s="262"/>
      <c r="I3" s="262"/>
      <c r="J3" s="262"/>
      <c r="K3" s="262"/>
      <c r="L3" s="262"/>
    </row>
    <row r="4" spans="1:55" x14ac:dyDescent="0.45">
      <c r="A4" s="5"/>
      <c r="B4" s="6" t="s">
        <v>7</v>
      </c>
      <c r="C4" s="118"/>
      <c r="D4" s="7"/>
      <c r="E4" s="2"/>
      <c r="F4" s="486"/>
      <c r="G4" s="262"/>
      <c r="H4" s="262"/>
      <c r="I4" s="262"/>
      <c r="J4" s="262"/>
      <c r="K4" s="262"/>
      <c r="L4" s="262"/>
    </row>
    <row r="5" spans="1:55" x14ac:dyDescent="0.45">
      <c r="A5" s="8"/>
      <c r="B5" s="6" t="s">
        <v>8</v>
      </c>
      <c r="C5" s="118"/>
      <c r="D5" s="7"/>
      <c r="E5" s="2"/>
      <c r="F5" s="486"/>
      <c r="G5" s="263"/>
      <c r="H5" s="263"/>
      <c r="I5" s="263"/>
      <c r="J5" s="263"/>
      <c r="K5" s="263"/>
      <c r="L5" s="263"/>
    </row>
    <row r="6" spans="1:55" x14ac:dyDescent="0.45">
      <c r="A6" s="9"/>
      <c r="B6" s="6" t="s">
        <v>9</v>
      </c>
      <c r="C6" s="118"/>
      <c r="D6" s="7"/>
      <c r="E6" s="2"/>
      <c r="F6" s="486"/>
      <c r="G6" s="19">
        <f t="shared" ref="G6:S6" ca="1" si="0">G303</f>
        <v>596774.65500491671</v>
      </c>
      <c r="H6" s="19">
        <f t="shared" ca="1" si="0"/>
        <v>559751.44489366515</v>
      </c>
      <c r="I6" s="19">
        <f t="shared" ca="1" si="0"/>
        <v>3329013.1213671113</v>
      </c>
      <c r="J6" s="19">
        <f t="shared" ca="1" si="0"/>
        <v>5545410.5291152643</v>
      </c>
      <c r="K6" s="19">
        <f t="shared" ca="1" si="0"/>
        <v>7888984.1662379857</v>
      </c>
      <c r="L6" s="19">
        <f t="shared" ca="1" si="0"/>
        <v>10371977.065185256</v>
      </c>
      <c r="M6" s="19">
        <f t="shared" ca="1" si="0"/>
        <v>13001151.913905784</v>
      </c>
      <c r="N6" s="19">
        <f t="shared" ca="1" si="0"/>
        <v>15783522.047974804</v>
      </c>
      <c r="O6" s="19">
        <f t="shared" ca="1" si="0"/>
        <v>18726413.875480209</v>
      </c>
      <c r="P6" s="19">
        <f t="shared" ca="1" si="0"/>
        <v>21837480.913023874</v>
      </c>
      <c r="Q6" s="19">
        <f t="shared" ca="1" si="0"/>
        <v>25124717.982237659</v>
      </c>
      <c r="R6" s="19">
        <f t="shared" ca="1" si="0"/>
        <v>28596476.010630459</v>
      </c>
      <c r="S6" s="19">
        <f t="shared" ca="1" si="0"/>
        <v>32261477.466275111</v>
      </c>
    </row>
    <row r="7" spans="1:55" x14ac:dyDescent="0.45">
      <c r="A7" s="10"/>
      <c r="B7" s="710" t="s">
        <v>10</v>
      </c>
      <c r="C7" s="711"/>
      <c r="D7" s="712"/>
      <c r="E7" s="2"/>
      <c r="F7" s="486"/>
      <c r="G7" s="263"/>
      <c r="H7" s="263"/>
      <c r="I7" s="263"/>
      <c r="J7" s="263"/>
      <c r="K7" s="263"/>
      <c r="L7" s="263"/>
    </row>
    <row r="8" spans="1:55" customFormat="1" x14ac:dyDescent="0.45">
      <c r="A8" s="680"/>
      <c r="B8" s="710" t="s">
        <v>878</v>
      </c>
      <c r="C8" s="711"/>
      <c r="D8" s="712"/>
      <c r="E8" s="2"/>
      <c r="G8" s="263"/>
      <c r="H8" s="263"/>
      <c r="I8" s="263"/>
      <c r="J8" s="263"/>
      <c r="K8" s="263"/>
      <c r="L8" s="263"/>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row>
    <row r="9" spans="1:55" x14ac:dyDescent="0.45">
      <c r="G9" s="24">
        <v>1</v>
      </c>
      <c r="H9" s="24">
        <v>2</v>
      </c>
      <c r="I9" s="24">
        <v>3</v>
      </c>
      <c r="J9" s="24">
        <v>4</v>
      </c>
      <c r="K9" s="24">
        <v>5</v>
      </c>
      <c r="L9" s="24">
        <v>6</v>
      </c>
      <c r="M9" s="24">
        <v>7</v>
      </c>
      <c r="N9" s="24">
        <v>8</v>
      </c>
      <c r="O9" s="24">
        <v>9</v>
      </c>
      <c r="P9" s="24">
        <v>10</v>
      </c>
      <c r="Q9" s="24">
        <v>11</v>
      </c>
      <c r="R9" s="24">
        <v>12</v>
      </c>
      <c r="S9" s="24">
        <v>13</v>
      </c>
      <c r="T9" s="24">
        <v>14</v>
      </c>
      <c r="U9" s="24">
        <v>15</v>
      </c>
      <c r="V9" s="24">
        <v>16</v>
      </c>
      <c r="W9" s="24">
        <v>17</v>
      </c>
      <c r="X9" s="24">
        <v>18</v>
      </c>
      <c r="Y9" s="24">
        <v>19</v>
      </c>
      <c r="Z9" s="24">
        <v>20</v>
      </c>
      <c r="AA9" s="24">
        <v>21</v>
      </c>
    </row>
    <row r="10" spans="1:55" s="26" customFormat="1" x14ac:dyDescent="0.45">
      <c r="A10" s="25"/>
      <c r="C10" s="102"/>
      <c r="D10" s="102" t="s">
        <v>116</v>
      </c>
      <c r="E10" s="27" t="s">
        <v>0</v>
      </c>
      <c r="F10" s="28"/>
      <c r="G10" s="29">
        <v>2020</v>
      </c>
      <c r="H10" s="29">
        <f>G10+1</f>
        <v>2021</v>
      </c>
      <c r="I10" s="29">
        <f t="shared" ref="I10:AA10" si="1">H10+1</f>
        <v>2022</v>
      </c>
      <c r="J10" s="29">
        <f t="shared" si="1"/>
        <v>2023</v>
      </c>
      <c r="K10" s="29">
        <f t="shared" si="1"/>
        <v>2024</v>
      </c>
      <c r="L10" s="29">
        <f t="shared" si="1"/>
        <v>2025</v>
      </c>
      <c r="M10" s="29">
        <f t="shared" si="1"/>
        <v>2026</v>
      </c>
      <c r="N10" s="29">
        <f t="shared" si="1"/>
        <v>2027</v>
      </c>
      <c r="O10" s="29">
        <f t="shared" si="1"/>
        <v>2028</v>
      </c>
      <c r="P10" s="29">
        <f t="shared" si="1"/>
        <v>2029</v>
      </c>
      <c r="Q10" s="29">
        <f t="shared" si="1"/>
        <v>2030</v>
      </c>
      <c r="R10" s="29">
        <f t="shared" si="1"/>
        <v>2031</v>
      </c>
      <c r="S10" s="29">
        <f t="shared" si="1"/>
        <v>2032</v>
      </c>
      <c r="T10" s="29">
        <f t="shared" si="1"/>
        <v>2033</v>
      </c>
      <c r="U10" s="29">
        <f t="shared" si="1"/>
        <v>2034</v>
      </c>
      <c r="V10" s="29">
        <f t="shared" si="1"/>
        <v>2035</v>
      </c>
      <c r="W10" s="29">
        <f t="shared" si="1"/>
        <v>2036</v>
      </c>
      <c r="X10" s="29">
        <f t="shared" si="1"/>
        <v>2037</v>
      </c>
      <c r="Y10" s="29">
        <f t="shared" si="1"/>
        <v>2038</v>
      </c>
      <c r="Z10" s="29">
        <f t="shared" si="1"/>
        <v>2039</v>
      </c>
      <c r="AA10" s="29">
        <f t="shared" si="1"/>
        <v>2040</v>
      </c>
    </row>
    <row r="11" spans="1:55" x14ac:dyDescent="0.45">
      <c r="A11" s="32"/>
      <c r="B11" s="4"/>
      <c r="C11" s="4"/>
    </row>
    <row r="12" spans="1:55" x14ac:dyDescent="0.45">
      <c r="A12" s="32"/>
      <c r="B12" s="4" t="s">
        <v>167</v>
      </c>
      <c r="D12" s="23"/>
      <c r="E12" s="2"/>
    </row>
    <row r="13" spans="1:55" x14ac:dyDescent="0.45">
      <c r="A13" s="32"/>
      <c r="B13" s="4"/>
      <c r="D13" s="2" t="s">
        <v>529</v>
      </c>
      <c r="E13" s="23" t="s">
        <v>21</v>
      </c>
      <c r="G13" s="33">
        <v>0.08</v>
      </c>
      <c r="H13" s="33">
        <v>0.08</v>
      </c>
      <c r="I13" s="33">
        <v>0.08</v>
      </c>
      <c r="J13" s="33">
        <v>0.08</v>
      </c>
      <c r="K13" s="33">
        <v>0.08</v>
      </c>
      <c r="L13" s="33">
        <v>0.08</v>
      </c>
      <c r="M13" s="33">
        <v>0.08</v>
      </c>
      <c r="N13" s="33">
        <v>0.08</v>
      </c>
      <c r="O13" s="33">
        <v>0.08</v>
      </c>
      <c r="P13" s="33">
        <v>0.08</v>
      </c>
      <c r="Q13" s="33">
        <v>0.08</v>
      </c>
      <c r="R13" s="33">
        <v>0.08</v>
      </c>
      <c r="S13" s="33">
        <v>0.08</v>
      </c>
      <c r="T13" s="33">
        <v>0.08</v>
      </c>
      <c r="U13" s="33">
        <v>0.08</v>
      </c>
      <c r="V13" s="33">
        <v>0.08</v>
      </c>
      <c r="W13" s="33">
        <v>0.08</v>
      </c>
      <c r="X13" s="33">
        <v>0.08</v>
      </c>
      <c r="Y13" s="33">
        <v>0.08</v>
      </c>
      <c r="Z13" s="33">
        <v>0.08</v>
      </c>
      <c r="AA13" s="33">
        <v>0.08</v>
      </c>
    </row>
    <row r="14" spans="1:55" x14ac:dyDescent="0.45">
      <c r="A14" s="32"/>
      <c r="B14" s="4"/>
      <c r="D14" s="2" t="s">
        <v>530</v>
      </c>
      <c r="E14" s="23" t="s">
        <v>21</v>
      </c>
      <c r="G14" s="33">
        <v>0.08</v>
      </c>
      <c r="H14" s="33">
        <v>0.08</v>
      </c>
      <c r="I14" s="33">
        <v>0.08</v>
      </c>
      <c r="J14" s="33">
        <v>0.08</v>
      </c>
      <c r="K14" s="33">
        <v>0.08</v>
      </c>
      <c r="L14" s="33">
        <v>0.08</v>
      </c>
      <c r="M14" s="33">
        <v>0.08</v>
      </c>
      <c r="N14" s="33">
        <v>0.08</v>
      </c>
      <c r="O14" s="33">
        <v>0.08</v>
      </c>
      <c r="P14" s="33">
        <v>0.08</v>
      </c>
      <c r="Q14" s="33">
        <v>0.08</v>
      </c>
      <c r="R14" s="33">
        <v>0.08</v>
      </c>
      <c r="S14" s="33">
        <v>0.08</v>
      </c>
      <c r="T14" s="33">
        <v>0.08</v>
      </c>
      <c r="U14" s="33">
        <v>0.08</v>
      </c>
      <c r="V14" s="33">
        <v>0.08</v>
      </c>
      <c r="W14" s="33">
        <v>0.08</v>
      </c>
      <c r="X14" s="33">
        <v>0.08</v>
      </c>
      <c r="Y14" s="33">
        <v>0.08</v>
      </c>
      <c r="Z14" s="33">
        <v>0.08</v>
      </c>
      <c r="AA14" s="33">
        <v>0.08</v>
      </c>
    </row>
    <row r="15" spans="1:55" x14ac:dyDescent="0.45">
      <c r="A15" s="32"/>
      <c r="B15" s="4"/>
      <c r="D15" s="2" t="s">
        <v>531</v>
      </c>
      <c r="E15" s="23" t="s">
        <v>21</v>
      </c>
      <c r="G15" s="33">
        <v>0.05</v>
      </c>
      <c r="H15" s="33">
        <v>0.05</v>
      </c>
      <c r="I15" s="33">
        <v>0.05</v>
      </c>
      <c r="J15" s="33">
        <v>0.05</v>
      </c>
      <c r="K15" s="33">
        <v>0.05</v>
      </c>
      <c r="L15" s="33">
        <v>0.05</v>
      </c>
      <c r="M15" s="33">
        <v>0.05</v>
      </c>
      <c r="N15" s="33">
        <v>0.05</v>
      </c>
      <c r="O15" s="33">
        <v>0.05</v>
      </c>
      <c r="P15" s="33">
        <v>0.05</v>
      </c>
      <c r="Q15" s="33">
        <v>0.05</v>
      </c>
      <c r="R15" s="33">
        <v>0.05</v>
      </c>
      <c r="S15" s="33">
        <v>0.05</v>
      </c>
      <c r="T15" s="33">
        <v>0.05</v>
      </c>
      <c r="U15" s="33">
        <v>0.05</v>
      </c>
      <c r="V15" s="33">
        <v>0.05</v>
      </c>
      <c r="W15" s="33">
        <v>0.05</v>
      </c>
      <c r="X15" s="33">
        <v>0.05</v>
      </c>
      <c r="Y15" s="33">
        <v>0.05</v>
      </c>
      <c r="Z15" s="33">
        <v>0.05</v>
      </c>
      <c r="AA15" s="33">
        <v>0.05</v>
      </c>
    </row>
    <row r="16" spans="1:55" x14ac:dyDescent="0.45">
      <c r="A16" s="32"/>
      <c r="B16" s="4"/>
      <c r="D16" s="2" t="s">
        <v>166</v>
      </c>
      <c r="E16" s="23" t="s">
        <v>21</v>
      </c>
      <c r="G16" s="33">
        <v>0.12</v>
      </c>
      <c r="H16" s="33">
        <v>0.12</v>
      </c>
      <c r="I16" s="33">
        <v>0.12</v>
      </c>
      <c r="J16" s="33">
        <v>0.12</v>
      </c>
      <c r="K16" s="33">
        <v>0.12</v>
      </c>
      <c r="L16" s="33">
        <v>0.12</v>
      </c>
      <c r="M16" s="33">
        <v>0.12</v>
      </c>
      <c r="N16" s="33">
        <v>0.12</v>
      </c>
      <c r="O16" s="33">
        <v>0.12</v>
      </c>
      <c r="P16" s="33">
        <v>0.12</v>
      </c>
      <c r="Q16" s="33">
        <v>0.12</v>
      </c>
      <c r="R16" s="33">
        <v>0.12</v>
      </c>
      <c r="S16" s="33">
        <v>0.12</v>
      </c>
      <c r="T16" s="33">
        <v>0.12</v>
      </c>
      <c r="U16" s="33">
        <v>0.12</v>
      </c>
      <c r="V16" s="33">
        <v>0.12</v>
      </c>
      <c r="W16" s="33">
        <v>0.12</v>
      </c>
      <c r="X16" s="33">
        <v>0.12</v>
      </c>
      <c r="Y16" s="33">
        <v>0.12</v>
      </c>
      <c r="Z16" s="33">
        <v>0.12</v>
      </c>
      <c r="AA16" s="33">
        <v>0.12</v>
      </c>
    </row>
    <row r="17" spans="1:27" x14ac:dyDescent="0.45">
      <c r="A17" s="34"/>
      <c r="G17" s="35"/>
    </row>
    <row r="18" spans="1:27" x14ac:dyDescent="0.45">
      <c r="A18" s="32"/>
      <c r="B18" s="4" t="s">
        <v>507</v>
      </c>
      <c r="C18" s="4"/>
      <c r="F18" s="36"/>
    </row>
    <row r="19" spans="1:27" x14ac:dyDescent="0.45">
      <c r="A19" s="32"/>
      <c r="B19" s="4"/>
      <c r="C19" s="2" t="s">
        <v>114</v>
      </c>
      <c r="D19" s="2" t="str">
        <f>Assumptions!D60</f>
        <v>Landscaping</v>
      </c>
      <c r="E19" s="23" t="s">
        <v>812</v>
      </c>
      <c r="F19" s="36"/>
      <c r="G19" s="83">
        <f>Assumptions!I84</f>
        <v>120200.33388981636</v>
      </c>
      <c r="H19" s="83">
        <f>G19*(1+Assumptions!$H$184)</f>
        <v>122604.3405676127</v>
      </c>
      <c r="I19" s="83">
        <f>H19*(1+Assumptions!$H$184)</f>
        <v>125056.42737896496</v>
      </c>
      <c r="J19" s="83">
        <f>I19*(1+Assumptions!$H$184)</f>
        <v>127557.55592654426</v>
      </c>
      <c r="K19" s="83">
        <f>J19*(1+Assumptions!$H$184)</f>
        <v>130108.70704507515</v>
      </c>
      <c r="L19" s="83">
        <f>K19*(1+Assumptions!$H$184)</f>
        <v>132710.88118597664</v>
      </c>
      <c r="M19" s="83">
        <f>L19*(1+Assumptions!$H$184)</f>
        <v>135365.09880969618</v>
      </c>
      <c r="N19" s="83">
        <f>M19*(1+Assumptions!$H$184)</f>
        <v>138072.40078589012</v>
      </c>
      <c r="O19" s="83">
        <f>N19*(1+Assumptions!$H$184)</f>
        <v>140833.84880160794</v>
      </c>
      <c r="P19" s="83">
        <f>O19*(1+Assumptions!$H$184)</f>
        <v>143650.52577764008</v>
      </c>
      <c r="Q19" s="83">
        <f>P19*(1+Assumptions!$H$184)</f>
        <v>146523.53629319288</v>
      </c>
      <c r="R19" s="83">
        <f>Q19*(1+Assumptions!$H$184)</f>
        <v>149454.00701905673</v>
      </c>
      <c r="S19" s="83">
        <f>R19*(1+Assumptions!$H$184)</f>
        <v>152443.08715943788</v>
      </c>
      <c r="T19" s="83">
        <f>S19*(1+Assumptions!$H$184)</f>
        <v>155491.94890262664</v>
      </c>
      <c r="U19" s="83">
        <f>T19*(1+Assumptions!$H$184)</f>
        <v>158601.78788067919</v>
      </c>
      <c r="V19" s="83">
        <f>U19*(1+Assumptions!$H$184)</f>
        <v>161773.82363829276</v>
      </c>
      <c r="W19" s="83">
        <f>V19*(1+Assumptions!$H$184)</f>
        <v>165009.3001110586</v>
      </c>
      <c r="X19" s="83">
        <f>W19*(1+Assumptions!$H$184)</f>
        <v>168309.48611327977</v>
      </c>
      <c r="Y19" s="83">
        <f>X19*(1+Assumptions!$H$184)</f>
        <v>171675.67583554538</v>
      </c>
      <c r="Z19" s="83">
        <f>Y19*(1+Assumptions!$H$184)</f>
        <v>175109.18935225628</v>
      </c>
      <c r="AA19" s="83">
        <f>Z19*(1+Assumptions!$H$184)</f>
        <v>178611.3731393014</v>
      </c>
    </row>
    <row r="20" spans="1:27" x14ac:dyDescent="0.45">
      <c r="A20" s="32"/>
      <c r="B20" s="4"/>
      <c r="C20" s="2" t="s">
        <v>114</v>
      </c>
      <c r="D20" s="2" t="str">
        <f>Assumptions!D61</f>
        <v>Building</v>
      </c>
      <c r="E20" s="23" t="s">
        <v>812</v>
      </c>
      <c r="G20" s="83">
        <f>Assumptions!I85</f>
        <v>34056.761268781302</v>
      </c>
      <c r="H20" s="83">
        <f>G20*(1+Assumptions!$H$184)</f>
        <v>34737.896494156928</v>
      </c>
      <c r="I20" s="83">
        <f>H20*(1+Assumptions!$H$184)</f>
        <v>35432.654424040069</v>
      </c>
      <c r="J20" s="83">
        <f>I20*(1+Assumptions!$H$184)</f>
        <v>36141.307512520871</v>
      </c>
      <c r="K20" s="83">
        <f>J20*(1+Assumptions!$H$184)</f>
        <v>36864.133662771288</v>
      </c>
      <c r="L20" s="83">
        <f>K20*(1+Assumptions!$H$184)</f>
        <v>37601.416336026712</v>
      </c>
      <c r="M20" s="83">
        <f>L20*(1+Assumptions!$H$184)</f>
        <v>38353.44466274725</v>
      </c>
      <c r="N20" s="83">
        <f>M20*(1+Assumptions!$H$184)</f>
        <v>39120.513556002195</v>
      </c>
      <c r="O20" s="83">
        <f>N20*(1+Assumptions!$H$184)</f>
        <v>39902.923827122242</v>
      </c>
      <c r="P20" s="83">
        <f>O20*(1+Assumptions!$H$184)</f>
        <v>40700.982303664685</v>
      </c>
      <c r="Q20" s="83">
        <f>P20*(1+Assumptions!$H$184)</f>
        <v>41515.001949737976</v>
      </c>
      <c r="R20" s="83">
        <f>Q20*(1+Assumptions!$H$184)</f>
        <v>42345.301988732739</v>
      </c>
      <c r="S20" s="83">
        <f>R20*(1+Assumptions!$H$184)</f>
        <v>43192.208028507397</v>
      </c>
      <c r="T20" s="83">
        <f>S20*(1+Assumptions!$H$184)</f>
        <v>44056.052189077549</v>
      </c>
      <c r="U20" s="83">
        <f>T20*(1+Assumptions!$H$184)</f>
        <v>44937.173232859102</v>
      </c>
      <c r="V20" s="83">
        <f>U20*(1+Assumptions!$H$184)</f>
        <v>45835.916697516288</v>
      </c>
      <c r="W20" s="83">
        <f>V20*(1+Assumptions!$H$184)</f>
        <v>46752.635031466612</v>
      </c>
      <c r="X20" s="83">
        <f>W20*(1+Assumptions!$H$184)</f>
        <v>47687.687732095947</v>
      </c>
      <c r="Y20" s="83">
        <f>X20*(1+Assumptions!$H$184)</f>
        <v>48641.441486737865</v>
      </c>
      <c r="Z20" s="83">
        <f>Y20*(1+Assumptions!$H$184)</f>
        <v>49614.270316472626</v>
      </c>
      <c r="AA20" s="83">
        <f>Z20*(1+Assumptions!$H$184)</f>
        <v>50606.555722802077</v>
      </c>
    </row>
    <row r="21" spans="1:27" x14ac:dyDescent="0.45">
      <c r="A21" s="32"/>
      <c r="B21" s="4"/>
      <c r="C21" s="2" t="s">
        <v>114</v>
      </c>
      <c r="D21" s="2" t="str">
        <f>Assumptions!D62</f>
        <v>Storage</v>
      </c>
      <c r="E21" s="23" t="s">
        <v>812</v>
      </c>
      <c r="F21" s="36"/>
      <c r="G21" s="83">
        <f>Assumptions!I86</f>
        <v>14023.372287145243</v>
      </c>
      <c r="H21" s="83">
        <f>G21*(1+Assumptions!$H$184)</f>
        <v>14303.839732888147</v>
      </c>
      <c r="I21" s="83">
        <f>H21*(1+Assumptions!$H$184)</f>
        <v>14589.916527545911</v>
      </c>
      <c r="J21" s="83">
        <f>I21*(1+Assumptions!$H$184)</f>
        <v>14881.71485809683</v>
      </c>
      <c r="K21" s="83">
        <f>J21*(1+Assumptions!$H$184)</f>
        <v>15179.349155258766</v>
      </c>
      <c r="L21" s="83">
        <f>K21*(1+Assumptions!$H$184)</f>
        <v>15482.936138363941</v>
      </c>
      <c r="M21" s="83">
        <f>L21*(1+Assumptions!$H$184)</f>
        <v>15792.59486113122</v>
      </c>
      <c r="N21" s="83">
        <f>M21*(1+Assumptions!$H$184)</f>
        <v>16108.446758353844</v>
      </c>
      <c r="O21" s="83">
        <f>N21*(1+Assumptions!$H$184)</f>
        <v>16430.615693520922</v>
      </c>
      <c r="P21" s="83">
        <f>O21*(1+Assumptions!$H$184)</f>
        <v>16759.228007391339</v>
      </c>
      <c r="Q21" s="83">
        <f>P21*(1+Assumptions!$H$184)</f>
        <v>17094.412567539166</v>
      </c>
      <c r="R21" s="83">
        <f>Q21*(1+Assumptions!$H$184)</f>
        <v>17436.300818889951</v>
      </c>
      <c r="S21" s="83">
        <f>R21*(1+Assumptions!$H$184)</f>
        <v>17785.026835267752</v>
      </c>
      <c r="T21" s="83">
        <f>S21*(1+Assumptions!$H$184)</f>
        <v>18140.727371973109</v>
      </c>
      <c r="U21" s="83">
        <f>T21*(1+Assumptions!$H$184)</f>
        <v>18503.541919412572</v>
      </c>
      <c r="V21" s="83">
        <f>U21*(1+Assumptions!$H$184)</f>
        <v>18873.612757800824</v>
      </c>
      <c r="W21" s="83">
        <f>V21*(1+Assumptions!$H$184)</f>
        <v>19251.085012956839</v>
      </c>
      <c r="X21" s="83">
        <f>W21*(1+Assumptions!$H$184)</f>
        <v>19636.106713215977</v>
      </c>
      <c r="Y21" s="83">
        <f>X21*(1+Assumptions!$H$184)</f>
        <v>20028.828847480298</v>
      </c>
      <c r="Z21" s="83">
        <f>Y21*(1+Assumptions!$H$184)</f>
        <v>20429.405424429904</v>
      </c>
      <c r="AA21" s="83">
        <f>Z21*(1+Assumptions!$H$184)</f>
        <v>20837.993532918503</v>
      </c>
    </row>
    <row r="22" spans="1:27" x14ac:dyDescent="0.45">
      <c r="A22" s="32"/>
      <c r="B22" s="4"/>
      <c r="C22" s="2" t="s">
        <v>114</v>
      </c>
      <c r="D22" s="2" t="str">
        <f>Assumptions!D63</f>
        <v>Water system</v>
      </c>
      <c r="E22" s="23" t="s">
        <v>812</v>
      </c>
      <c r="F22" s="36"/>
      <c r="G22" s="83">
        <f>Assumptions!I87</f>
        <v>14023.372287145243</v>
      </c>
      <c r="H22" s="83">
        <f>G22*(1+Assumptions!$H$184)</f>
        <v>14303.839732888147</v>
      </c>
      <c r="I22" s="83">
        <f>H22*(1+Assumptions!$H$184)</f>
        <v>14589.916527545911</v>
      </c>
      <c r="J22" s="83">
        <f>I22*(1+Assumptions!$H$184)</f>
        <v>14881.71485809683</v>
      </c>
      <c r="K22" s="83">
        <f>J22*(1+Assumptions!$H$184)</f>
        <v>15179.349155258766</v>
      </c>
      <c r="L22" s="83">
        <f>K22*(1+Assumptions!$H$184)</f>
        <v>15482.936138363941</v>
      </c>
      <c r="M22" s="83">
        <f>L22*(1+Assumptions!$H$184)</f>
        <v>15792.59486113122</v>
      </c>
      <c r="N22" s="83">
        <f>M22*(1+Assumptions!$H$184)</f>
        <v>16108.446758353844</v>
      </c>
      <c r="O22" s="83">
        <f>N22*(1+Assumptions!$H$184)</f>
        <v>16430.615693520922</v>
      </c>
      <c r="P22" s="83">
        <f>O22*(1+Assumptions!$H$184)</f>
        <v>16759.228007391339</v>
      </c>
      <c r="Q22" s="83">
        <f>P22*(1+Assumptions!$H$184)</f>
        <v>17094.412567539166</v>
      </c>
      <c r="R22" s="83">
        <f>Q22*(1+Assumptions!$H$184)</f>
        <v>17436.300818889951</v>
      </c>
      <c r="S22" s="83">
        <f>R22*(1+Assumptions!$H$184)</f>
        <v>17785.026835267752</v>
      </c>
      <c r="T22" s="83">
        <f>S22*(1+Assumptions!$H$184)</f>
        <v>18140.727371973109</v>
      </c>
      <c r="U22" s="83">
        <f>T22*(1+Assumptions!$H$184)</f>
        <v>18503.541919412572</v>
      </c>
      <c r="V22" s="83">
        <f>U22*(1+Assumptions!$H$184)</f>
        <v>18873.612757800824</v>
      </c>
      <c r="W22" s="83">
        <f>V22*(1+Assumptions!$H$184)</f>
        <v>19251.085012956839</v>
      </c>
      <c r="X22" s="83">
        <f>W22*(1+Assumptions!$H$184)</f>
        <v>19636.106713215977</v>
      </c>
      <c r="Y22" s="83">
        <f>X22*(1+Assumptions!$H$184)</f>
        <v>20028.828847480298</v>
      </c>
      <c r="Z22" s="83">
        <f>Y22*(1+Assumptions!$H$184)</f>
        <v>20429.405424429904</v>
      </c>
      <c r="AA22" s="83">
        <f>Z22*(1+Assumptions!$H$184)</f>
        <v>20837.993532918503</v>
      </c>
    </row>
    <row r="23" spans="1:27" x14ac:dyDescent="0.45">
      <c r="A23" s="32"/>
      <c r="B23" s="4"/>
      <c r="C23" s="2" t="s">
        <v>114</v>
      </c>
      <c r="D23" s="2" t="str">
        <f>Assumptions!D64</f>
        <v>Electricity</v>
      </c>
      <c r="E23" s="23" t="s">
        <v>812</v>
      </c>
      <c r="F23" s="36"/>
      <c r="G23" s="83">
        <f>Assumptions!I88</f>
        <v>6010.0166944908178</v>
      </c>
      <c r="H23" s="83">
        <f>G23*(1+Assumptions!$H$184)</f>
        <v>6130.2170283806345</v>
      </c>
      <c r="I23" s="83">
        <f>H23*(1+Assumptions!$H$184)</f>
        <v>6252.8213689482473</v>
      </c>
      <c r="J23" s="83">
        <f>I23*(1+Assumptions!$H$184)</f>
        <v>6377.8777963272123</v>
      </c>
      <c r="K23" s="83">
        <f>J23*(1+Assumptions!$H$184)</f>
        <v>6505.4353522537567</v>
      </c>
      <c r="L23" s="83">
        <f>K23*(1+Assumptions!$H$184)</f>
        <v>6635.5440592988316</v>
      </c>
      <c r="M23" s="83">
        <f>L23*(1+Assumptions!$H$184)</f>
        <v>6768.2549404848087</v>
      </c>
      <c r="N23" s="83">
        <f>M23*(1+Assumptions!$H$184)</f>
        <v>6903.6200392945047</v>
      </c>
      <c r="O23" s="83">
        <f>N23*(1+Assumptions!$H$184)</f>
        <v>7041.6924400803946</v>
      </c>
      <c r="P23" s="83">
        <f>O23*(1+Assumptions!$H$184)</f>
        <v>7182.5262888820025</v>
      </c>
      <c r="Q23" s="83">
        <f>P23*(1+Assumptions!$H$184)</f>
        <v>7326.1768146596423</v>
      </c>
      <c r="R23" s="83">
        <f>Q23*(1+Assumptions!$H$184)</f>
        <v>7472.7003509528349</v>
      </c>
      <c r="S23" s="83">
        <f>R23*(1+Assumptions!$H$184)</f>
        <v>7622.1543579718918</v>
      </c>
      <c r="T23" s="83">
        <f>S23*(1+Assumptions!$H$184)</f>
        <v>7774.5974451313296</v>
      </c>
      <c r="U23" s="83">
        <f>T23*(1+Assumptions!$H$184)</f>
        <v>7930.0893940339565</v>
      </c>
      <c r="V23" s="83">
        <f>U23*(1+Assumptions!$H$184)</f>
        <v>8088.6911819146362</v>
      </c>
      <c r="W23" s="83">
        <f>V23*(1+Assumptions!$H$184)</f>
        <v>8250.4650055529291</v>
      </c>
      <c r="X23" s="83">
        <f>W23*(1+Assumptions!$H$184)</f>
        <v>8415.4743056639873</v>
      </c>
      <c r="Y23" s="83">
        <f>X23*(1+Assumptions!$H$184)</f>
        <v>8583.7837917772667</v>
      </c>
      <c r="Z23" s="83">
        <f>Y23*(1+Assumptions!$H$184)</f>
        <v>8755.4594676128127</v>
      </c>
      <c r="AA23" s="83">
        <f>Z23*(1+Assumptions!$H$184)</f>
        <v>8930.5686569650697</v>
      </c>
    </row>
    <row r="24" spans="1:27" x14ac:dyDescent="0.45">
      <c r="A24" s="32"/>
      <c r="B24" s="4"/>
      <c r="C24" s="2" t="s">
        <v>114</v>
      </c>
      <c r="D24" s="2" t="str">
        <f>Assumptions!D65</f>
        <v>Waste management including biogas</v>
      </c>
      <c r="E24" s="23" t="s">
        <v>812</v>
      </c>
      <c r="F24" s="36"/>
      <c r="G24" s="83">
        <f>Assumptions!I89</f>
        <v>12020.033388981636</v>
      </c>
      <c r="H24" s="83">
        <f>G24*(1+Assumptions!$H$184)</f>
        <v>12260.434056761269</v>
      </c>
      <c r="I24" s="83">
        <f>H24*(1+Assumptions!$H$184)</f>
        <v>12505.642737896495</v>
      </c>
      <c r="J24" s="83">
        <f>I24*(1+Assumptions!$H$184)</f>
        <v>12755.755592654425</v>
      </c>
      <c r="K24" s="83">
        <f>J24*(1+Assumptions!$H$184)</f>
        <v>13010.870704507513</v>
      </c>
      <c r="L24" s="83">
        <f>K24*(1+Assumptions!$H$184)</f>
        <v>13271.088118597663</v>
      </c>
      <c r="M24" s="83">
        <f>L24*(1+Assumptions!$H$184)</f>
        <v>13536.509880969617</v>
      </c>
      <c r="N24" s="83">
        <f>M24*(1+Assumptions!$H$184)</f>
        <v>13807.240078589009</v>
      </c>
      <c r="O24" s="83">
        <f>N24*(1+Assumptions!$H$184)</f>
        <v>14083.384880160789</v>
      </c>
      <c r="P24" s="83">
        <f>O24*(1+Assumptions!$H$184)</f>
        <v>14365.052577764005</v>
      </c>
      <c r="Q24" s="83">
        <f>P24*(1+Assumptions!$H$184)</f>
        <v>14652.353629319285</v>
      </c>
      <c r="R24" s="83">
        <f>Q24*(1+Assumptions!$H$184)</f>
        <v>14945.40070190567</v>
      </c>
      <c r="S24" s="83">
        <f>R24*(1+Assumptions!$H$184)</f>
        <v>15244.308715943784</v>
      </c>
      <c r="T24" s="83">
        <f>S24*(1+Assumptions!$H$184)</f>
        <v>15549.194890262659</v>
      </c>
      <c r="U24" s="83">
        <f>T24*(1+Assumptions!$H$184)</f>
        <v>15860.178788067913</v>
      </c>
      <c r="V24" s="83">
        <f>U24*(1+Assumptions!$H$184)</f>
        <v>16177.382363829272</v>
      </c>
      <c r="W24" s="83">
        <f>V24*(1+Assumptions!$H$184)</f>
        <v>16500.930011105858</v>
      </c>
      <c r="X24" s="83">
        <f>W24*(1+Assumptions!$H$184)</f>
        <v>16830.948611327975</v>
      </c>
      <c r="Y24" s="83">
        <f>X24*(1+Assumptions!$H$184)</f>
        <v>17167.567583554533</v>
      </c>
      <c r="Z24" s="83">
        <f>Y24*(1+Assumptions!$H$184)</f>
        <v>17510.918935225625</v>
      </c>
      <c r="AA24" s="83">
        <f>Z24*(1+Assumptions!$H$184)</f>
        <v>17861.137313930139</v>
      </c>
    </row>
    <row r="25" spans="1:27" x14ac:dyDescent="0.45">
      <c r="A25" s="32"/>
      <c r="B25" s="4"/>
      <c r="C25" s="2" t="s">
        <v>114</v>
      </c>
      <c r="D25" s="2" t="str">
        <f>Assumptions!D66</f>
        <v>Fruit bubble washing machine Contact www.pasenmachinery.com</v>
      </c>
      <c r="E25" s="23" t="s">
        <v>812</v>
      </c>
      <c r="F25" s="36"/>
      <c r="G25" s="83">
        <f>Assumptions!I90</f>
        <v>7712.8547579298829</v>
      </c>
      <c r="H25" s="83">
        <f>G25*(1+Assumptions!$H$184)</f>
        <v>7867.1118530884805</v>
      </c>
      <c r="I25" s="83">
        <f>H25*(1+Assumptions!$H$184)</f>
        <v>8024.4540901502505</v>
      </c>
      <c r="J25" s="83">
        <f>I25*(1+Assumptions!$H$184)</f>
        <v>8184.9431719532558</v>
      </c>
      <c r="K25" s="83">
        <f>J25*(1+Assumptions!$H$184)</f>
        <v>8348.6420353923204</v>
      </c>
      <c r="L25" s="83">
        <f>K25*(1+Assumptions!$H$184)</f>
        <v>8515.6148761001677</v>
      </c>
      <c r="M25" s="83">
        <f>L25*(1+Assumptions!$H$184)</f>
        <v>8685.9271736221708</v>
      </c>
      <c r="N25" s="83">
        <f>M25*(1+Assumptions!$H$184)</f>
        <v>8859.6457170946142</v>
      </c>
      <c r="O25" s="83">
        <f>N25*(1+Assumptions!$H$184)</f>
        <v>9036.8386314365071</v>
      </c>
      <c r="P25" s="83">
        <f>O25*(1+Assumptions!$H$184)</f>
        <v>9217.5754040652373</v>
      </c>
      <c r="Q25" s="83">
        <f>P25*(1+Assumptions!$H$184)</f>
        <v>9401.9269121465422</v>
      </c>
      <c r="R25" s="83">
        <f>Q25*(1+Assumptions!$H$184)</f>
        <v>9589.9654503894726</v>
      </c>
      <c r="S25" s="83">
        <f>R25*(1+Assumptions!$H$184)</f>
        <v>9781.7647593972615</v>
      </c>
      <c r="T25" s="83">
        <f>S25*(1+Assumptions!$H$184)</f>
        <v>9977.4000545852068</v>
      </c>
      <c r="U25" s="83">
        <f>T25*(1+Assumptions!$H$184)</f>
        <v>10176.94805567691</v>
      </c>
      <c r="V25" s="83">
        <f>U25*(1+Assumptions!$H$184)</f>
        <v>10380.487016790448</v>
      </c>
      <c r="W25" s="83">
        <f>V25*(1+Assumptions!$H$184)</f>
        <v>10588.096757126257</v>
      </c>
      <c r="X25" s="83">
        <f>W25*(1+Assumptions!$H$184)</f>
        <v>10799.858692268783</v>
      </c>
      <c r="Y25" s="83">
        <f>X25*(1+Assumptions!$H$184)</f>
        <v>11015.855866114158</v>
      </c>
      <c r="Z25" s="83">
        <f>Y25*(1+Assumptions!$H$184)</f>
        <v>11236.172983436441</v>
      </c>
      <c r="AA25" s="83">
        <f>Z25*(1+Assumptions!$H$184)</f>
        <v>11460.89644310517</v>
      </c>
    </row>
    <row r="26" spans="1:27" x14ac:dyDescent="0.45">
      <c r="A26" s="32"/>
      <c r="B26" s="4"/>
      <c r="C26" s="2" t="s">
        <v>114</v>
      </c>
      <c r="D26" s="2" t="str">
        <f>Assumptions!D67</f>
        <v>Depulping tables</v>
      </c>
      <c r="E26" s="23" t="s">
        <v>812</v>
      </c>
      <c r="F26" s="36"/>
      <c r="G26" s="83">
        <f>Assumptions!I91</f>
        <v>1742.3939899833056</v>
      </c>
      <c r="H26" s="83">
        <f>G26*(1+Assumptions!$H$184)</f>
        <v>1777.2418697829717</v>
      </c>
      <c r="I26" s="83">
        <f>H26*(1+Assumptions!$H$184)</f>
        <v>1812.7867071786311</v>
      </c>
      <c r="J26" s="83">
        <f>I26*(1+Assumptions!$H$184)</f>
        <v>1849.0424413222038</v>
      </c>
      <c r="K26" s="83">
        <f>J26*(1+Assumptions!$H$184)</f>
        <v>1886.0232901486479</v>
      </c>
      <c r="L26" s="83">
        <f>K26*(1+Assumptions!$H$184)</f>
        <v>1923.7437559516209</v>
      </c>
      <c r="M26" s="83">
        <f>L26*(1+Assumptions!$H$184)</f>
        <v>1962.2186310706534</v>
      </c>
      <c r="N26" s="83">
        <f>M26*(1+Assumptions!$H$184)</f>
        <v>2001.4630036920664</v>
      </c>
      <c r="O26" s="83">
        <f>N26*(1+Assumptions!$H$184)</f>
        <v>2041.4922637659079</v>
      </c>
      <c r="P26" s="83">
        <f>O26*(1+Assumptions!$H$184)</f>
        <v>2082.3221090412262</v>
      </c>
      <c r="Q26" s="83">
        <f>P26*(1+Assumptions!$H$184)</f>
        <v>2123.9685512220508</v>
      </c>
      <c r="R26" s="83">
        <f>Q26*(1+Assumptions!$H$184)</f>
        <v>2166.447922246492</v>
      </c>
      <c r="S26" s="83">
        <f>R26*(1+Assumptions!$H$184)</f>
        <v>2209.7768806914219</v>
      </c>
      <c r="T26" s="83">
        <f>S26*(1+Assumptions!$H$184)</f>
        <v>2253.9724183052504</v>
      </c>
      <c r="U26" s="83">
        <f>T26*(1+Assumptions!$H$184)</f>
        <v>2299.0518666713556</v>
      </c>
      <c r="V26" s="83">
        <f>U26*(1+Assumptions!$H$184)</f>
        <v>2345.0329040047827</v>
      </c>
      <c r="W26" s="83">
        <f>V26*(1+Assumptions!$H$184)</f>
        <v>2391.9335620848783</v>
      </c>
      <c r="X26" s="83">
        <f>W26*(1+Assumptions!$H$184)</f>
        <v>2439.772233326576</v>
      </c>
      <c r="Y26" s="83">
        <f>X26*(1+Assumptions!$H$184)</f>
        <v>2488.5676779931077</v>
      </c>
      <c r="Z26" s="83">
        <f>Y26*(1+Assumptions!$H$184)</f>
        <v>2538.33903155297</v>
      </c>
      <c r="AA26" s="83">
        <f>Z26*(1+Assumptions!$H$184)</f>
        <v>2589.1058121840297</v>
      </c>
    </row>
    <row r="27" spans="1:27" x14ac:dyDescent="0.45">
      <c r="A27" s="32"/>
      <c r="B27" s="4"/>
      <c r="C27" s="2" t="s">
        <v>114</v>
      </c>
      <c r="D27" s="2" t="str">
        <f>Assumptions!D68</f>
        <v>Steamer</v>
      </c>
      <c r="E27" s="23" t="s">
        <v>812</v>
      </c>
      <c r="F27" s="36"/>
      <c r="G27" s="83">
        <f>Assumptions!I92</f>
        <v>9015.0250417362276</v>
      </c>
      <c r="H27" s="83">
        <f>G27*(1+Assumptions!$H$184)</f>
        <v>9195.3255425709522</v>
      </c>
      <c r="I27" s="83">
        <f>H27*(1+Assumptions!$H$184)</f>
        <v>9379.2320534223709</v>
      </c>
      <c r="J27" s="83">
        <f>I27*(1+Assumptions!$H$184)</f>
        <v>9566.8166944908189</v>
      </c>
      <c r="K27" s="83">
        <f>J27*(1+Assumptions!$H$184)</f>
        <v>9758.1530283806351</v>
      </c>
      <c r="L27" s="83">
        <f>K27*(1+Assumptions!$H$184)</f>
        <v>9953.3160889482479</v>
      </c>
      <c r="M27" s="83">
        <f>L27*(1+Assumptions!$H$184)</f>
        <v>10152.382410727212</v>
      </c>
      <c r="N27" s="83">
        <f>M27*(1+Assumptions!$H$184)</f>
        <v>10355.430058941756</v>
      </c>
      <c r="O27" s="83">
        <f>N27*(1+Assumptions!$H$184)</f>
        <v>10562.538660120592</v>
      </c>
      <c r="P27" s="83">
        <f>O27*(1+Assumptions!$H$184)</f>
        <v>10773.789433323003</v>
      </c>
      <c r="Q27" s="83">
        <f>P27*(1+Assumptions!$H$184)</f>
        <v>10989.265221989464</v>
      </c>
      <c r="R27" s="83">
        <f>Q27*(1+Assumptions!$H$184)</f>
        <v>11209.050526429253</v>
      </c>
      <c r="S27" s="83">
        <f>R27*(1+Assumptions!$H$184)</f>
        <v>11433.231536957839</v>
      </c>
      <c r="T27" s="83">
        <f>S27*(1+Assumptions!$H$184)</f>
        <v>11661.896167696996</v>
      </c>
      <c r="U27" s="83">
        <f>T27*(1+Assumptions!$H$184)</f>
        <v>11895.134091050935</v>
      </c>
      <c r="V27" s="83">
        <f>U27*(1+Assumptions!$H$184)</f>
        <v>12133.036772871954</v>
      </c>
      <c r="W27" s="83">
        <f>V27*(1+Assumptions!$H$184)</f>
        <v>12375.697508329393</v>
      </c>
      <c r="X27" s="83">
        <f>W27*(1+Assumptions!$H$184)</f>
        <v>12623.211458495982</v>
      </c>
      <c r="Y27" s="83">
        <f>X27*(1+Assumptions!$H$184)</f>
        <v>12875.675687665902</v>
      </c>
      <c r="Z27" s="83">
        <f>Y27*(1+Assumptions!$H$184)</f>
        <v>13133.18920141922</v>
      </c>
      <c r="AA27" s="83">
        <f>Z27*(1+Assumptions!$H$184)</f>
        <v>13395.852985447604</v>
      </c>
    </row>
    <row r="28" spans="1:27" x14ac:dyDescent="0.45">
      <c r="A28" s="32"/>
      <c r="B28" s="4"/>
      <c r="C28" s="2" t="s">
        <v>114</v>
      </c>
      <c r="D28" s="2" t="str">
        <f>Assumptions!D69</f>
        <v>Hangar dryer</v>
      </c>
      <c r="E28" s="23" t="s">
        <v>812</v>
      </c>
      <c r="F28" s="36"/>
      <c r="G28" s="83">
        <f>Assumptions!I93</f>
        <v>11018.363939899833</v>
      </c>
      <c r="H28" s="83">
        <f>G28*(1+Assumptions!$H$184)</f>
        <v>11238.731218697831</v>
      </c>
      <c r="I28" s="83">
        <f>H28*(1+Assumptions!$H$184)</f>
        <v>11463.505843071787</v>
      </c>
      <c r="J28" s="83">
        <f>I28*(1+Assumptions!$H$184)</f>
        <v>11692.775959933224</v>
      </c>
      <c r="K28" s="83">
        <f>J28*(1+Assumptions!$H$184)</f>
        <v>11926.631479131889</v>
      </c>
      <c r="L28" s="83">
        <f>K28*(1+Assumptions!$H$184)</f>
        <v>12165.164108714527</v>
      </c>
      <c r="M28" s="83">
        <f>L28*(1+Assumptions!$H$184)</f>
        <v>12408.467390888818</v>
      </c>
      <c r="N28" s="83">
        <f>M28*(1+Assumptions!$H$184)</f>
        <v>12656.636738706595</v>
      </c>
      <c r="O28" s="83">
        <f>N28*(1+Assumptions!$H$184)</f>
        <v>12909.769473480726</v>
      </c>
      <c r="P28" s="83">
        <f>O28*(1+Assumptions!$H$184)</f>
        <v>13167.964862950341</v>
      </c>
      <c r="Q28" s="83">
        <f>P28*(1+Assumptions!$H$184)</f>
        <v>13431.324160209348</v>
      </c>
      <c r="R28" s="83">
        <f>Q28*(1+Assumptions!$H$184)</f>
        <v>13699.950643413535</v>
      </c>
      <c r="S28" s="83">
        <f>R28*(1+Assumptions!$H$184)</f>
        <v>13973.949656281806</v>
      </c>
      <c r="T28" s="83">
        <f>S28*(1+Assumptions!$H$184)</f>
        <v>14253.428649407442</v>
      </c>
      <c r="U28" s="83">
        <f>T28*(1+Assumptions!$H$184)</f>
        <v>14538.497222395592</v>
      </c>
      <c r="V28" s="83">
        <f>U28*(1+Assumptions!$H$184)</f>
        <v>14829.267166843503</v>
      </c>
      <c r="W28" s="83">
        <f>V28*(1+Assumptions!$H$184)</f>
        <v>15125.852510180373</v>
      </c>
      <c r="X28" s="83">
        <f>W28*(1+Assumptions!$H$184)</f>
        <v>15428.369560383981</v>
      </c>
      <c r="Y28" s="83">
        <f>X28*(1+Assumptions!$H$184)</f>
        <v>15736.936951591661</v>
      </c>
      <c r="Z28" s="83">
        <f>Y28*(1+Assumptions!$H$184)</f>
        <v>16051.675690623493</v>
      </c>
      <c r="AA28" s="83">
        <f>Z28*(1+Assumptions!$H$184)</f>
        <v>16372.709204435963</v>
      </c>
    </row>
    <row r="29" spans="1:27" x14ac:dyDescent="0.45">
      <c r="A29" s="32"/>
      <c r="B29" s="4"/>
      <c r="C29" s="2" t="s">
        <v>114</v>
      </c>
      <c r="D29" s="2" t="str">
        <f>Assumptions!D70</f>
        <v>Shelling machine,  Henan My Only Food Machine Co., Ltd.</v>
      </c>
      <c r="E29" s="23" t="s">
        <v>812</v>
      </c>
      <c r="F29" s="36"/>
      <c r="G29" s="83">
        <f>Assumptions!I94</f>
        <v>8414.0233722871453</v>
      </c>
      <c r="H29" s="83">
        <f>G29*(1+Assumptions!$H$184)</f>
        <v>8582.3038397328892</v>
      </c>
      <c r="I29" s="83">
        <f>H29*(1+Assumptions!$H$184)</f>
        <v>8753.9499165275465</v>
      </c>
      <c r="J29" s="83">
        <f>I29*(1+Assumptions!$H$184)</f>
        <v>8929.0289148580978</v>
      </c>
      <c r="K29" s="83">
        <f>J29*(1+Assumptions!$H$184)</f>
        <v>9107.6094931552598</v>
      </c>
      <c r="L29" s="83">
        <f>K29*(1+Assumptions!$H$184)</f>
        <v>9289.7616830183651</v>
      </c>
      <c r="M29" s="83">
        <f>L29*(1+Assumptions!$H$184)</f>
        <v>9475.5569166787318</v>
      </c>
      <c r="N29" s="83">
        <f>M29*(1+Assumptions!$H$184)</f>
        <v>9665.068055012307</v>
      </c>
      <c r="O29" s="83">
        <f>N29*(1+Assumptions!$H$184)</f>
        <v>9858.3694161125532</v>
      </c>
      <c r="P29" s="83">
        <f>O29*(1+Assumptions!$H$184)</f>
        <v>10055.536804434805</v>
      </c>
      <c r="Q29" s="83">
        <f>P29*(1+Assumptions!$H$184)</f>
        <v>10256.647540523501</v>
      </c>
      <c r="R29" s="83">
        <f>Q29*(1+Assumptions!$H$184)</f>
        <v>10461.780491333971</v>
      </c>
      <c r="S29" s="83">
        <f>R29*(1+Assumptions!$H$184)</f>
        <v>10671.016101160651</v>
      </c>
      <c r="T29" s="83">
        <f>S29*(1+Assumptions!$H$184)</f>
        <v>10884.436423183864</v>
      </c>
      <c r="U29" s="83">
        <f>T29*(1+Assumptions!$H$184)</f>
        <v>11102.125151647542</v>
      </c>
      <c r="V29" s="83">
        <f>U29*(1+Assumptions!$H$184)</f>
        <v>11324.167654680494</v>
      </c>
      <c r="W29" s="83">
        <f>V29*(1+Assumptions!$H$184)</f>
        <v>11550.651007774104</v>
      </c>
      <c r="X29" s="83">
        <f>W29*(1+Assumptions!$H$184)</f>
        <v>11781.664027929586</v>
      </c>
      <c r="Y29" s="83">
        <f>X29*(1+Assumptions!$H$184)</f>
        <v>12017.297308488178</v>
      </c>
      <c r="Z29" s="83">
        <f>Y29*(1+Assumptions!$H$184)</f>
        <v>12257.643254657942</v>
      </c>
      <c r="AA29" s="83">
        <f>Z29*(1+Assumptions!$H$184)</f>
        <v>12502.796119751101</v>
      </c>
    </row>
    <row r="30" spans="1:27" x14ac:dyDescent="0.45">
      <c r="A30" s="32"/>
      <c r="B30" s="4"/>
      <c r="C30" s="2" t="s">
        <v>114</v>
      </c>
      <c r="D30" s="2" t="str">
        <f>Assumptions!D71</f>
        <v xml:space="preserve">Almond Packaging </v>
      </c>
      <c r="E30" s="23" t="s">
        <v>812</v>
      </c>
      <c r="F30" s="36"/>
      <c r="G30" s="83">
        <f>Assumptions!I95</f>
        <v>1001.669449081803</v>
      </c>
      <c r="H30" s="83">
        <f>G30*(1+Assumptions!$H$184)</f>
        <v>1021.7028380634391</v>
      </c>
      <c r="I30" s="83">
        <f>H30*(1+Assumptions!$H$184)</f>
        <v>1042.136894824708</v>
      </c>
      <c r="J30" s="83">
        <f>I30*(1+Assumptions!$H$184)</f>
        <v>1062.9796327212021</v>
      </c>
      <c r="K30" s="83">
        <f>J30*(1+Assumptions!$H$184)</f>
        <v>1084.2392253756261</v>
      </c>
      <c r="L30" s="83">
        <f>K30*(1+Assumptions!$H$184)</f>
        <v>1105.9240098831388</v>
      </c>
      <c r="M30" s="83">
        <f>L30*(1+Assumptions!$H$184)</f>
        <v>1128.0424900808016</v>
      </c>
      <c r="N30" s="83">
        <f>M30*(1+Assumptions!$H$184)</f>
        <v>1150.6033398824177</v>
      </c>
      <c r="O30" s="83">
        <f>N30*(1+Assumptions!$H$184)</f>
        <v>1173.6154066800661</v>
      </c>
      <c r="P30" s="83">
        <f>O30*(1+Assumptions!$H$184)</f>
        <v>1197.0877148136674</v>
      </c>
      <c r="Q30" s="83">
        <f>P30*(1+Assumptions!$H$184)</f>
        <v>1221.0294691099407</v>
      </c>
      <c r="R30" s="83">
        <f>Q30*(1+Assumptions!$H$184)</f>
        <v>1245.4500584921395</v>
      </c>
      <c r="S30" s="83">
        <f>R30*(1+Assumptions!$H$184)</f>
        <v>1270.3590596619824</v>
      </c>
      <c r="T30" s="83">
        <f>S30*(1+Assumptions!$H$184)</f>
        <v>1295.7662408552221</v>
      </c>
      <c r="U30" s="83">
        <f>T30*(1+Assumptions!$H$184)</f>
        <v>1321.6815656723265</v>
      </c>
      <c r="V30" s="83">
        <f>U30*(1+Assumptions!$H$184)</f>
        <v>1348.1151969857731</v>
      </c>
      <c r="W30" s="83">
        <f>V30*(1+Assumptions!$H$184)</f>
        <v>1375.0775009254885</v>
      </c>
      <c r="X30" s="83">
        <f>W30*(1+Assumptions!$H$184)</f>
        <v>1402.5790509439983</v>
      </c>
      <c r="Y30" s="83">
        <f>X30*(1+Assumptions!$H$184)</f>
        <v>1430.6306319628782</v>
      </c>
      <c r="Z30" s="83">
        <f>Y30*(1+Assumptions!$H$184)</f>
        <v>1459.2432446021357</v>
      </c>
      <c r="AA30" s="83">
        <f>Z30*(1+Assumptions!$H$184)</f>
        <v>1488.4281094941784</v>
      </c>
    </row>
    <row r="31" spans="1:27" x14ac:dyDescent="0.45">
      <c r="A31" s="32"/>
      <c r="B31" s="4"/>
      <c r="C31" s="2" t="s">
        <v>114</v>
      </c>
      <c r="D31" s="2" t="str">
        <f>Assumptions!D72</f>
        <v>Pulp dryer</v>
      </c>
      <c r="E31" s="23" t="s">
        <v>812</v>
      </c>
      <c r="F31" s="36"/>
      <c r="G31" s="83">
        <f>Assumptions!I96</f>
        <v>60100.166944908182</v>
      </c>
      <c r="H31" s="83">
        <f>G31*(1+Assumptions!$H$184)</f>
        <v>61302.17028380635</v>
      </c>
      <c r="I31" s="83">
        <f>H31*(1+Assumptions!$H$184)</f>
        <v>62528.21368948248</v>
      </c>
      <c r="J31" s="83">
        <f>I31*(1+Assumptions!$H$184)</f>
        <v>63778.777963272129</v>
      </c>
      <c r="K31" s="83">
        <f>J31*(1+Assumptions!$H$184)</f>
        <v>65054.353522537574</v>
      </c>
      <c r="L31" s="83">
        <f>K31*(1+Assumptions!$H$184)</f>
        <v>66355.440592988321</v>
      </c>
      <c r="M31" s="83">
        <f>L31*(1+Assumptions!$H$184)</f>
        <v>67682.54940484809</v>
      </c>
      <c r="N31" s="83">
        <f>M31*(1+Assumptions!$H$184)</f>
        <v>69036.200392945058</v>
      </c>
      <c r="O31" s="83">
        <f>N31*(1+Assumptions!$H$184)</f>
        <v>70416.924400803968</v>
      </c>
      <c r="P31" s="83">
        <f>O31*(1+Assumptions!$H$184)</f>
        <v>71825.262888820042</v>
      </c>
      <c r="Q31" s="83">
        <f>P31*(1+Assumptions!$H$184)</f>
        <v>73261.768146596442</v>
      </c>
      <c r="R31" s="83">
        <f>Q31*(1+Assumptions!$H$184)</f>
        <v>74727.003509528367</v>
      </c>
      <c r="S31" s="83">
        <f>R31*(1+Assumptions!$H$184)</f>
        <v>76221.543579718942</v>
      </c>
      <c r="T31" s="83">
        <f>S31*(1+Assumptions!$H$184)</f>
        <v>77745.974451313319</v>
      </c>
      <c r="U31" s="83">
        <f>T31*(1+Assumptions!$H$184)</f>
        <v>79300.893940339593</v>
      </c>
      <c r="V31" s="83">
        <f>U31*(1+Assumptions!$H$184)</f>
        <v>80886.911819146379</v>
      </c>
      <c r="W31" s="83">
        <f>V31*(1+Assumptions!$H$184)</f>
        <v>82504.650055529302</v>
      </c>
      <c r="X31" s="83">
        <f>W31*(1+Assumptions!$H$184)</f>
        <v>84154.743056639883</v>
      </c>
      <c r="Y31" s="83">
        <f>X31*(1+Assumptions!$H$184)</f>
        <v>85837.837917772689</v>
      </c>
      <c r="Z31" s="83">
        <f>Y31*(1+Assumptions!$H$184)</f>
        <v>87554.594676128138</v>
      </c>
      <c r="AA31" s="83">
        <f>Z31*(1+Assumptions!$H$184)</f>
        <v>89305.686569650701</v>
      </c>
    </row>
    <row r="32" spans="1:27" x14ac:dyDescent="0.45">
      <c r="A32" s="32"/>
      <c r="B32" s="4"/>
      <c r="C32" s="2" t="s">
        <v>114</v>
      </c>
      <c r="D32" s="2" t="str">
        <f>Assumptions!D73</f>
        <v>Thermal installation</v>
      </c>
      <c r="E32" s="23" t="s">
        <v>812</v>
      </c>
      <c r="F32" s="36"/>
      <c r="G32" s="83">
        <f>Assumptions!I97</f>
        <v>18631.051752921536</v>
      </c>
      <c r="H32" s="83">
        <f>G32*(1+Assumptions!$H$184)</f>
        <v>19003.672787979966</v>
      </c>
      <c r="I32" s="83">
        <f>H32*(1+Assumptions!$H$184)</f>
        <v>19383.746243739566</v>
      </c>
      <c r="J32" s="83">
        <f>I32*(1+Assumptions!$H$184)</f>
        <v>19771.421168614357</v>
      </c>
      <c r="K32" s="83">
        <f>J32*(1+Assumptions!$H$184)</f>
        <v>20166.849591986644</v>
      </c>
      <c r="L32" s="83">
        <f>K32*(1+Assumptions!$H$184)</f>
        <v>20570.186583826377</v>
      </c>
      <c r="M32" s="83">
        <f>L32*(1+Assumptions!$H$184)</f>
        <v>20981.590315502905</v>
      </c>
      <c r="N32" s="83">
        <f>M32*(1+Assumptions!$H$184)</f>
        <v>21401.222121812963</v>
      </c>
      <c r="O32" s="83">
        <f>N32*(1+Assumptions!$H$184)</f>
        <v>21829.246564249224</v>
      </c>
      <c r="P32" s="83">
        <f>O32*(1+Assumptions!$H$184)</f>
        <v>22265.83149553421</v>
      </c>
      <c r="Q32" s="83">
        <f>P32*(1+Assumptions!$H$184)</f>
        <v>22711.148125444895</v>
      </c>
      <c r="R32" s="83">
        <f>Q32*(1+Assumptions!$H$184)</f>
        <v>23165.371087953794</v>
      </c>
      <c r="S32" s="83">
        <f>R32*(1+Assumptions!$H$184)</f>
        <v>23628.67850971287</v>
      </c>
      <c r="T32" s="83">
        <f>S32*(1+Assumptions!$H$184)</f>
        <v>24101.252079907128</v>
      </c>
      <c r="U32" s="83">
        <f>T32*(1+Assumptions!$H$184)</f>
        <v>24583.277121505271</v>
      </c>
      <c r="V32" s="83">
        <f>U32*(1+Assumptions!$H$184)</f>
        <v>25074.942663935377</v>
      </c>
      <c r="W32" s="83">
        <f>V32*(1+Assumptions!$H$184)</f>
        <v>25576.441517214083</v>
      </c>
      <c r="X32" s="83">
        <f>W32*(1+Assumptions!$H$184)</f>
        <v>26087.970347558366</v>
      </c>
      <c r="Y32" s="83">
        <f>X32*(1+Assumptions!$H$184)</f>
        <v>26609.729754509535</v>
      </c>
      <c r="Z32" s="83">
        <f>Y32*(1+Assumptions!$H$184)</f>
        <v>27141.924349599725</v>
      </c>
      <c r="AA32" s="83">
        <f>Z32*(1+Assumptions!$H$184)</f>
        <v>27684.762836591719</v>
      </c>
    </row>
    <row r="33" spans="1:27" x14ac:dyDescent="0.45">
      <c r="A33" s="32"/>
      <c r="B33" s="4"/>
      <c r="C33" s="2" t="s">
        <v>114</v>
      </c>
      <c r="D33" s="2" t="str">
        <f>Assumptions!D74</f>
        <v>Dried pulp packaging machine  Zhejiang Ruibao Packaging Machine Co., Ltd.</v>
      </c>
      <c r="E33" s="23" t="s">
        <v>812</v>
      </c>
      <c r="F33" s="36"/>
      <c r="G33" s="83">
        <f>Assumptions!I98</f>
        <v>3806.3439065108514</v>
      </c>
      <c r="H33" s="83">
        <f>G33*(1+Assumptions!$H$184)</f>
        <v>3882.4707846410683</v>
      </c>
      <c r="I33" s="83">
        <f>H33*(1+Assumptions!$H$184)</f>
        <v>3960.1202003338899</v>
      </c>
      <c r="J33" s="83">
        <f>I33*(1+Assumptions!$H$184)</f>
        <v>4039.322604340568</v>
      </c>
      <c r="K33" s="83">
        <f>J33*(1+Assumptions!$H$184)</f>
        <v>4120.1090564273791</v>
      </c>
      <c r="L33" s="83">
        <f>K33*(1+Assumptions!$H$184)</f>
        <v>4202.5112375559265</v>
      </c>
      <c r="M33" s="83">
        <f>L33*(1+Assumptions!$H$184)</f>
        <v>4286.5614623070451</v>
      </c>
      <c r="N33" s="83">
        <f>M33*(1+Assumptions!$H$184)</f>
        <v>4372.2926915531862</v>
      </c>
      <c r="O33" s="83">
        <f>N33*(1+Assumptions!$H$184)</f>
        <v>4459.7385453842498</v>
      </c>
      <c r="P33" s="83">
        <f>O33*(1+Assumptions!$H$184)</f>
        <v>4548.9333162919347</v>
      </c>
      <c r="Q33" s="83">
        <f>P33*(1+Assumptions!$H$184)</f>
        <v>4639.9119826177739</v>
      </c>
      <c r="R33" s="83">
        <f>Q33*(1+Assumptions!$H$184)</f>
        <v>4732.7102222701296</v>
      </c>
      <c r="S33" s="83">
        <f>R33*(1+Assumptions!$H$184)</f>
        <v>4827.3644267155323</v>
      </c>
      <c r="T33" s="83">
        <f>S33*(1+Assumptions!$H$184)</f>
        <v>4923.9117152498429</v>
      </c>
      <c r="U33" s="83">
        <f>T33*(1+Assumptions!$H$184)</f>
        <v>5022.3899495548403</v>
      </c>
      <c r="V33" s="83">
        <f>U33*(1+Assumptions!$H$184)</f>
        <v>5122.8377485459368</v>
      </c>
      <c r="W33" s="83">
        <f>V33*(1+Assumptions!$H$184)</f>
        <v>5225.2945035168559</v>
      </c>
      <c r="X33" s="83">
        <f>W33*(1+Assumptions!$H$184)</f>
        <v>5329.800393587193</v>
      </c>
      <c r="Y33" s="83">
        <f>X33*(1+Assumptions!$H$184)</f>
        <v>5436.3964014589374</v>
      </c>
      <c r="Z33" s="83">
        <f>Y33*(1+Assumptions!$H$184)</f>
        <v>5545.124329488116</v>
      </c>
      <c r="AA33" s="83">
        <f>Z33*(1+Assumptions!$H$184)</f>
        <v>5656.0268160778787</v>
      </c>
    </row>
    <row r="34" spans="1:27" x14ac:dyDescent="0.45">
      <c r="A34" s="32"/>
      <c r="B34" s="4"/>
      <c r="C34" s="2" t="s">
        <v>114</v>
      </c>
      <c r="D34" s="2" t="str">
        <f>Assumptions!D75</f>
        <v>Dried pulp packaging table</v>
      </c>
      <c r="E34" s="23" t="s">
        <v>812</v>
      </c>
      <c r="F34" s="36"/>
      <c r="G34" s="83">
        <f>Assumptions!I99</f>
        <v>3485.8096828046746</v>
      </c>
      <c r="H34" s="83">
        <f>G34*(1+Assumptions!$H$184)</f>
        <v>3555.5258764607684</v>
      </c>
      <c r="I34" s="83">
        <f>H34*(1+Assumptions!$H$184)</f>
        <v>3626.6363939899838</v>
      </c>
      <c r="J34" s="83">
        <f>I34*(1+Assumptions!$H$184)</f>
        <v>3699.1691218697838</v>
      </c>
      <c r="K34" s="83">
        <f>J34*(1+Assumptions!$H$184)</f>
        <v>3773.1525043071797</v>
      </c>
      <c r="L34" s="83">
        <f>K34*(1+Assumptions!$H$184)</f>
        <v>3848.6155543933232</v>
      </c>
      <c r="M34" s="83">
        <f>L34*(1+Assumptions!$H$184)</f>
        <v>3925.58786548119</v>
      </c>
      <c r="N34" s="83">
        <f>M34*(1+Assumptions!$H$184)</f>
        <v>4004.099622790814</v>
      </c>
      <c r="O34" s="83">
        <f>N34*(1+Assumptions!$H$184)</f>
        <v>4084.1816152466304</v>
      </c>
      <c r="P34" s="83">
        <f>O34*(1+Assumptions!$H$184)</f>
        <v>4165.8652475515628</v>
      </c>
      <c r="Q34" s="83">
        <f>P34*(1+Assumptions!$H$184)</f>
        <v>4249.1825525025943</v>
      </c>
      <c r="R34" s="83">
        <f>Q34*(1+Assumptions!$H$184)</f>
        <v>4334.166203552646</v>
      </c>
      <c r="S34" s="83">
        <f>R34*(1+Assumptions!$H$184)</f>
        <v>4420.849527623699</v>
      </c>
      <c r="T34" s="83">
        <f>S34*(1+Assumptions!$H$184)</f>
        <v>4509.2665181761731</v>
      </c>
      <c r="U34" s="83">
        <f>T34*(1+Assumptions!$H$184)</f>
        <v>4599.4518485396966</v>
      </c>
      <c r="V34" s="83">
        <f>U34*(1+Assumptions!$H$184)</f>
        <v>4691.4408855104903</v>
      </c>
      <c r="W34" s="83">
        <f>V34*(1+Assumptions!$H$184)</f>
        <v>4785.2697032206997</v>
      </c>
      <c r="X34" s="83">
        <f>W34*(1+Assumptions!$H$184)</f>
        <v>4880.9750972851134</v>
      </c>
      <c r="Y34" s="83">
        <f>X34*(1+Assumptions!$H$184)</f>
        <v>4978.5945992308161</v>
      </c>
      <c r="Z34" s="83">
        <f>Y34*(1+Assumptions!$H$184)</f>
        <v>5078.1664912154329</v>
      </c>
      <c r="AA34" s="83">
        <f>Z34*(1+Assumptions!$H$184)</f>
        <v>5179.7298210397412</v>
      </c>
    </row>
    <row r="35" spans="1:27" x14ac:dyDescent="0.45">
      <c r="A35" s="32"/>
      <c r="B35" s="4"/>
      <c r="C35" s="2" t="s">
        <v>114</v>
      </c>
      <c r="D35" s="2" t="str">
        <f>Assumptions!D76</f>
        <v>Production tools</v>
      </c>
      <c r="E35" s="23" t="s">
        <v>812</v>
      </c>
      <c r="F35" s="36"/>
      <c r="G35" s="83">
        <f>Assumptions!I100</f>
        <v>16026.711185308848</v>
      </c>
      <c r="H35" s="83">
        <f>G35*(1+Assumptions!$H$184)</f>
        <v>16347.245409015026</v>
      </c>
      <c r="I35" s="83">
        <f>H35*(1+Assumptions!$H$184)</f>
        <v>16674.190317195327</v>
      </c>
      <c r="J35" s="83">
        <f>I35*(1+Assumptions!$H$184)</f>
        <v>17007.674123539233</v>
      </c>
      <c r="K35" s="83">
        <f>J35*(1+Assumptions!$H$184)</f>
        <v>17347.827606010018</v>
      </c>
      <c r="L35" s="83">
        <f>K35*(1+Assumptions!$H$184)</f>
        <v>17694.78415813022</v>
      </c>
      <c r="M35" s="83">
        <f>L35*(1+Assumptions!$H$184)</f>
        <v>18048.679841292826</v>
      </c>
      <c r="N35" s="83">
        <f>M35*(1+Assumptions!$H$184)</f>
        <v>18409.653438118683</v>
      </c>
      <c r="O35" s="83">
        <f>N35*(1+Assumptions!$H$184)</f>
        <v>18777.846506881058</v>
      </c>
      <c r="P35" s="83">
        <f>O35*(1+Assumptions!$H$184)</f>
        <v>19153.403437018678</v>
      </c>
      <c r="Q35" s="83">
        <f>P35*(1+Assumptions!$H$184)</f>
        <v>19536.471505759051</v>
      </c>
      <c r="R35" s="83">
        <f>Q35*(1+Assumptions!$H$184)</f>
        <v>19927.200935874233</v>
      </c>
      <c r="S35" s="83">
        <f>R35*(1+Assumptions!$H$184)</f>
        <v>20325.744954591719</v>
      </c>
      <c r="T35" s="83">
        <f>S35*(1+Assumptions!$H$184)</f>
        <v>20732.259853683554</v>
      </c>
      <c r="U35" s="83">
        <f>T35*(1+Assumptions!$H$184)</f>
        <v>21146.905050757225</v>
      </c>
      <c r="V35" s="83">
        <f>U35*(1+Assumptions!$H$184)</f>
        <v>21569.843151772369</v>
      </c>
      <c r="W35" s="83">
        <f>V35*(1+Assumptions!$H$184)</f>
        <v>22001.240014807816</v>
      </c>
      <c r="X35" s="83">
        <f>W35*(1+Assumptions!$H$184)</f>
        <v>22441.264815103972</v>
      </c>
      <c r="Y35" s="83">
        <f>X35*(1+Assumptions!$H$184)</f>
        <v>22890.090111406051</v>
      </c>
      <c r="Z35" s="83">
        <f>Y35*(1+Assumptions!$H$184)</f>
        <v>23347.891913634172</v>
      </c>
      <c r="AA35" s="83">
        <f>Z35*(1+Assumptions!$H$184)</f>
        <v>23814.849751906855</v>
      </c>
    </row>
    <row r="36" spans="1:27" x14ac:dyDescent="0.45">
      <c r="A36" s="32"/>
      <c r="B36" s="4"/>
      <c r="C36" s="2" t="s">
        <v>114</v>
      </c>
      <c r="D36" s="2" t="str">
        <f>Assumptions!D77</f>
        <v>Transport Installation and Commissioning</v>
      </c>
      <c r="E36" s="23" t="s">
        <v>812</v>
      </c>
      <c r="F36" s="36"/>
      <c r="G36" s="83">
        <f>Assumptions!I101</f>
        <v>72215.231218697823</v>
      </c>
      <c r="H36" s="83">
        <f>G36*(1+Assumptions!$H$184)</f>
        <v>73659.535843071775</v>
      </c>
      <c r="I36" s="83">
        <f>H36*(1+Assumptions!$H$184)</f>
        <v>75132.726559933217</v>
      </c>
      <c r="J36" s="83">
        <f>I36*(1+Assumptions!$H$184)</f>
        <v>76635.381091131887</v>
      </c>
      <c r="K36" s="83">
        <f>J36*(1+Assumptions!$H$184)</f>
        <v>78168.08871295453</v>
      </c>
      <c r="L36" s="83">
        <f>K36*(1+Assumptions!$H$184)</f>
        <v>79731.450487213617</v>
      </c>
      <c r="M36" s="83">
        <f>L36*(1+Assumptions!$H$184)</f>
        <v>81326.079496957886</v>
      </c>
      <c r="N36" s="83">
        <f>M36*(1+Assumptions!$H$184)</f>
        <v>82952.601086897048</v>
      </c>
      <c r="O36" s="83">
        <f>N36*(1+Assumptions!$H$184)</f>
        <v>84611.653108634986</v>
      </c>
      <c r="P36" s="83">
        <f>O36*(1+Assumptions!$H$184)</f>
        <v>86303.886170807687</v>
      </c>
      <c r="Q36" s="83">
        <f>P36*(1+Assumptions!$H$184)</f>
        <v>88029.963894223838</v>
      </c>
      <c r="R36" s="83">
        <f>Q36*(1+Assumptions!$H$184)</f>
        <v>89790.563172108319</v>
      </c>
      <c r="S36" s="83">
        <f>R36*(1+Assumptions!$H$184)</f>
        <v>91586.37443555049</v>
      </c>
      <c r="T36" s="83">
        <f>S36*(1+Assumptions!$H$184)</f>
        <v>93418.1019242615</v>
      </c>
      <c r="U36" s="83">
        <f>T36*(1+Assumptions!$H$184)</f>
        <v>95286.463962746726</v>
      </c>
      <c r="V36" s="83">
        <f>U36*(1+Assumptions!$H$184)</f>
        <v>97192.193242001667</v>
      </c>
      <c r="W36" s="83">
        <f>V36*(1+Assumptions!$H$184)</f>
        <v>99136.037106841701</v>
      </c>
      <c r="X36" s="83">
        <f>W36*(1+Assumptions!$H$184)</f>
        <v>101118.75784897854</v>
      </c>
      <c r="Y36" s="83">
        <f>X36*(1+Assumptions!$H$184)</f>
        <v>103141.13300595811</v>
      </c>
      <c r="Z36" s="83">
        <f>Y36*(1+Assumptions!$H$184)</f>
        <v>105203.95566607728</v>
      </c>
      <c r="AA36" s="83">
        <f>Z36*(1+Assumptions!$H$184)</f>
        <v>107308.03477939883</v>
      </c>
    </row>
    <row r="37" spans="1:27" x14ac:dyDescent="0.45">
      <c r="A37" s="32"/>
      <c r="B37" s="4"/>
      <c r="C37" s="2" t="s">
        <v>114</v>
      </c>
      <c r="D37" s="2" t="str">
        <f>Assumptions!D78</f>
        <v>Vehicules</v>
      </c>
      <c r="E37" s="23" t="s">
        <v>812</v>
      </c>
      <c r="F37" s="36"/>
      <c r="G37" s="83">
        <f>Assumptions!I102</f>
        <v>11619.365609348915</v>
      </c>
      <c r="H37" s="83">
        <f>G37*(1+Assumptions!$H$184)</f>
        <v>11851.752921535894</v>
      </c>
      <c r="I37" s="83">
        <f>H37*(1+Assumptions!$H$184)</f>
        <v>12088.787979966612</v>
      </c>
      <c r="J37" s="83">
        <f>I37*(1+Assumptions!$H$184)</f>
        <v>12330.563739565943</v>
      </c>
      <c r="K37" s="83">
        <f>J37*(1+Assumptions!$H$184)</f>
        <v>12577.175014357263</v>
      </c>
      <c r="L37" s="83">
        <f>K37*(1+Assumptions!$H$184)</f>
        <v>12828.718514644408</v>
      </c>
      <c r="M37" s="83">
        <f>L37*(1+Assumptions!$H$184)</f>
        <v>13085.292884937297</v>
      </c>
      <c r="N37" s="83">
        <f>M37*(1+Assumptions!$H$184)</f>
        <v>13346.998742636042</v>
      </c>
      <c r="O37" s="83">
        <f>N37*(1+Assumptions!$H$184)</f>
        <v>13613.938717488763</v>
      </c>
      <c r="P37" s="83">
        <f>O37*(1+Assumptions!$H$184)</f>
        <v>13886.217491838539</v>
      </c>
      <c r="Q37" s="83">
        <f>P37*(1+Assumptions!$H$184)</f>
        <v>14163.941841675311</v>
      </c>
      <c r="R37" s="83">
        <f>Q37*(1+Assumptions!$H$184)</f>
        <v>14447.220678508816</v>
      </c>
      <c r="S37" s="83">
        <f>R37*(1+Assumptions!$H$184)</f>
        <v>14736.165092078993</v>
      </c>
      <c r="T37" s="83">
        <f>S37*(1+Assumptions!$H$184)</f>
        <v>15030.888393920573</v>
      </c>
      <c r="U37" s="83">
        <f>T37*(1+Assumptions!$H$184)</f>
        <v>15331.506161798985</v>
      </c>
      <c r="V37" s="83">
        <f>U37*(1+Assumptions!$H$184)</f>
        <v>15638.136285034965</v>
      </c>
      <c r="W37" s="83">
        <f>V37*(1+Assumptions!$H$184)</f>
        <v>15950.899010735664</v>
      </c>
      <c r="X37" s="83">
        <f>W37*(1+Assumptions!$H$184)</f>
        <v>16269.916990950378</v>
      </c>
      <c r="Y37" s="83">
        <f>X37*(1+Assumptions!$H$184)</f>
        <v>16595.315330769386</v>
      </c>
      <c r="Z37" s="83">
        <f>Y37*(1+Assumptions!$H$184)</f>
        <v>16927.221637384773</v>
      </c>
      <c r="AA37" s="83">
        <f>Z37*(1+Assumptions!$H$184)</f>
        <v>17265.766070132468</v>
      </c>
    </row>
    <row r="38" spans="1:27" x14ac:dyDescent="0.45">
      <c r="A38" s="32"/>
      <c r="B38" s="4"/>
      <c r="C38" s="2" t="s">
        <v>114</v>
      </c>
      <c r="D38" s="2">
        <f>Assumptions!D79</f>
        <v>0</v>
      </c>
      <c r="E38" s="23" t="s">
        <v>812</v>
      </c>
      <c r="F38" s="36"/>
      <c r="G38" s="83">
        <f>Assumptions!I103</f>
        <v>0</v>
      </c>
      <c r="H38" s="83">
        <f>G38*(1+Assumptions!$H$184)</f>
        <v>0</v>
      </c>
      <c r="I38" s="83">
        <f>H38*(1+Assumptions!$H$184)</f>
        <v>0</v>
      </c>
      <c r="J38" s="83">
        <f>I38*(1+Assumptions!$H$184)</f>
        <v>0</v>
      </c>
      <c r="K38" s="83">
        <f>J38*(1+Assumptions!$H$184)</f>
        <v>0</v>
      </c>
      <c r="L38" s="83">
        <f>K38*(1+Assumptions!$H$184)</f>
        <v>0</v>
      </c>
      <c r="M38" s="83">
        <f>L38*(1+Assumptions!$H$184)</f>
        <v>0</v>
      </c>
      <c r="N38" s="83">
        <f>M38*(1+Assumptions!$H$184)</f>
        <v>0</v>
      </c>
      <c r="O38" s="83">
        <f>N38*(1+Assumptions!$H$184)</f>
        <v>0</v>
      </c>
      <c r="P38" s="83">
        <f>O38*(1+Assumptions!$H$184)</f>
        <v>0</v>
      </c>
      <c r="Q38" s="83">
        <f>P38*(1+Assumptions!$H$184)</f>
        <v>0</v>
      </c>
      <c r="R38" s="83">
        <f>Q38*(1+Assumptions!$H$184)</f>
        <v>0</v>
      </c>
      <c r="S38" s="83">
        <f>R38*(1+Assumptions!$H$184)</f>
        <v>0</v>
      </c>
      <c r="T38" s="83">
        <f>S38*(1+Assumptions!$H$184)</f>
        <v>0</v>
      </c>
      <c r="U38" s="83">
        <f>T38*(1+Assumptions!$H$184)</f>
        <v>0</v>
      </c>
      <c r="V38" s="83">
        <f>U38*(1+Assumptions!$H$184)</f>
        <v>0</v>
      </c>
      <c r="W38" s="83">
        <f>V38*(1+Assumptions!$H$184)</f>
        <v>0</v>
      </c>
      <c r="X38" s="83">
        <f>W38*(1+Assumptions!$H$184)</f>
        <v>0</v>
      </c>
      <c r="Y38" s="83">
        <f>X38*(1+Assumptions!$H$184)</f>
        <v>0</v>
      </c>
      <c r="Z38" s="83">
        <f>Y38*(1+Assumptions!$H$184)</f>
        <v>0</v>
      </c>
      <c r="AA38" s="83">
        <f>Z38*(1+Assumptions!$H$184)</f>
        <v>0</v>
      </c>
    </row>
    <row r="39" spans="1:27" x14ac:dyDescent="0.45">
      <c r="A39" s="32"/>
      <c r="B39" s="4"/>
      <c r="C39" s="2" t="s">
        <v>114</v>
      </c>
      <c r="D39" s="2">
        <f>Assumptions!D80</f>
        <v>0</v>
      </c>
      <c r="E39" s="23" t="s">
        <v>812</v>
      </c>
      <c r="F39" s="36"/>
      <c r="G39" s="83">
        <f>Assumptions!I104</f>
        <v>0</v>
      </c>
      <c r="H39" s="83">
        <f>G39*(1+Assumptions!$H$184)</f>
        <v>0</v>
      </c>
      <c r="I39" s="83">
        <f>H39*(1+Assumptions!$H$184)</f>
        <v>0</v>
      </c>
      <c r="J39" s="83">
        <f>I39*(1+Assumptions!$H$184)</f>
        <v>0</v>
      </c>
      <c r="K39" s="83">
        <f>J39*(1+Assumptions!$H$184)</f>
        <v>0</v>
      </c>
      <c r="L39" s="83">
        <f>K39*(1+Assumptions!$H$184)</f>
        <v>0</v>
      </c>
      <c r="M39" s="83">
        <f>L39*(1+Assumptions!$H$184)</f>
        <v>0</v>
      </c>
      <c r="N39" s="83">
        <f>M39*(1+Assumptions!$H$184)</f>
        <v>0</v>
      </c>
      <c r="O39" s="83">
        <f>N39*(1+Assumptions!$H$184)</f>
        <v>0</v>
      </c>
      <c r="P39" s="83">
        <f>O39*(1+Assumptions!$H$184)</f>
        <v>0</v>
      </c>
      <c r="Q39" s="83">
        <f>P39*(1+Assumptions!$H$184)</f>
        <v>0</v>
      </c>
      <c r="R39" s="83">
        <f>Q39*(1+Assumptions!$H$184)</f>
        <v>0</v>
      </c>
      <c r="S39" s="83">
        <f>R39*(1+Assumptions!$H$184)</f>
        <v>0</v>
      </c>
      <c r="T39" s="83">
        <f>S39*(1+Assumptions!$H$184)</f>
        <v>0</v>
      </c>
      <c r="U39" s="83">
        <f>T39*(1+Assumptions!$H$184)</f>
        <v>0</v>
      </c>
      <c r="V39" s="83">
        <f>U39*(1+Assumptions!$H$184)</f>
        <v>0</v>
      </c>
      <c r="W39" s="83">
        <f>V39*(1+Assumptions!$H$184)</f>
        <v>0</v>
      </c>
      <c r="X39" s="83">
        <f>W39*(1+Assumptions!$H$184)</f>
        <v>0</v>
      </c>
      <c r="Y39" s="83">
        <f>X39*(1+Assumptions!$H$184)</f>
        <v>0</v>
      </c>
      <c r="Z39" s="83">
        <f>Y39*(1+Assumptions!$H$184)</f>
        <v>0</v>
      </c>
      <c r="AA39" s="83">
        <f>Z39*(1+Assumptions!$H$184)</f>
        <v>0</v>
      </c>
    </row>
    <row r="40" spans="1:27" x14ac:dyDescent="0.45">
      <c r="A40" s="32"/>
      <c r="B40" s="4"/>
      <c r="C40" s="2" t="s">
        <v>114</v>
      </c>
      <c r="D40" s="2">
        <f>Assumptions!D81</f>
        <v>0</v>
      </c>
      <c r="E40" s="23" t="s">
        <v>812</v>
      </c>
      <c r="F40" s="36"/>
      <c r="G40" s="83">
        <f>Assumptions!I105</f>
        <v>0</v>
      </c>
      <c r="H40" s="83">
        <f>G40*(1+Assumptions!$H$184)</f>
        <v>0</v>
      </c>
      <c r="I40" s="83">
        <f>H40*(1+Assumptions!$H$184)</f>
        <v>0</v>
      </c>
      <c r="J40" s="83">
        <f>I40*(1+Assumptions!$H$184)</f>
        <v>0</v>
      </c>
      <c r="K40" s="83">
        <f>J40*(1+Assumptions!$H$184)</f>
        <v>0</v>
      </c>
      <c r="L40" s="83">
        <f>K40*(1+Assumptions!$H$184)</f>
        <v>0</v>
      </c>
      <c r="M40" s="83">
        <f>L40*(1+Assumptions!$H$184)</f>
        <v>0</v>
      </c>
      <c r="N40" s="83">
        <f>M40*(1+Assumptions!$H$184)</f>
        <v>0</v>
      </c>
      <c r="O40" s="83">
        <f>N40*(1+Assumptions!$H$184)</f>
        <v>0</v>
      </c>
      <c r="P40" s="83">
        <f>O40*(1+Assumptions!$H$184)</f>
        <v>0</v>
      </c>
      <c r="Q40" s="83">
        <f>P40*(1+Assumptions!$H$184)</f>
        <v>0</v>
      </c>
      <c r="R40" s="83">
        <f>Q40*(1+Assumptions!$H$184)</f>
        <v>0</v>
      </c>
      <c r="S40" s="83">
        <f>R40*(1+Assumptions!$H$184)</f>
        <v>0</v>
      </c>
      <c r="T40" s="83">
        <f>S40*(1+Assumptions!$H$184)</f>
        <v>0</v>
      </c>
      <c r="U40" s="83">
        <f>T40*(1+Assumptions!$H$184)</f>
        <v>0</v>
      </c>
      <c r="V40" s="83">
        <f>U40*(1+Assumptions!$H$184)</f>
        <v>0</v>
      </c>
      <c r="W40" s="83">
        <f>V40*(1+Assumptions!$H$184)</f>
        <v>0</v>
      </c>
      <c r="X40" s="83">
        <f>W40*(1+Assumptions!$H$184)</f>
        <v>0</v>
      </c>
      <c r="Y40" s="83">
        <f>X40*(1+Assumptions!$H$184)</f>
        <v>0</v>
      </c>
      <c r="Z40" s="83">
        <f>Y40*(1+Assumptions!$H$184)</f>
        <v>0</v>
      </c>
      <c r="AA40" s="83">
        <f>Z40*(1+Assumptions!$H$184)</f>
        <v>0</v>
      </c>
    </row>
    <row r="41" spans="1:27" x14ac:dyDescent="0.45">
      <c r="A41" s="32"/>
      <c r="B41" s="4"/>
      <c r="C41" s="4"/>
      <c r="F41" s="36"/>
    </row>
    <row r="42" spans="1:27" x14ac:dyDescent="0.45">
      <c r="A42" s="32"/>
      <c r="B42" s="4"/>
      <c r="C42" s="2" t="s">
        <v>114</v>
      </c>
      <c r="D42" s="2" t="str">
        <f>D19</f>
        <v>Landscaping</v>
      </c>
      <c r="E42" s="23" t="s">
        <v>806</v>
      </c>
      <c r="F42" s="23"/>
      <c r="G42" s="88">
        <f ca="1">G19*Assumptions!H$17+IF(COLUMN(G42)&lt;=6+Assumptions!$H60,0,OFFSET(G42,,-Assumptions!$H60))</f>
        <v>961602.67111853091</v>
      </c>
      <c r="H42" s="88">
        <f ca="1">H19*Assumptions!I$17+IF(COLUMN(H42)&lt;=6+Assumptions!$H60,0,OFFSET(H42,,-Assumptions!$H60))</f>
        <v>0</v>
      </c>
      <c r="I42" s="88">
        <f ca="1">I19*Assumptions!J$17+IF(COLUMN(I42)&lt;=6+Assumptions!$H60,0,OFFSET(I42,,-Assumptions!$H60))</f>
        <v>0</v>
      </c>
      <c r="J42" s="88">
        <f ca="1">J19*Assumptions!K$17+IF(COLUMN(J42)&lt;=6+Assumptions!$H60,0,OFFSET(J42,,-Assumptions!$H60))</f>
        <v>0</v>
      </c>
      <c r="K42" s="88">
        <f ca="1">K19*Assumptions!L$17+IF(COLUMN(K42)&lt;=6+Assumptions!$H60,0,OFFSET(K42,,-Assumptions!$H60))</f>
        <v>0</v>
      </c>
      <c r="L42" s="88">
        <f ca="1">L19*Assumptions!M$17+IF(COLUMN(L42)&lt;=6+Assumptions!$H60,0,OFFSET(L42,,-Assumptions!$H60))</f>
        <v>0</v>
      </c>
      <c r="M42" s="88">
        <f ca="1">M19*Assumptions!N$17+IF(COLUMN(M42)&lt;=6+Assumptions!$H60,0,OFFSET(M42,,-Assumptions!$H60))</f>
        <v>0</v>
      </c>
      <c r="N42" s="88">
        <f ca="1">N19*Assumptions!O$17+IF(COLUMN(N42)&lt;=6+Assumptions!$H60,0,OFFSET(N42,,-Assumptions!$H60))</f>
        <v>0</v>
      </c>
      <c r="O42" s="88">
        <f ca="1">O19*Assumptions!P$17+IF(COLUMN(O42)&lt;=6+Assumptions!$H60,0,OFFSET(O42,,-Assumptions!$H60))</f>
        <v>0</v>
      </c>
      <c r="P42" s="88">
        <f ca="1">P19*Assumptions!Q$17+IF(COLUMN(P42)&lt;=6+Assumptions!$H60,0,OFFSET(P42,,-Assumptions!$H60))</f>
        <v>0</v>
      </c>
      <c r="Q42" s="88">
        <f ca="1">Q19*Assumptions!R$17+IF(COLUMN(Q42)&lt;=6+Assumptions!$H60,0,OFFSET(Q42,,-Assumptions!$H60))</f>
        <v>0</v>
      </c>
      <c r="R42" s="88">
        <f ca="1">R19*Assumptions!S$17+IF(COLUMN(R42)&lt;=6+Assumptions!$H60,0,OFFSET(R42,,-Assumptions!$H60))</f>
        <v>0</v>
      </c>
      <c r="S42" s="88">
        <f ca="1">S19*Assumptions!T$17+IF(COLUMN(S42)&lt;=6+Assumptions!$H60,0,OFFSET(S42,,-Assumptions!$H60))</f>
        <v>0</v>
      </c>
      <c r="T42" s="88">
        <f ca="1">T19*Assumptions!U$17+IF(COLUMN(T42)&lt;=6+Assumptions!$H60,0,OFFSET(T42,,-Assumptions!$H60))</f>
        <v>0</v>
      </c>
      <c r="U42" s="88">
        <f ca="1">U19*Assumptions!V$17+IF(COLUMN(U42)&lt;=6+Assumptions!$H60,0,OFFSET(U42,,-Assumptions!$H60))</f>
        <v>0</v>
      </c>
      <c r="V42" s="88">
        <f ca="1">V19*Assumptions!W$17+IF(COLUMN(V42)&lt;=6+Assumptions!$H60,0,OFFSET(V42,,-Assumptions!$H60))</f>
        <v>0</v>
      </c>
      <c r="W42" s="88">
        <f ca="1">W19*Assumptions!X$17+IF(COLUMN(W42)&lt;=6+Assumptions!$H60,0,OFFSET(W42,,-Assumptions!$H60))</f>
        <v>0</v>
      </c>
      <c r="X42" s="88">
        <f ca="1">X19*Assumptions!Y$17+IF(COLUMN(X42)&lt;=6+Assumptions!$H60,0,OFFSET(X42,,-Assumptions!$H60))</f>
        <v>0</v>
      </c>
      <c r="Y42" s="88">
        <f ca="1">Y19*Assumptions!Z$17+IF(COLUMN(Y42)&lt;=6+Assumptions!$H60,0,OFFSET(Y42,,-Assumptions!$H60))</f>
        <v>0</v>
      </c>
      <c r="Z42" s="88">
        <f ca="1">Z19*Assumptions!AA$17+IF(COLUMN(Z42)&lt;=6+Assumptions!$H60,0,OFFSET(Z42,,-Assumptions!$H60))</f>
        <v>0</v>
      </c>
      <c r="AA42" s="88">
        <f ca="1">AA19*Assumptions!AB$17+IF(COLUMN(AA42)&lt;=6+Assumptions!$H60,0,OFFSET(AA42,,-Assumptions!$H60))</f>
        <v>0</v>
      </c>
    </row>
    <row r="43" spans="1:27" x14ac:dyDescent="0.45">
      <c r="A43" s="32"/>
      <c r="B43" s="4"/>
      <c r="C43" s="2" t="s">
        <v>114</v>
      </c>
      <c r="D43" s="2" t="str">
        <f t="shared" ref="D43:D63" si="2">D20</f>
        <v>Building</v>
      </c>
      <c r="E43" s="23" t="s">
        <v>806</v>
      </c>
      <c r="F43" s="23"/>
      <c r="G43" s="88">
        <f ca="1">G20*Assumptions!H$17+IF(COLUMN(G43)&lt;=6+Assumptions!$H61,0,OFFSET(G43,,-Assumptions!$H61))</f>
        <v>272454.09015025041</v>
      </c>
      <c r="H43" s="88">
        <f ca="1">H20*Assumptions!I$17+IF(COLUMN(H43)&lt;=6+Assumptions!$H61,0,OFFSET(H43,,-Assumptions!$H61))</f>
        <v>0</v>
      </c>
      <c r="I43" s="88">
        <f ca="1">I20*Assumptions!J$17+IF(COLUMN(I43)&lt;=6+Assumptions!$H61,0,OFFSET(I43,,-Assumptions!$H61))</f>
        <v>0</v>
      </c>
      <c r="J43" s="88">
        <f ca="1">J20*Assumptions!K$17+IF(COLUMN(J43)&lt;=6+Assumptions!$H61,0,OFFSET(J43,,-Assumptions!$H61))</f>
        <v>0</v>
      </c>
      <c r="K43" s="88">
        <f ca="1">K20*Assumptions!L$17+IF(COLUMN(K43)&lt;=6+Assumptions!$H61,0,OFFSET(K43,,-Assumptions!$H61))</f>
        <v>0</v>
      </c>
      <c r="L43" s="88">
        <f ca="1">L20*Assumptions!M$17+IF(COLUMN(L43)&lt;=6+Assumptions!$H61,0,OFFSET(L43,,-Assumptions!$H61))</f>
        <v>0</v>
      </c>
      <c r="M43" s="88">
        <f ca="1">M20*Assumptions!N$17+IF(COLUMN(M43)&lt;=6+Assumptions!$H61,0,OFFSET(M43,,-Assumptions!$H61))</f>
        <v>0</v>
      </c>
      <c r="N43" s="88">
        <f ca="1">N20*Assumptions!O$17+IF(COLUMN(N43)&lt;=6+Assumptions!$H61,0,OFFSET(N43,,-Assumptions!$H61))</f>
        <v>0</v>
      </c>
      <c r="O43" s="88">
        <f ca="1">O20*Assumptions!P$17+IF(COLUMN(O43)&lt;=6+Assumptions!$H61,0,OFFSET(O43,,-Assumptions!$H61))</f>
        <v>0</v>
      </c>
      <c r="P43" s="88">
        <f ca="1">P20*Assumptions!Q$17+IF(COLUMN(P43)&lt;=6+Assumptions!$H61,0,OFFSET(P43,,-Assumptions!$H61))</f>
        <v>0</v>
      </c>
      <c r="Q43" s="88">
        <f ca="1">Q20*Assumptions!R$17+IF(COLUMN(Q43)&lt;=6+Assumptions!$H61,0,OFFSET(Q43,,-Assumptions!$H61))</f>
        <v>0</v>
      </c>
      <c r="R43" s="88">
        <f ca="1">R20*Assumptions!S$17+IF(COLUMN(R43)&lt;=6+Assumptions!$H61,0,OFFSET(R43,,-Assumptions!$H61))</f>
        <v>0</v>
      </c>
      <c r="S43" s="88">
        <f ca="1">S20*Assumptions!T$17+IF(COLUMN(S43)&lt;=6+Assumptions!$H61,0,OFFSET(S43,,-Assumptions!$H61))</f>
        <v>0</v>
      </c>
      <c r="T43" s="88">
        <f ca="1">T20*Assumptions!U$17+IF(COLUMN(T43)&lt;=6+Assumptions!$H61,0,OFFSET(T43,,-Assumptions!$H61))</f>
        <v>0</v>
      </c>
      <c r="U43" s="88">
        <f ca="1">U20*Assumptions!V$17+IF(COLUMN(U43)&lt;=6+Assumptions!$H61,0,OFFSET(U43,,-Assumptions!$H61))</f>
        <v>0</v>
      </c>
      <c r="V43" s="88">
        <f ca="1">V20*Assumptions!W$17+IF(COLUMN(V43)&lt;=6+Assumptions!$H61,0,OFFSET(V43,,-Assumptions!$H61))</f>
        <v>0</v>
      </c>
      <c r="W43" s="88">
        <f ca="1">W20*Assumptions!X$17+IF(COLUMN(W43)&lt;=6+Assumptions!$H61,0,OFFSET(W43,,-Assumptions!$H61))</f>
        <v>0</v>
      </c>
      <c r="X43" s="88">
        <f ca="1">X20*Assumptions!Y$17+IF(COLUMN(X43)&lt;=6+Assumptions!$H61,0,OFFSET(X43,,-Assumptions!$H61))</f>
        <v>0</v>
      </c>
      <c r="Y43" s="88">
        <f ca="1">Y20*Assumptions!Z$17+IF(COLUMN(Y43)&lt;=6+Assumptions!$H61,0,OFFSET(Y43,,-Assumptions!$H61))</f>
        <v>0</v>
      </c>
      <c r="Z43" s="88">
        <f ca="1">Z20*Assumptions!AA$17+IF(COLUMN(Z43)&lt;=6+Assumptions!$H61,0,OFFSET(Z43,,-Assumptions!$H61))</f>
        <v>0</v>
      </c>
      <c r="AA43" s="88">
        <f ca="1">AA20*Assumptions!AB$17+IF(COLUMN(AA43)&lt;=6+Assumptions!$H61,0,OFFSET(AA43,,-Assumptions!$H61))</f>
        <v>0</v>
      </c>
    </row>
    <row r="44" spans="1:27" x14ac:dyDescent="0.45">
      <c r="A44" s="32"/>
      <c r="B44" s="4"/>
      <c r="C44" s="2" t="s">
        <v>114</v>
      </c>
      <c r="D44" s="2" t="str">
        <f t="shared" si="2"/>
        <v>Storage</v>
      </c>
      <c r="E44" s="23" t="s">
        <v>806</v>
      </c>
      <c r="F44" s="23"/>
      <c r="G44" s="88">
        <f ca="1">G21*Assumptions!H$17+IF(COLUMN(G44)&lt;=6+Assumptions!$H62,0,OFFSET(G44,,-Assumptions!$H62))</f>
        <v>112186.97829716194</v>
      </c>
      <c r="H44" s="88">
        <f ca="1">H21*Assumptions!I$17+IF(COLUMN(H44)&lt;=6+Assumptions!$H62,0,OFFSET(H44,,-Assumptions!$H62))</f>
        <v>0</v>
      </c>
      <c r="I44" s="88">
        <f ca="1">I21*Assumptions!J$17+IF(COLUMN(I44)&lt;=6+Assumptions!$H62,0,OFFSET(I44,,-Assumptions!$H62))</f>
        <v>0</v>
      </c>
      <c r="J44" s="88">
        <f ca="1">J21*Assumptions!K$17+IF(COLUMN(J44)&lt;=6+Assumptions!$H62,0,OFFSET(J44,,-Assumptions!$H62))</f>
        <v>0</v>
      </c>
      <c r="K44" s="88">
        <f ca="1">K21*Assumptions!L$17+IF(COLUMN(K44)&lt;=6+Assumptions!$H62,0,OFFSET(K44,,-Assumptions!$H62))</f>
        <v>0</v>
      </c>
      <c r="L44" s="88">
        <f ca="1">L21*Assumptions!M$17+IF(COLUMN(L44)&lt;=6+Assumptions!$H62,0,OFFSET(L44,,-Assumptions!$H62))</f>
        <v>0</v>
      </c>
      <c r="M44" s="88">
        <f ca="1">M21*Assumptions!N$17+IF(COLUMN(M44)&lt;=6+Assumptions!$H62,0,OFFSET(M44,,-Assumptions!$H62))</f>
        <v>0</v>
      </c>
      <c r="N44" s="88">
        <f ca="1">N21*Assumptions!O$17+IF(COLUMN(N44)&lt;=6+Assumptions!$H62,0,OFFSET(N44,,-Assumptions!$H62))</f>
        <v>0</v>
      </c>
      <c r="O44" s="88">
        <f ca="1">O21*Assumptions!P$17+IF(COLUMN(O44)&lt;=6+Assumptions!$H62,0,OFFSET(O44,,-Assumptions!$H62))</f>
        <v>0</v>
      </c>
      <c r="P44" s="88">
        <f ca="1">P21*Assumptions!Q$17+IF(COLUMN(P44)&lt;=6+Assumptions!$H62,0,OFFSET(P44,,-Assumptions!$H62))</f>
        <v>0</v>
      </c>
      <c r="Q44" s="88">
        <f ca="1">Q21*Assumptions!R$17+IF(COLUMN(Q44)&lt;=6+Assumptions!$H62,0,OFFSET(Q44,,-Assumptions!$H62))</f>
        <v>0</v>
      </c>
      <c r="R44" s="88">
        <f ca="1">R21*Assumptions!S$17+IF(COLUMN(R44)&lt;=6+Assumptions!$H62,0,OFFSET(R44,,-Assumptions!$H62))</f>
        <v>0</v>
      </c>
      <c r="S44" s="88">
        <f ca="1">S21*Assumptions!T$17+IF(COLUMN(S44)&lt;=6+Assumptions!$H62,0,OFFSET(S44,,-Assumptions!$H62))</f>
        <v>0</v>
      </c>
      <c r="T44" s="88">
        <f ca="1">T21*Assumptions!U$17+IF(COLUMN(T44)&lt;=6+Assumptions!$H62,0,OFFSET(T44,,-Assumptions!$H62))</f>
        <v>0</v>
      </c>
      <c r="U44" s="88">
        <f ca="1">U21*Assumptions!V$17+IF(COLUMN(U44)&lt;=6+Assumptions!$H62,0,OFFSET(U44,,-Assumptions!$H62))</f>
        <v>0</v>
      </c>
      <c r="V44" s="88">
        <f ca="1">V21*Assumptions!W$17+IF(COLUMN(V44)&lt;=6+Assumptions!$H62,0,OFFSET(V44,,-Assumptions!$H62))</f>
        <v>0</v>
      </c>
      <c r="W44" s="88">
        <f ca="1">W21*Assumptions!X$17+IF(COLUMN(W44)&lt;=6+Assumptions!$H62,0,OFFSET(W44,,-Assumptions!$H62))</f>
        <v>0</v>
      </c>
      <c r="X44" s="88">
        <f ca="1">X21*Assumptions!Y$17+IF(COLUMN(X44)&lt;=6+Assumptions!$H62,0,OFFSET(X44,,-Assumptions!$H62))</f>
        <v>0</v>
      </c>
      <c r="Y44" s="88">
        <f ca="1">Y21*Assumptions!Z$17+IF(COLUMN(Y44)&lt;=6+Assumptions!$H62,0,OFFSET(Y44,,-Assumptions!$H62))</f>
        <v>0</v>
      </c>
      <c r="Z44" s="88">
        <f ca="1">Z21*Assumptions!AA$17+IF(COLUMN(Z44)&lt;=6+Assumptions!$H62,0,OFFSET(Z44,,-Assumptions!$H62))</f>
        <v>0</v>
      </c>
      <c r="AA44" s="88">
        <f ca="1">AA21*Assumptions!AB$17+IF(COLUMN(AA44)&lt;=6+Assumptions!$H62,0,OFFSET(AA44,,-Assumptions!$H62))</f>
        <v>0</v>
      </c>
    </row>
    <row r="45" spans="1:27" x14ac:dyDescent="0.45">
      <c r="A45" s="32"/>
      <c r="B45" s="4"/>
      <c r="C45" s="2" t="s">
        <v>114</v>
      </c>
      <c r="D45" s="2" t="str">
        <f t="shared" si="2"/>
        <v>Water system</v>
      </c>
      <c r="E45" s="23" t="s">
        <v>806</v>
      </c>
      <c r="F45" s="23"/>
      <c r="G45" s="88">
        <f ca="1">G22*Assumptions!H$17+IF(COLUMN(G45)&lt;=6+Assumptions!$H63,0,OFFSET(G45,,-Assumptions!$H63))</f>
        <v>112186.97829716194</v>
      </c>
      <c r="H45" s="88">
        <f ca="1">H22*Assumptions!I$17+IF(COLUMN(H45)&lt;=6+Assumptions!$H63,0,OFFSET(H45,,-Assumptions!$H63))</f>
        <v>0</v>
      </c>
      <c r="I45" s="88">
        <f ca="1">I22*Assumptions!J$17+IF(COLUMN(I45)&lt;=6+Assumptions!$H63,0,OFFSET(I45,,-Assumptions!$H63))</f>
        <v>0</v>
      </c>
      <c r="J45" s="88">
        <f ca="1">J22*Assumptions!K$17+IF(COLUMN(J45)&lt;=6+Assumptions!$H63,0,OFFSET(J45,,-Assumptions!$H63))</f>
        <v>0</v>
      </c>
      <c r="K45" s="88">
        <f ca="1">K22*Assumptions!L$17+IF(COLUMN(K45)&lt;=6+Assumptions!$H63,0,OFFSET(K45,,-Assumptions!$H63))</f>
        <v>0</v>
      </c>
      <c r="L45" s="88">
        <f ca="1">L22*Assumptions!M$17+IF(COLUMN(L45)&lt;=6+Assumptions!$H63,0,OFFSET(L45,,-Assumptions!$H63))</f>
        <v>0</v>
      </c>
      <c r="M45" s="88">
        <f ca="1">M22*Assumptions!N$17+IF(COLUMN(M45)&lt;=6+Assumptions!$H63,0,OFFSET(M45,,-Assumptions!$H63))</f>
        <v>0</v>
      </c>
      <c r="N45" s="88">
        <f ca="1">N22*Assumptions!O$17+IF(COLUMN(N45)&lt;=6+Assumptions!$H63,0,OFFSET(N45,,-Assumptions!$H63))</f>
        <v>0</v>
      </c>
      <c r="O45" s="88">
        <f ca="1">O22*Assumptions!P$17+IF(COLUMN(O45)&lt;=6+Assumptions!$H63,0,OFFSET(O45,,-Assumptions!$H63))</f>
        <v>0</v>
      </c>
      <c r="P45" s="88">
        <f ca="1">P22*Assumptions!Q$17+IF(COLUMN(P45)&lt;=6+Assumptions!$H63,0,OFFSET(P45,,-Assumptions!$H63))</f>
        <v>0</v>
      </c>
      <c r="Q45" s="88">
        <f ca="1">Q22*Assumptions!R$17+IF(COLUMN(Q45)&lt;=6+Assumptions!$H63,0,OFFSET(Q45,,-Assumptions!$H63))</f>
        <v>0</v>
      </c>
      <c r="R45" s="88">
        <f ca="1">R22*Assumptions!S$17+IF(COLUMN(R45)&lt;=6+Assumptions!$H63,0,OFFSET(R45,,-Assumptions!$H63))</f>
        <v>0</v>
      </c>
      <c r="S45" s="88">
        <f ca="1">S22*Assumptions!T$17+IF(COLUMN(S45)&lt;=6+Assumptions!$H63,0,OFFSET(S45,,-Assumptions!$H63))</f>
        <v>0</v>
      </c>
      <c r="T45" s="88">
        <f ca="1">T22*Assumptions!U$17+IF(COLUMN(T45)&lt;=6+Assumptions!$H63,0,OFFSET(T45,,-Assumptions!$H63))</f>
        <v>0</v>
      </c>
      <c r="U45" s="88">
        <f ca="1">U22*Assumptions!V$17+IF(COLUMN(U45)&lt;=6+Assumptions!$H63,0,OFFSET(U45,,-Assumptions!$H63))</f>
        <v>0</v>
      </c>
      <c r="V45" s="88">
        <f ca="1">V22*Assumptions!W$17+IF(COLUMN(V45)&lt;=6+Assumptions!$H63,0,OFFSET(V45,,-Assumptions!$H63))</f>
        <v>0</v>
      </c>
      <c r="W45" s="88">
        <f ca="1">W22*Assumptions!X$17+IF(COLUMN(W45)&lt;=6+Assumptions!$H63,0,OFFSET(W45,,-Assumptions!$H63))</f>
        <v>0</v>
      </c>
      <c r="X45" s="88">
        <f ca="1">X22*Assumptions!Y$17+IF(COLUMN(X45)&lt;=6+Assumptions!$H63,0,OFFSET(X45,,-Assumptions!$H63))</f>
        <v>0</v>
      </c>
      <c r="Y45" s="88">
        <f ca="1">Y22*Assumptions!Z$17+IF(COLUMN(Y45)&lt;=6+Assumptions!$H63,0,OFFSET(Y45,,-Assumptions!$H63))</f>
        <v>0</v>
      </c>
      <c r="Z45" s="88">
        <f ca="1">Z22*Assumptions!AA$17+IF(COLUMN(Z45)&lt;=6+Assumptions!$H63,0,OFFSET(Z45,,-Assumptions!$H63))</f>
        <v>0</v>
      </c>
      <c r="AA45" s="88">
        <f ca="1">AA22*Assumptions!AB$17+IF(COLUMN(AA45)&lt;=6+Assumptions!$H63,0,OFFSET(AA45,,-Assumptions!$H63))</f>
        <v>0</v>
      </c>
    </row>
    <row r="46" spans="1:27" x14ac:dyDescent="0.45">
      <c r="A46" s="32"/>
      <c r="B46" s="4"/>
      <c r="C46" s="2" t="s">
        <v>114</v>
      </c>
      <c r="D46" s="2" t="str">
        <f t="shared" si="2"/>
        <v>Electricity</v>
      </c>
      <c r="E46" s="23" t="s">
        <v>806</v>
      </c>
      <c r="F46" s="23"/>
      <c r="G46" s="88">
        <f ca="1">G23*Assumptions!H$17+IF(COLUMN(G46)&lt;=6+Assumptions!$H64,0,OFFSET(G46,,-Assumptions!$H64))</f>
        <v>48080.133555926543</v>
      </c>
      <c r="H46" s="88">
        <f ca="1">H23*Assumptions!I$17+IF(COLUMN(H46)&lt;=6+Assumptions!$H64,0,OFFSET(H46,,-Assumptions!$H64))</f>
        <v>0</v>
      </c>
      <c r="I46" s="88">
        <f ca="1">I23*Assumptions!J$17+IF(COLUMN(I46)&lt;=6+Assumptions!$H64,0,OFFSET(I46,,-Assumptions!$H64))</f>
        <v>0</v>
      </c>
      <c r="J46" s="88">
        <f ca="1">J23*Assumptions!K$17+IF(COLUMN(J46)&lt;=6+Assumptions!$H64,0,OFFSET(J46,,-Assumptions!$H64))</f>
        <v>0</v>
      </c>
      <c r="K46" s="88">
        <f ca="1">K23*Assumptions!L$17+IF(COLUMN(K46)&lt;=6+Assumptions!$H64,0,OFFSET(K46,,-Assumptions!$H64))</f>
        <v>0</v>
      </c>
      <c r="L46" s="88">
        <f ca="1">L23*Assumptions!M$17+IF(COLUMN(L46)&lt;=6+Assumptions!$H64,0,OFFSET(L46,,-Assumptions!$H64))</f>
        <v>0</v>
      </c>
      <c r="M46" s="88">
        <f ca="1">M23*Assumptions!N$17+IF(COLUMN(M46)&lt;=6+Assumptions!$H64,0,OFFSET(M46,,-Assumptions!$H64))</f>
        <v>0</v>
      </c>
      <c r="N46" s="88">
        <f ca="1">N23*Assumptions!O$17+IF(COLUMN(N46)&lt;=6+Assumptions!$H64,0,OFFSET(N46,,-Assumptions!$H64))</f>
        <v>0</v>
      </c>
      <c r="O46" s="88">
        <f ca="1">O23*Assumptions!P$17+IF(COLUMN(O46)&lt;=6+Assumptions!$H64,0,OFFSET(O46,,-Assumptions!$H64))</f>
        <v>0</v>
      </c>
      <c r="P46" s="88">
        <f ca="1">P23*Assumptions!Q$17+IF(COLUMN(P46)&lt;=6+Assumptions!$H64,0,OFFSET(P46,,-Assumptions!$H64))</f>
        <v>0</v>
      </c>
      <c r="Q46" s="88">
        <f ca="1">Q23*Assumptions!R$17+IF(COLUMN(Q46)&lt;=6+Assumptions!$H64,0,OFFSET(Q46,,-Assumptions!$H64))</f>
        <v>0</v>
      </c>
      <c r="R46" s="88">
        <f ca="1">R23*Assumptions!S$17+IF(COLUMN(R46)&lt;=6+Assumptions!$H64,0,OFFSET(R46,,-Assumptions!$H64))</f>
        <v>0</v>
      </c>
      <c r="S46" s="88">
        <f ca="1">S23*Assumptions!T$17+IF(COLUMN(S46)&lt;=6+Assumptions!$H64,0,OFFSET(S46,,-Assumptions!$H64))</f>
        <v>0</v>
      </c>
      <c r="T46" s="88">
        <f ca="1">T23*Assumptions!U$17+IF(COLUMN(T46)&lt;=6+Assumptions!$H64,0,OFFSET(T46,,-Assumptions!$H64))</f>
        <v>0</v>
      </c>
      <c r="U46" s="88">
        <f ca="1">U23*Assumptions!V$17+IF(COLUMN(U46)&lt;=6+Assumptions!$H64,0,OFFSET(U46,,-Assumptions!$H64))</f>
        <v>0</v>
      </c>
      <c r="V46" s="88">
        <f ca="1">V23*Assumptions!W$17+IF(COLUMN(V46)&lt;=6+Assumptions!$H64,0,OFFSET(V46,,-Assumptions!$H64))</f>
        <v>0</v>
      </c>
      <c r="W46" s="88">
        <f ca="1">W23*Assumptions!X$17+IF(COLUMN(W46)&lt;=6+Assumptions!$H64,0,OFFSET(W46,,-Assumptions!$H64))</f>
        <v>0</v>
      </c>
      <c r="X46" s="88">
        <f ca="1">X23*Assumptions!Y$17+IF(COLUMN(X46)&lt;=6+Assumptions!$H64,0,OFFSET(X46,,-Assumptions!$H64))</f>
        <v>0</v>
      </c>
      <c r="Y46" s="88">
        <f ca="1">Y23*Assumptions!Z$17+IF(COLUMN(Y46)&lt;=6+Assumptions!$H64,0,OFFSET(Y46,,-Assumptions!$H64))</f>
        <v>0</v>
      </c>
      <c r="Z46" s="88">
        <f ca="1">Z23*Assumptions!AA$17+IF(COLUMN(Z46)&lt;=6+Assumptions!$H64,0,OFFSET(Z46,,-Assumptions!$H64))</f>
        <v>0</v>
      </c>
      <c r="AA46" s="88">
        <f ca="1">AA23*Assumptions!AB$17+IF(COLUMN(AA46)&lt;=6+Assumptions!$H64,0,OFFSET(AA46,,-Assumptions!$H64))</f>
        <v>0</v>
      </c>
    </row>
    <row r="47" spans="1:27" x14ac:dyDescent="0.45">
      <c r="A47" s="32"/>
      <c r="B47" s="4"/>
      <c r="C47" s="2" t="s">
        <v>114</v>
      </c>
      <c r="D47" s="2" t="str">
        <f t="shared" si="2"/>
        <v>Waste management including biogas</v>
      </c>
      <c r="E47" s="23" t="s">
        <v>806</v>
      </c>
      <c r="F47" s="23"/>
      <c r="G47" s="88">
        <f ca="1">G24*Assumptions!H$17+IF(COLUMN(G47)&lt;=6+Assumptions!$H65,0,OFFSET(G47,,-Assumptions!$H65))</f>
        <v>96160.267111853085</v>
      </c>
      <c r="H47" s="88">
        <f ca="1">H24*Assumptions!I$17+IF(COLUMN(H47)&lt;=6+Assumptions!$H65,0,OFFSET(H47,,-Assumptions!$H65))</f>
        <v>0</v>
      </c>
      <c r="I47" s="88">
        <f ca="1">I24*Assumptions!J$17+IF(COLUMN(I47)&lt;=6+Assumptions!$H65,0,OFFSET(I47,,-Assumptions!$H65))</f>
        <v>0</v>
      </c>
      <c r="J47" s="88">
        <f ca="1">J24*Assumptions!K$17+IF(COLUMN(J47)&lt;=6+Assumptions!$H65,0,OFFSET(J47,,-Assumptions!$H65))</f>
        <v>0</v>
      </c>
      <c r="K47" s="88">
        <f ca="1">K24*Assumptions!L$17+IF(COLUMN(K47)&lt;=6+Assumptions!$H65,0,OFFSET(K47,,-Assumptions!$H65))</f>
        <v>0</v>
      </c>
      <c r="L47" s="88">
        <f ca="1">L24*Assumptions!M$17+IF(COLUMN(L47)&lt;=6+Assumptions!$H65,0,OFFSET(L47,,-Assumptions!$H65))</f>
        <v>0</v>
      </c>
      <c r="M47" s="88">
        <f ca="1">M24*Assumptions!N$17+IF(COLUMN(M47)&lt;=6+Assumptions!$H65,0,OFFSET(M47,,-Assumptions!$H65))</f>
        <v>0</v>
      </c>
      <c r="N47" s="88">
        <f ca="1">N24*Assumptions!O$17+IF(COLUMN(N47)&lt;=6+Assumptions!$H65,0,OFFSET(N47,,-Assumptions!$H65))</f>
        <v>0</v>
      </c>
      <c r="O47" s="88">
        <f ca="1">O24*Assumptions!P$17+IF(COLUMN(O47)&lt;=6+Assumptions!$H65,0,OFFSET(O47,,-Assumptions!$H65))</f>
        <v>0</v>
      </c>
      <c r="P47" s="88">
        <f ca="1">P24*Assumptions!Q$17+IF(COLUMN(P47)&lt;=6+Assumptions!$H65,0,OFFSET(P47,,-Assumptions!$H65))</f>
        <v>0</v>
      </c>
      <c r="Q47" s="88">
        <f ca="1">Q24*Assumptions!R$17+IF(COLUMN(Q47)&lt;=6+Assumptions!$H65,0,OFFSET(Q47,,-Assumptions!$H65))</f>
        <v>0</v>
      </c>
      <c r="R47" s="88">
        <f ca="1">R24*Assumptions!S$17+IF(COLUMN(R47)&lt;=6+Assumptions!$H65,0,OFFSET(R47,,-Assumptions!$H65))</f>
        <v>0</v>
      </c>
      <c r="S47" s="88">
        <f ca="1">S24*Assumptions!T$17+IF(COLUMN(S47)&lt;=6+Assumptions!$H65,0,OFFSET(S47,,-Assumptions!$H65))</f>
        <v>0</v>
      </c>
      <c r="T47" s="88">
        <f ca="1">T24*Assumptions!U$17+IF(COLUMN(T47)&lt;=6+Assumptions!$H65,0,OFFSET(T47,,-Assumptions!$H65))</f>
        <v>0</v>
      </c>
      <c r="U47" s="88">
        <f ca="1">U24*Assumptions!V$17+IF(COLUMN(U47)&lt;=6+Assumptions!$H65,0,OFFSET(U47,,-Assumptions!$H65))</f>
        <v>0</v>
      </c>
      <c r="V47" s="88">
        <f ca="1">V24*Assumptions!W$17+IF(COLUMN(V47)&lt;=6+Assumptions!$H65,0,OFFSET(V47,,-Assumptions!$H65))</f>
        <v>0</v>
      </c>
      <c r="W47" s="88">
        <f ca="1">W24*Assumptions!X$17+IF(COLUMN(W47)&lt;=6+Assumptions!$H65,0,OFFSET(W47,,-Assumptions!$H65))</f>
        <v>0</v>
      </c>
      <c r="X47" s="88">
        <f ca="1">X24*Assumptions!Y$17+IF(COLUMN(X47)&lt;=6+Assumptions!$H65,0,OFFSET(X47,,-Assumptions!$H65))</f>
        <v>0</v>
      </c>
      <c r="Y47" s="88">
        <f ca="1">Y24*Assumptions!Z$17+IF(COLUMN(Y47)&lt;=6+Assumptions!$H65,0,OFFSET(Y47,,-Assumptions!$H65))</f>
        <v>0</v>
      </c>
      <c r="Z47" s="88">
        <f ca="1">Z24*Assumptions!AA$17+IF(COLUMN(Z47)&lt;=6+Assumptions!$H65,0,OFFSET(Z47,,-Assumptions!$H65))</f>
        <v>0</v>
      </c>
      <c r="AA47" s="88">
        <f ca="1">AA24*Assumptions!AB$17+IF(COLUMN(AA47)&lt;=6+Assumptions!$H65,0,OFFSET(AA47,,-Assumptions!$H65))</f>
        <v>0</v>
      </c>
    </row>
    <row r="48" spans="1:27" x14ac:dyDescent="0.45">
      <c r="A48" s="32"/>
      <c r="B48" s="4"/>
      <c r="C48" s="2" t="s">
        <v>114</v>
      </c>
      <c r="D48" s="2" t="str">
        <f t="shared" si="2"/>
        <v>Fruit bubble washing machine Contact www.pasenmachinery.com</v>
      </c>
      <c r="E48" s="23" t="s">
        <v>806</v>
      </c>
      <c r="F48" s="23"/>
      <c r="G48" s="88">
        <f ca="1">G25*Assumptions!H$17+IF(COLUMN(G48)&lt;=6+Assumptions!$H66,0,OFFSET(G48,,-Assumptions!$H66))</f>
        <v>61702.838063439063</v>
      </c>
      <c r="H48" s="88">
        <f ca="1">H25*Assumptions!I$17+IF(COLUMN(H48)&lt;=6+Assumptions!$H66,0,OFFSET(H48,,-Assumptions!$H66))</f>
        <v>0</v>
      </c>
      <c r="I48" s="88">
        <f ca="1">I25*Assumptions!J$17+IF(COLUMN(I48)&lt;=6+Assumptions!$H66,0,OFFSET(I48,,-Assumptions!$H66))</f>
        <v>0</v>
      </c>
      <c r="J48" s="88">
        <f ca="1">J25*Assumptions!K$17+IF(COLUMN(J48)&lt;=6+Assumptions!$H66,0,OFFSET(J48,,-Assumptions!$H66))</f>
        <v>0</v>
      </c>
      <c r="K48" s="88">
        <f ca="1">K25*Assumptions!L$17+IF(COLUMN(K48)&lt;=6+Assumptions!$H66,0,OFFSET(K48,,-Assumptions!$H66))</f>
        <v>0</v>
      </c>
      <c r="L48" s="88">
        <f ca="1">L25*Assumptions!M$17+IF(COLUMN(L48)&lt;=6+Assumptions!$H66,0,OFFSET(L48,,-Assumptions!$H66))</f>
        <v>0</v>
      </c>
      <c r="M48" s="88">
        <f ca="1">M25*Assumptions!N$17+IF(COLUMN(M48)&lt;=6+Assumptions!$H66,0,OFFSET(M48,,-Assumptions!$H66))</f>
        <v>0</v>
      </c>
      <c r="N48" s="88">
        <f ca="1">N25*Assumptions!O$17+IF(COLUMN(N48)&lt;=6+Assumptions!$H66,0,OFFSET(N48,,-Assumptions!$H66))</f>
        <v>0</v>
      </c>
      <c r="O48" s="88">
        <f ca="1">O25*Assumptions!P$17+IF(COLUMN(O48)&lt;=6+Assumptions!$H66,0,OFFSET(O48,,-Assumptions!$H66))</f>
        <v>0</v>
      </c>
      <c r="P48" s="88">
        <f ca="1">P25*Assumptions!Q$17+IF(COLUMN(P48)&lt;=6+Assumptions!$H66,0,OFFSET(P48,,-Assumptions!$H66))</f>
        <v>0</v>
      </c>
      <c r="Q48" s="88">
        <f ca="1">Q25*Assumptions!R$17+IF(COLUMN(Q48)&lt;=6+Assumptions!$H66,0,OFFSET(Q48,,-Assumptions!$H66))</f>
        <v>0</v>
      </c>
      <c r="R48" s="88">
        <f ca="1">R25*Assumptions!S$17+IF(COLUMN(R48)&lt;=6+Assumptions!$H66,0,OFFSET(R48,,-Assumptions!$H66))</f>
        <v>0</v>
      </c>
      <c r="S48" s="88">
        <f ca="1">S25*Assumptions!T$17+IF(COLUMN(S48)&lt;=6+Assumptions!$H66,0,OFFSET(S48,,-Assumptions!$H66))</f>
        <v>0</v>
      </c>
      <c r="T48" s="88">
        <f ca="1">T25*Assumptions!U$17+IF(COLUMN(T48)&lt;=6+Assumptions!$H66,0,OFFSET(T48,,-Assumptions!$H66))</f>
        <v>0</v>
      </c>
      <c r="U48" s="88">
        <f ca="1">U25*Assumptions!V$17+IF(COLUMN(U48)&lt;=6+Assumptions!$H66,0,OFFSET(U48,,-Assumptions!$H66))</f>
        <v>0</v>
      </c>
      <c r="V48" s="88">
        <f ca="1">V25*Assumptions!W$17+IF(COLUMN(V48)&lt;=6+Assumptions!$H66,0,OFFSET(V48,,-Assumptions!$H66))</f>
        <v>0</v>
      </c>
      <c r="W48" s="88">
        <f ca="1">W25*Assumptions!X$17+IF(COLUMN(W48)&lt;=6+Assumptions!$H66,0,OFFSET(W48,,-Assumptions!$H66))</f>
        <v>0</v>
      </c>
      <c r="X48" s="88">
        <f ca="1">X25*Assumptions!Y$17+IF(COLUMN(X48)&lt;=6+Assumptions!$H66,0,OFFSET(X48,,-Assumptions!$H66))</f>
        <v>0</v>
      </c>
      <c r="Y48" s="88">
        <f ca="1">Y25*Assumptions!Z$17+IF(COLUMN(Y48)&lt;=6+Assumptions!$H66,0,OFFSET(Y48,,-Assumptions!$H66))</f>
        <v>0</v>
      </c>
      <c r="Z48" s="88">
        <f ca="1">Z25*Assumptions!AA$17+IF(COLUMN(Z48)&lt;=6+Assumptions!$H66,0,OFFSET(Z48,,-Assumptions!$H66))</f>
        <v>0</v>
      </c>
      <c r="AA48" s="88">
        <f ca="1">AA25*Assumptions!AB$17+IF(COLUMN(AA48)&lt;=6+Assumptions!$H66,0,OFFSET(AA48,,-Assumptions!$H66))</f>
        <v>0</v>
      </c>
    </row>
    <row r="49" spans="1:27" x14ac:dyDescent="0.45">
      <c r="A49" s="32"/>
      <c r="B49" s="4"/>
      <c r="C49" s="2" t="s">
        <v>114</v>
      </c>
      <c r="D49" s="2" t="str">
        <f t="shared" si="2"/>
        <v>Depulping tables</v>
      </c>
      <c r="E49" s="23" t="s">
        <v>806</v>
      </c>
      <c r="F49" s="23"/>
      <c r="G49" s="88">
        <f ca="1">G26*Assumptions!H$17+IF(COLUMN(G49)&lt;=6+Assumptions!$H67,0,OFFSET(G49,,-Assumptions!$H67))</f>
        <v>13939.151919866445</v>
      </c>
      <c r="H49" s="88">
        <f ca="1">H26*Assumptions!I$17+IF(COLUMN(H49)&lt;=6+Assumptions!$H67,0,OFFSET(H49,,-Assumptions!$H67))</f>
        <v>0</v>
      </c>
      <c r="I49" s="88">
        <f ca="1">I26*Assumptions!J$17+IF(COLUMN(I49)&lt;=6+Assumptions!$H67,0,OFFSET(I49,,-Assumptions!$H67))</f>
        <v>0</v>
      </c>
      <c r="J49" s="88">
        <f ca="1">J26*Assumptions!K$17+IF(COLUMN(J49)&lt;=6+Assumptions!$H67,0,OFFSET(J49,,-Assumptions!$H67))</f>
        <v>0</v>
      </c>
      <c r="K49" s="88">
        <f ca="1">K26*Assumptions!L$17+IF(COLUMN(K49)&lt;=6+Assumptions!$H67,0,OFFSET(K49,,-Assumptions!$H67))</f>
        <v>0</v>
      </c>
      <c r="L49" s="88">
        <f ca="1">L26*Assumptions!M$17+IF(COLUMN(L49)&lt;=6+Assumptions!$H67,0,OFFSET(L49,,-Assumptions!$H67))</f>
        <v>0</v>
      </c>
      <c r="M49" s="88">
        <f ca="1">M26*Assumptions!N$17+IF(COLUMN(M49)&lt;=6+Assumptions!$H67,0,OFFSET(M49,,-Assumptions!$H67))</f>
        <v>0</v>
      </c>
      <c r="N49" s="88">
        <f ca="1">N26*Assumptions!O$17+IF(COLUMN(N49)&lt;=6+Assumptions!$H67,0,OFFSET(N49,,-Assumptions!$H67))</f>
        <v>0</v>
      </c>
      <c r="O49" s="88">
        <f ca="1">O26*Assumptions!P$17+IF(COLUMN(O49)&lt;=6+Assumptions!$H67,0,OFFSET(O49,,-Assumptions!$H67))</f>
        <v>0</v>
      </c>
      <c r="P49" s="88">
        <f ca="1">P26*Assumptions!Q$17+IF(COLUMN(P49)&lt;=6+Assumptions!$H67,0,OFFSET(P49,,-Assumptions!$H67))</f>
        <v>0</v>
      </c>
      <c r="Q49" s="88">
        <f ca="1">Q26*Assumptions!R$17+IF(COLUMN(Q49)&lt;=6+Assumptions!$H67,0,OFFSET(Q49,,-Assumptions!$H67))</f>
        <v>0</v>
      </c>
      <c r="R49" s="88">
        <f ca="1">R26*Assumptions!S$17+IF(COLUMN(R49)&lt;=6+Assumptions!$H67,0,OFFSET(R49,,-Assumptions!$H67))</f>
        <v>0</v>
      </c>
      <c r="S49" s="88">
        <f ca="1">S26*Assumptions!T$17+IF(COLUMN(S49)&lt;=6+Assumptions!$H67,0,OFFSET(S49,,-Assumptions!$H67))</f>
        <v>0</v>
      </c>
      <c r="T49" s="88">
        <f ca="1">T26*Assumptions!U$17+IF(COLUMN(T49)&lt;=6+Assumptions!$H67,0,OFFSET(T49,,-Assumptions!$H67))</f>
        <v>0</v>
      </c>
      <c r="U49" s="88">
        <f ca="1">U26*Assumptions!V$17+IF(COLUMN(U49)&lt;=6+Assumptions!$H67,0,OFFSET(U49,,-Assumptions!$H67))</f>
        <v>0</v>
      </c>
      <c r="V49" s="88">
        <f ca="1">V26*Assumptions!W$17+IF(COLUMN(V49)&lt;=6+Assumptions!$H67,0,OFFSET(V49,,-Assumptions!$H67))</f>
        <v>0</v>
      </c>
      <c r="W49" s="88">
        <f ca="1">W26*Assumptions!X$17+IF(COLUMN(W49)&lt;=6+Assumptions!$H67,0,OFFSET(W49,,-Assumptions!$H67))</f>
        <v>0</v>
      </c>
      <c r="X49" s="88">
        <f ca="1">X26*Assumptions!Y$17+IF(COLUMN(X49)&lt;=6+Assumptions!$H67,0,OFFSET(X49,,-Assumptions!$H67))</f>
        <v>0</v>
      </c>
      <c r="Y49" s="88">
        <f ca="1">Y26*Assumptions!Z$17+IF(COLUMN(Y49)&lt;=6+Assumptions!$H67,0,OFFSET(Y49,,-Assumptions!$H67))</f>
        <v>0</v>
      </c>
      <c r="Z49" s="88">
        <f ca="1">Z26*Assumptions!AA$17+IF(COLUMN(Z49)&lt;=6+Assumptions!$H67,0,OFFSET(Z49,,-Assumptions!$H67))</f>
        <v>0</v>
      </c>
      <c r="AA49" s="88">
        <f ca="1">AA26*Assumptions!AB$17+IF(COLUMN(AA49)&lt;=6+Assumptions!$H67,0,OFFSET(AA49,,-Assumptions!$H67))</f>
        <v>0</v>
      </c>
    </row>
    <row r="50" spans="1:27" x14ac:dyDescent="0.45">
      <c r="A50" s="32"/>
      <c r="B50" s="4"/>
      <c r="C50" s="2" t="s">
        <v>114</v>
      </c>
      <c r="D50" s="2" t="str">
        <f t="shared" si="2"/>
        <v>Steamer</v>
      </c>
      <c r="E50" s="23" t="s">
        <v>806</v>
      </c>
      <c r="F50" s="23"/>
      <c r="G50" s="88">
        <f ca="1">G27*Assumptions!H$17+IF(COLUMN(G50)&lt;=6+Assumptions!$H68,0,OFFSET(G50,,-Assumptions!$H68))</f>
        <v>72120.200333889821</v>
      </c>
      <c r="H50" s="88">
        <f ca="1">H27*Assumptions!I$17+IF(COLUMN(H50)&lt;=6+Assumptions!$H68,0,OFFSET(H50,,-Assumptions!$H68))</f>
        <v>0</v>
      </c>
      <c r="I50" s="88">
        <f ca="1">I27*Assumptions!J$17+IF(COLUMN(I50)&lt;=6+Assumptions!$H68,0,OFFSET(I50,,-Assumptions!$H68))</f>
        <v>0</v>
      </c>
      <c r="J50" s="88">
        <f ca="1">J27*Assumptions!K$17+IF(COLUMN(J50)&lt;=6+Assumptions!$H68,0,OFFSET(J50,,-Assumptions!$H68))</f>
        <v>0</v>
      </c>
      <c r="K50" s="88">
        <f ca="1">K27*Assumptions!L$17+IF(COLUMN(K50)&lt;=6+Assumptions!$H68,0,OFFSET(K50,,-Assumptions!$H68))</f>
        <v>0</v>
      </c>
      <c r="L50" s="88">
        <f ca="1">L27*Assumptions!M$17+IF(COLUMN(L50)&lt;=6+Assumptions!$H68,0,OFFSET(L50,,-Assumptions!$H68))</f>
        <v>0</v>
      </c>
      <c r="M50" s="88">
        <f ca="1">M27*Assumptions!N$17+IF(COLUMN(M50)&lt;=6+Assumptions!$H68,0,OFFSET(M50,,-Assumptions!$H68))</f>
        <v>0</v>
      </c>
      <c r="N50" s="88">
        <f ca="1">N27*Assumptions!O$17+IF(COLUMN(N50)&lt;=6+Assumptions!$H68,0,OFFSET(N50,,-Assumptions!$H68))</f>
        <v>0</v>
      </c>
      <c r="O50" s="88">
        <f ca="1">O27*Assumptions!P$17+IF(COLUMN(O50)&lt;=6+Assumptions!$H68,0,OFFSET(O50,,-Assumptions!$H68))</f>
        <v>0</v>
      </c>
      <c r="P50" s="88">
        <f ca="1">P27*Assumptions!Q$17+IF(COLUMN(P50)&lt;=6+Assumptions!$H68,0,OFFSET(P50,,-Assumptions!$H68))</f>
        <v>0</v>
      </c>
      <c r="Q50" s="88">
        <f ca="1">Q27*Assumptions!R$17+IF(COLUMN(Q50)&lt;=6+Assumptions!$H68,0,OFFSET(Q50,,-Assumptions!$H68))</f>
        <v>0</v>
      </c>
      <c r="R50" s="88">
        <f ca="1">R27*Assumptions!S$17+IF(COLUMN(R50)&lt;=6+Assumptions!$H68,0,OFFSET(R50,,-Assumptions!$H68))</f>
        <v>0</v>
      </c>
      <c r="S50" s="88">
        <f ca="1">S27*Assumptions!T$17+IF(COLUMN(S50)&lt;=6+Assumptions!$H68,0,OFFSET(S50,,-Assumptions!$H68))</f>
        <v>0</v>
      </c>
      <c r="T50" s="88">
        <f ca="1">T27*Assumptions!U$17+IF(COLUMN(T50)&lt;=6+Assumptions!$H68,0,OFFSET(T50,,-Assumptions!$H68))</f>
        <v>0</v>
      </c>
      <c r="U50" s="88">
        <f ca="1">U27*Assumptions!V$17+IF(COLUMN(U50)&lt;=6+Assumptions!$H68,0,OFFSET(U50,,-Assumptions!$H68))</f>
        <v>0</v>
      </c>
      <c r="V50" s="88">
        <f ca="1">V27*Assumptions!W$17+IF(COLUMN(V50)&lt;=6+Assumptions!$H68,0,OFFSET(V50,,-Assumptions!$H68))</f>
        <v>0</v>
      </c>
      <c r="W50" s="88">
        <f ca="1">W27*Assumptions!X$17+IF(COLUMN(W50)&lt;=6+Assumptions!$H68,0,OFFSET(W50,,-Assumptions!$H68))</f>
        <v>0</v>
      </c>
      <c r="X50" s="88">
        <f ca="1">X27*Assumptions!Y$17+IF(COLUMN(X50)&lt;=6+Assumptions!$H68,0,OFFSET(X50,,-Assumptions!$H68))</f>
        <v>0</v>
      </c>
      <c r="Y50" s="88">
        <f ca="1">Y27*Assumptions!Z$17+IF(COLUMN(Y50)&lt;=6+Assumptions!$H68,0,OFFSET(Y50,,-Assumptions!$H68))</f>
        <v>0</v>
      </c>
      <c r="Z50" s="88">
        <f ca="1">Z27*Assumptions!AA$17+IF(COLUMN(Z50)&lt;=6+Assumptions!$H68,0,OFFSET(Z50,,-Assumptions!$H68))</f>
        <v>0</v>
      </c>
      <c r="AA50" s="88">
        <f ca="1">AA27*Assumptions!AB$17+IF(COLUMN(AA50)&lt;=6+Assumptions!$H68,0,OFFSET(AA50,,-Assumptions!$H68))</f>
        <v>0</v>
      </c>
    </row>
    <row r="51" spans="1:27" x14ac:dyDescent="0.45">
      <c r="A51" s="32"/>
      <c r="B51" s="4"/>
      <c r="C51" s="2" t="s">
        <v>114</v>
      </c>
      <c r="D51" s="2" t="str">
        <f t="shared" si="2"/>
        <v>Hangar dryer</v>
      </c>
      <c r="E51" s="23" t="s">
        <v>806</v>
      </c>
      <c r="F51" s="23"/>
      <c r="G51" s="88">
        <f ca="1">G28*Assumptions!H$17+IF(COLUMN(G51)&lt;=6+Assumptions!$H69,0,OFFSET(G51,,-Assumptions!$H69))</f>
        <v>88146.911519198664</v>
      </c>
      <c r="H51" s="88">
        <f ca="1">H28*Assumptions!I$17+IF(COLUMN(H51)&lt;=6+Assumptions!$H69,0,OFFSET(H51,,-Assumptions!$H69))</f>
        <v>0</v>
      </c>
      <c r="I51" s="88">
        <f ca="1">I28*Assumptions!J$17+IF(COLUMN(I51)&lt;=6+Assumptions!$H69,0,OFFSET(I51,,-Assumptions!$H69))</f>
        <v>0</v>
      </c>
      <c r="J51" s="88">
        <f ca="1">J28*Assumptions!K$17+IF(COLUMN(J51)&lt;=6+Assumptions!$H69,0,OFFSET(J51,,-Assumptions!$H69))</f>
        <v>0</v>
      </c>
      <c r="K51" s="88">
        <f ca="1">K28*Assumptions!L$17+IF(COLUMN(K51)&lt;=6+Assumptions!$H69,0,OFFSET(K51,,-Assumptions!$H69))</f>
        <v>0</v>
      </c>
      <c r="L51" s="88">
        <f ca="1">L28*Assumptions!M$17+IF(COLUMN(L51)&lt;=6+Assumptions!$H69,0,OFFSET(L51,,-Assumptions!$H69))</f>
        <v>0</v>
      </c>
      <c r="M51" s="88">
        <f ca="1">M28*Assumptions!N$17+IF(COLUMN(M51)&lt;=6+Assumptions!$H69,0,OFFSET(M51,,-Assumptions!$H69))</f>
        <v>0</v>
      </c>
      <c r="N51" s="88">
        <f ca="1">N28*Assumptions!O$17+IF(COLUMN(N51)&lt;=6+Assumptions!$H69,0,OFFSET(N51,,-Assumptions!$H69))</f>
        <v>0</v>
      </c>
      <c r="O51" s="88">
        <f ca="1">O28*Assumptions!P$17+IF(COLUMN(O51)&lt;=6+Assumptions!$H69,0,OFFSET(O51,,-Assumptions!$H69))</f>
        <v>0</v>
      </c>
      <c r="P51" s="88">
        <f ca="1">P28*Assumptions!Q$17+IF(COLUMN(P51)&lt;=6+Assumptions!$H69,0,OFFSET(P51,,-Assumptions!$H69))</f>
        <v>0</v>
      </c>
      <c r="Q51" s="88">
        <f ca="1">Q28*Assumptions!R$17+IF(COLUMN(Q51)&lt;=6+Assumptions!$H69,0,OFFSET(Q51,,-Assumptions!$H69))</f>
        <v>0</v>
      </c>
      <c r="R51" s="88">
        <f ca="1">R28*Assumptions!S$17+IF(COLUMN(R51)&lt;=6+Assumptions!$H69,0,OFFSET(R51,,-Assumptions!$H69))</f>
        <v>0</v>
      </c>
      <c r="S51" s="88">
        <f ca="1">S28*Assumptions!T$17+IF(COLUMN(S51)&lt;=6+Assumptions!$H69,0,OFFSET(S51,,-Assumptions!$H69))</f>
        <v>0</v>
      </c>
      <c r="T51" s="88">
        <f ca="1">T28*Assumptions!U$17+IF(COLUMN(T51)&lt;=6+Assumptions!$H69,0,OFFSET(T51,,-Assumptions!$H69))</f>
        <v>0</v>
      </c>
      <c r="U51" s="88">
        <f ca="1">U28*Assumptions!V$17+IF(COLUMN(U51)&lt;=6+Assumptions!$H69,0,OFFSET(U51,,-Assumptions!$H69))</f>
        <v>0</v>
      </c>
      <c r="V51" s="88">
        <f ca="1">V28*Assumptions!W$17+IF(COLUMN(V51)&lt;=6+Assumptions!$H69,0,OFFSET(V51,,-Assumptions!$H69))</f>
        <v>0</v>
      </c>
      <c r="W51" s="88">
        <f ca="1">W28*Assumptions!X$17+IF(COLUMN(W51)&lt;=6+Assumptions!$H69,0,OFFSET(W51,,-Assumptions!$H69))</f>
        <v>0</v>
      </c>
      <c r="X51" s="88">
        <f ca="1">X28*Assumptions!Y$17+IF(COLUMN(X51)&lt;=6+Assumptions!$H69,0,OFFSET(X51,,-Assumptions!$H69))</f>
        <v>0</v>
      </c>
      <c r="Y51" s="88">
        <f ca="1">Y28*Assumptions!Z$17+IF(COLUMN(Y51)&lt;=6+Assumptions!$H69,0,OFFSET(Y51,,-Assumptions!$H69))</f>
        <v>0</v>
      </c>
      <c r="Z51" s="88">
        <f ca="1">Z28*Assumptions!AA$17+IF(COLUMN(Z51)&lt;=6+Assumptions!$H69,0,OFFSET(Z51,,-Assumptions!$H69))</f>
        <v>0</v>
      </c>
      <c r="AA51" s="88">
        <f ca="1">AA28*Assumptions!AB$17+IF(COLUMN(AA51)&lt;=6+Assumptions!$H69,0,OFFSET(AA51,,-Assumptions!$H69))</f>
        <v>0</v>
      </c>
    </row>
    <row r="52" spans="1:27" x14ac:dyDescent="0.45">
      <c r="A52" s="32"/>
      <c r="B52" s="4"/>
      <c r="C52" s="2" t="s">
        <v>114</v>
      </c>
      <c r="D52" s="2" t="str">
        <f t="shared" si="2"/>
        <v>Shelling machine,  Henan My Only Food Machine Co., Ltd.</v>
      </c>
      <c r="E52" s="23" t="s">
        <v>806</v>
      </c>
      <c r="F52" s="23"/>
      <c r="G52" s="88">
        <f ca="1">G29*Assumptions!H$17+IF(COLUMN(G52)&lt;=6+Assumptions!$H70,0,OFFSET(G52,,-Assumptions!$H70))</f>
        <v>67312.186978297163</v>
      </c>
      <c r="H52" s="88">
        <f ca="1">H29*Assumptions!I$17+IF(COLUMN(H52)&lt;=6+Assumptions!$H70,0,OFFSET(H52,,-Assumptions!$H70))</f>
        <v>0</v>
      </c>
      <c r="I52" s="88">
        <f ca="1">I29*Assumptions!J$17+IF(COLUMN(I52)&lt;=6+Assumptions!$H70,0,OFFSET(I52,,-Assumptions!$H70))</f>
        <v>0</v>
      </c>
      <c r="J52" s="88">
        <f ca="1">J29*Assumptions!K$17+IF(COLUMN(J52)&lt;=6+Assumptions!$H70,0,OFFSET(J52,,-Assumptions!$H70))</f>
        <v>0</v>
      </c>
      <c r="K52" s="88">
        <f ca="1">K29*Assumptions!L$17+IF(COLUMN(K52)&lt;=6+Assumptions!$H70,0,OFFSET(K52,,-Assumptions!$H70))</f>
        <v>0</v>
      </c>
      <c r="L52" s="88">
        <f ca="1">L29*Assumptions!M$17+IF(COLUMN(L52)&lt;=6+Assumptions!$H70,0,OFFSET(L52,,-Assumptions!$H70))</f>
        <v>0</v>
      </c>
      <c r="M52" s="88">
        <f ca="1">M29*Assumptions!N$17+IF(COLUMN(M52)&lt;=6+Assumptions!$H70,0,OFFSET(M52,,-Assumptions!$H70))</f>
        <v>0</v>
      </c>
      <c r="N52" s="88">
        <f ca="1">N29*Assumptions!O$17+IF(COLUMN(N52)&lt;=6+Assumptions!$H70,0,OFFSET(N52,,-Assumptions!$H70))</f>
        <v>0</v>
      </c>
      <c r="O52" s="88">
        <f ca="1">O29*Assumptions!P$17+IF(COLUMN(O52)&lt;=6+Assumptions!$H70,0,OFFSET(O52,,-Assumptions!$H70))</f>
        <v>0</v>
      </c>
      <c r="P52" s="88">
        <f ca="1">P29*Assumptions!Q$17+IF(COLUMN(P52)&lt;=6+Assumptions!$H70,0,OFFSET(P52,,-Assumptions!$H70))</f>
        <v>0</v>
      </c>
      <c r="Q52" s="88">
        <f ca="1">Q29*Assumptions!R$17+IF(COLUMN(Q52)&lt;=6+Assumptions!$H70,0,OFFSET(Q52,,-Assumptions!$H70))</f>
        <v>0</v>
      </c>
      <c r="R52" s="88">
        <f ca="1">R29*Assumptions!S$17+IF(COLUMN(R52)&lt;=6+Assumptions!$H70,0,OFFSET(R52,,-Assumptions!$H70))</f>
        <v>0</v>
      </c>
      <c r="S52" s="88">
        <f ca="1">S29*Assumptions!T$17+IF(COLUMN(S52)&lt;=6+Assumptions!$H70,0,OFFSET(S52,,-Assumptions!$H70))</f>
        <v>0</v>
      </c>
      <c r="T52" s="88">
        <f ca="1">T29*Assumptions!U$17+IF(COLUMN(T52)&lt;=6+Assumptions!$H70,0,OFFSET(T52,,-Assumptions!$H70))</f>
        <v>0</v>
      </c>
      <c r="U52" s="88">
        <f ca="1">U29*Assumptions!V$17+IF(COLUMN(U52)&lt;=6+Assumptions!$H70,0,OFFSET(U52,,-Assumptions!$H70))</f>
        <v>0</v>
      </c>
      <c r="V52" s="88">
        <f ca="1">V29*Assumptions!W$17+IF(COLUMN(V52)&lt;=6+Assumptions!$H70,0,OFFSET(V52,,-Assumptions!$H70))</f>
        <v>0</v>
      </c>
      <c r="W52" s="88">
        <f ca="1">W29*Assumptions!X$17+IF(COLUMN(W52)&lt;=6+Assumptions!$H70,0,OFFSET(W52,,-Assumptions!$H70))</f>
        <v>0</v>
      </c>
      <c r="X52" s="88">
        <f ca="1">X29*Assumptions!Y$17+IF(COLUMN(X52)&lt;=6+Assumptions!$H70,0,OFFSET(X52,,-Assumptions!$H70))</f>
        <v>0</v>
      </c>
      <c r="Y52" s="88">
        <f ca="1">Y29*Assumptions!Z$17+IF(COLUMN(Y52)&lt;=6+Assumptions!$H70,0,OFFSET(Y52,,-Assumptions!$H70))</f>
        <v>0</v>
      </c>
      <c r="Z52" s="88">
        <f ca="1">Z29*Assumptions!AA$17+IF(COLUMN(Z52)&lt;=6+Assumptions!$H70,0,OFFSET(Z52,,-Assumptions!$H70))</f>
        <v>0</v>
      </c>
      <c r="AA52" s="88">
        <f ca="1">AA29*Assumptions!AB$17+IF(COLUMN(AA52)&lt;=6+Assumptions!$H70,0,OFFSET(AA52,,-Assumptions!$H70))</f>
        <v>0</v>
      </c>
    </row>
    <row r="53" spans="1:27" x14ac:dyDescent="0.45">
      <c r="A53" s="32"/>
      <c r="B53" s="4"/>
      <c r="C53" s="2" t="s">
        <v>114</v>
      </c>
      <c r="D53" s="2" t="str">
        <f t="shared" si="2"/>
        <v xml:space="preserve">Almond Packaging </v>
      </c>
      <c r="E53" s="23" t="s">
        <v>806</v>
      </c>
      <c r="F53" s="23"/>
      <c r="G53" s="88">
        <f ca="1">G30*Assumptions!H$17+IF(COLUMN(G53)&lt;=6+Assumptions!$H71,0,OFFSET(G53,,-Assumptions!$H71))</f>
        <v>8013.3555926544241</v>
      </c>
      <c r="H53" s="88">
        <f ca="1">H30*Assumptions!I$17+IF(COLUMN(H53)&lt;=6+Assumptions!$H71,0,OFFSET(H53,,-Assumptions!$H71))</f>
        <v>0</v>
      </c>
      <c r="I53" s="88">
        <f ca="1">I30*Assumptions!J$17+IF(COLUMN(I53)&lt;=6+Assumptions!$H71,0,OFFSET(I53,,-Assumptions!$H71))</f>
        <v>0</v>
      </c>
      <c r="J53" s="88">
        <f ca="1">J30*Assumptions!K$17+IF(COLUMN(J53)&lt;=6+Assumptions!$H71,0,OFFSET(J53,,-Assumptions!$H71))</f>
        <v>0</v>
      </c>
      <c r="K53" s="88">
        <f ca="1">K30*Assumptions!L$17+IF(COLUMN(K53)&lt;=6+Assumptions!$H71,0,OFFSET(K53,,-Assumptions!$H71))</f>
        <v>0</v>
      </c>
      <c r="L53" s="88">
        <f ca="1">L30*Assumptions!M$17+IF(COLUMN(L53)&lt;=6+Assumptions!$H71,0,OFFSET(L53,,-Assumptions!$H71))</f>
        <v>0</v>
      </c>
      <c r="M53" s="88">
        <f ca="1">M30*Assumptions!N$17+IF(COLUMN(M53)&lt;=6+Assumptions!$H71,0,OFFSET(M53,,-Assumptions!$H71))</f>
        <v>0</v>
      </c>
      <c r="N53" s="88">
        <f ca="1">N30*Assumptions!O$17+IF(COLUMN(N53)&lt;=6+Assumptions!$H71,0,OFFSET(N53,,-Assumptions!$H71))</f>
        <v>0</v>
      </c>
      <c r="O53" s="88">
        <f ca="1">O30*Assumptions!P$17+IF(COLUMN(O53)&lt;=6+Assumptions!$H71,0,OFFSET(O53,,-Assumptions!$H71))</f>
        <v>0</v>
      </c>
      <c r="P53" s="88">
        <f ca="1">P30*Assumptions!Q$17+IF(COLUMN(P53)&lt;=6+Assumptions!$H71,0,OFFSET(P53,,-Assumptions!$H71))</f>
        <v>0</v>
      </c>
      <c r="Q53" s="88">
        <f ca="1">Q30*Assumptions!R$17+IF(COLUMN(Q53)&lt;=6+Assumptions!$H71,0,OFFSET(Q53,,-Assumptions!$H71))</f>
        <v>0</v>
      </c>
      <c r="R53" s="88">
        <f ca="1">R30*Assumptions!S$17+IF(COLUMN(R53)&lt;=6+Assumptions!$H71,0,OFFSET(R53,,-Assumptions!$H71))</f>
        <v>0</v>
      </c>
      <c r="S53" s="88">
        <f ca="1">S30*Assumptions!T$17+IF(COLUMN(S53)&lt;=6+Assumptions!$H71,0,OFFSET(S53,,-Assumptions!$H71))</f>
        <v>0</v>
      </c>
      <c r="T53" s="88">
        <f ca="1">T30*Assumptions!U$17+IF(COLUMN(T53)&lt;=6+Assumptions!$H71,0,OFFSET(T53,,-Assumptions!$H71))</f>
        <v>0</v>
      </c>
      <c r="U53" s="88">
        <f ca="1">U30*Assumptions!V$17+IF(COLUMN(U53)&lt;=6+Assumptions!$H71,0,OFFSET(U53,,-Assumptions!$H71))</f>
        <v>0</v>
      </c>
      <c r="V53" s="88">
        <f ca="1">V30*Assumptions!W$17+IF(COLUMN(V53)&lt;=6+Assumptions!$H71,0,OFFSET(V53,,-Assumptions!$H71))</f>
        <v>0</v>
      </c>
      <c r="W53" s="88">
        <f ca="1">W30*Assumptions!X$17+IF(COLUMN(W53)&lt;=6+Assumptions!$H71,0,OFFSET(W53,,-Assumptions!$H71))</f>
        <v>0</v>
      </c>
      <c r="X53" s="88">
        <f ca="1">X30*Assumptions!Y$17+IF(COLUMN(X53)&lt;=6+Assumptions!$H71,0,OFFSET(X53,,-Assumptions!$H71))</f>
        <v>0</v>
      </c>
      <c r="Y53" s="88">
        <f ca="1">Y30*Assumptions!Z$17+IF(COLUMN(Y53)&lt;=6+Assumptions!$H71,0,OFFSET(Y53,,-Assumptions!$H71))</f>
        <v>0</v>
      </c>
      <c r="Z53" s="88">
        <f ca="1">Z30*Assumptions!AA$17+IF(COLUMN(Z53)&lt;=6+Assumptions!$H71,0,OFFSET(Z53,,-Assumptions!$H71))</f>
        <v>0</v>
      </c>
      <c r="AA53" s="88">
        <f ca="1">AA30*Assumptions!AB$17+IF(COLUMN(AA53)&lt;=6+Assumptions!$H71,0,OFFSET(AA53,,-Assumptions!$H71))</f>
        <v>0</v>
      </c>
    </row>
    <row r="54" spans="1:27" x14ac:dyDescent="0.45">
      <c r="A54" s="32"/>
      <c r="B54" s="4"/>
      <c r="C54" s="2" t="s">
        <v>114</v>
      </c>
      <c r="D54" s="2" t="str">
        <f t="shared" si="2"/>
        <v>Pulp dryer</v>
      </c>
      <c r="E54" s="23" t="s">
        <v>806</v>
      </c>
      <c r="F54" s="23"/>
      <c r="G54" s="88">
        <f ca="1">G31*Assumptions!H$17+IF(COLUMN(G54)&lt;=6+Assumptions!$H72,0,OFFSET(G54,,-Assumptions!$H72))</f>
        <v>480801.33555926546</v>
      </c>
      <c r="H54" s="88">
        <f ca="1">H31*Assumptions!I$17+IF(COLUMN(H54)&lt;=6+Assumptions!$H72,0,OFFSET(H54,,-Assumptions!$H72))</f>
        <v>0</v>
      </c>
      <c r="I54" s="88">
        <f ca="1">I31*Assumptions!J$17+IF(COLUMN(I54)&lt;=6+Assumptions!$H72,0,OFFSET(I54,,-Assumptions!$H72))</f>
        <v>0</v>
      </c>
      <c r="J54" s="88">
        <f ca="1">J31*Assumptions!K$17+IF(COLUMN(J54)&lt;=6+Assumptions!$H72,0,OFFSET(J54,,-Assumptions!$H72))</f>
        <v>0</v>
      </c>
      <c r="K54" s="88">
        <f ca="1">K31*Assumptions!L$17+IF(COLUMN(K54)&lt;=6+Assumptions!$H72,0,OFFSET(K54,,-Assumptions!$H72))</f>
        <v>0</v>
      </c>
      <c r="L54" s="88">
        <f ca="1">L31*Assumptions!M$17+IF(COLUMN(L54)&lt;=6+Assumptions!$H72,0,OFFSET(L54,,-Assumptions!$H72))</f>
        <v>0</v>
      </c>
      <c r="M54" s="88">
        <f ca="1">M31*Assumptions!N$17+IF(COLUMN(M54)&lt;=6+Assumptions!$H72,0,OFFSET(M54,,-Assumptions!$H72))</f>
        <v>0</v>
      </c>
      <c r="N54" s="88">
        <f ca="1">N31*Assumptions!O$17+IF(COLUMN(N54)&lt;=6+Assumptions!$H72,0,OFFSET(N54,,-Assumptions!$H72))</f>
        <v>0</v>
      </c>
      <c r="O54" s="88">
        <f ca="1">O31*Assumptions!P$17+IF(COLUMN(O54)&lt;=6+Assumptions!$H72,0,OFFSET(O54,,-Assumptions!$H72))</f>
        <v>0</v>
      </c>
      <c r="P54" s="88">
        <f ca="1">P31*Assumptions!Q$17+IF(COLUMN(P54)&lt;=6+Assumptions!$H72,0,OFFSET(P54,,-Assumptions!$H72))</f>
        <v>0</v>
      </c>
      <c r="Q54" s="88">
        <f ca="1">Q31*Assumptions!R$17+IF(COLUMN(Q54)&lt;=6+Assumptions!$H72,0,OFFSET(Q54,,-Assumptions!$H72))</f>
        <v>0</v>
      </c>
      <c r="R54" s="88">
        <f ca="1">R31*Assumptions!S$17+IF(COLUMN(R54)&lt;=6+Assumptions!$H72,0,OFFSET(R54,,-Assumptions!$H72))</f>
        <v>0</v>
      </c>
      <c r="S54" s="88">
        <f ca="1">S31*Assumptions!T$17+IF(COLUMN(S54)&lt;=6+Assumptions!$H72,0,OFFSET(S54,,-Assumptions!$H72))</f>
        <v>0</v>
      </c>
      <c r="T54" s="88">
        <f ca="1">T31*Assumptions!U$17+IF(COLUMN(T54)&lt;=6+Assumptions!$H72,0,OFFSET(T54,,-Assumptions!$H72))</f>
        <v>0</v>
      </c>
      <c r="U54" s="88">
        <f ca="1">U31*Assumptions!V$17+IF(COLUMN(U54)&lt;=6+Assumptions!$H72,0,OFFSET(U54,,-Assumptions!$H72))</f>
        <v>0</v>
      </c>
      <c r="V54" s="88">
        <f ca="1">V31*Assumptions!W$17+IF(COLUMN(V54)&lt;=6+Assumptions!$H72,0,OFFSET(V54,,-Assumptions!$H72))</f>
        <v>0</v>
      </c>
      <c r="W54" s="88">
        <f ca="1">W31*Assumptions!X$17+IF(COLUMN(W54)&lt;=6+Assumptions!$H72,0,OFFSET(W54,,-Assumptions!$H72))</f>
        <v>0</v>
      </c>
      <c r="X54" s="88">
        <f ca="1">X31*Assumptions!Y$17+IF(COLUMN(X54)&lt;=6+Assumptions!$H72,0,OFFSET(X54,,-Assumptions!$H72))</f>
        <v>0</v>
      </c>
      <c r="Y54" s="88">
        <f ca="1">Y31*Assumptions!Z$17+IF(COLUMN(Y54)&lt;=6+Assumptions!$H72,0,OFFSET(Y54,,-Assumptions!$H72))</f>
        <v>0</v>
      </c>
      <c r="Z54" s="88">
        <f ca="1">Z31*Assumptions!AA$17+IF(COLUMN(Z54)&lt;=6+Assumptions!$H72,0,OFFSET(Z54,,-Assumptions!$H72))</f>
        <v>0</v>
      </c>
      <c r="AA54" s="88">
        <f ca="1">AA31*Assumptions!AB$17+IF(COLUMN(AA54)&lt;=6+Assumptions!$H72,0,OFFSET(AA54,,-Assumptions!$H72))</f>
        <v>0</v>
      </c>
    </row>
    <row r="55" spans="1:27" x14ac:dyDescent="0.45">
      <c r="A55" s="32"/>
      <c r="B55" s="4"/>
      <c r="C55" s="2" t="s">
        <v>114</v>
      </c>
      <c r="D55" s="2" t="str">
        <f t="shared" si="2"/>
        <v>Thermal installation</v>
      </c>
      <c r="E55" s="23" t="s">
        <v>806</v>
      </c>
      <c r="F55" s="23"/>
      <c r="G55" s="88">
        <f ca="1">G32*Assumptions!H$17+IF(COLUMN(G55)&lt;=6+Assumptions!$H73,0,OFFSET(G55,,-Assumptions!$H73))</f>
        <v>149048.41402337229</v>
      </c>
      <c r="H55" s="88">
        <f ca="1">H32*Assumptions!I$17+IF(COLUMN(H55)&lt;=6+Assumptions!$H73,0,OFFSET(H55,,-Assumptions!$H73))</f>
        <v>0</v>
      </c>
      <c r="I55" s="88">
        <f ca="1">I32*Assumptions!J$17+IF(COLUMN(I55)&lt;=6+Assumptions!$H73,0,OFFSET(I55,,-Assumptions!$H73))</f>
        <v>0</v>
      </c>
      <c r="J55" s="88">
        <f ca="1">J32*Assumptions!K$17+IF(COLUMN(J55)&lt;=6+Assumptions!$H73,0,OFFSET(J55,,-Assumptions!$H73))</f>
        <v>0</v>
      </c>
      <c r="K55" s="88">
        <f ca="1">K32*Assumptions!L$17+IF(COLUMN(K55)&lt;=6+Assumptions!$H73,0,OFFSET(K55,,-Assumptions!$H73))</f>
        <v>0</v>
      </c>
      <c r="L55" s="88">
        <f ca="1">L32*Assumptions!M$17+IF(COLUMN(L55)&lt;=6+Assumptions!$H73,0,OFFSET(L55,,-Assumptions!$H73))</f>
        <v>0</v>
      </c>
      <c r="M55" s="88">
        <f ca="1">M32*Assumptions!N$17+IF(COLUMN(M55)&lt;=6+Assumptions!$H73,0,OFFSET(M55,,-Assumptions!$H73))</f>
        <v>0</v>
      </c>
      <c r="N55" s="88">
        <f ca="1">N32*Assumptions!O$17+IF(COLUMN(N55)&lt;=6+Assumptions!$H73,0,OFFSET(N55,,-Assumptions!$H73))</f>
        <v>0</v>
      </c>
      <c r="O55" s="88">
        <f ca="1">O32*Assumptions!P$17+IF(COLUMN(O55)&lt;=6+Assumptions!$H73,0,OFFSET(O55,,-Assumptions!$H73))</f>
        <v>0</v>
      </c>
      <c r="P55" s="88">
        <f ca="1">P32*Assumptions!Q$17+IF(COLUMN(P55)&lt;=6+Assumptions!$H73,0,OFFSET(P55,,-Assumptions!$H73))</f>
        <v>0</v>
      </c>
      <c r="Q55" s="88">
        <f ca="1">Q32*Assumptions!R$17+IF(COLUMN(Q55)&lt;=6+Assumptions!$H73,0,OFFSET(Q55,,-Assumptions!$H73))</f>
        <v>0</v>
      </c>
      <c r="R55" s="88">
        <f ca="1">R32*Assumptions!S$17+IF(COLUMN(R55)&lt;=6+Assumptions!$H73,0,OFFSET(R55,,-Assumptions!$H73))</f>
        <v>0</v>
      </c>
      <c r="S55" s="88">
        <f ca="1">S32*Assumptions!T$17+IF(COLUMN(S55)&lt;=6+Assumptions!$H73,0,OFFSET(S55,,-Assumptions!$H73))</f>
        <v>0</v>
      </c>
      <c r="T55" s="88">
        <f ca="1">T32*Assumptions!U$17+IF(COLUMN(T55)&lt;=6+Assumptions!$H73,0,OFFSET(T55,,-Assumptions!$H73))</f>
        <v>0</v>
      </c>
      <c r="U55" s="88">
        <f ca="1">U32*Assumptions!V$17+IF(COLUMN(U55)&lt;=6+Assumptions!$H73,0,OFFSET(U55,,-Assumptions!$H73))</f>
        <v>0</v>
      </c>
      <c r="V55" s="88">
        <f ca="1">V32*Assumptions!W$17+IF(COLUMN(V55)&lt;=6+Assumptions!$H73,0,OFFSET(V55,,-Assumptions!$H73))</f>
        <v>0</v>
      </c>
      <c r="W55" s="88">
        <f ca="1">W32*Assumptions!X$17+IF(COLUMN(W55)&lt;=6+Assumptions!$H73,0,OFFSET(W55,,-Assumptions!$H73))</f>
        <v>0</v>
      </c>
      <c r="X55" s="88">
        <f ca="1">X32*Assumptions!Y$17+IF(COLUMN(X55)&lt;=6+Assumptions!$H73,0,OFFSET(X55,,-Assumptions!$H73))</f>
        <v>0</v>
      </c>
      <c r="Y55" s="88">
        <f ca="1">Y32*Assumptions!Z$17+IF(COLUMN(Y55)&lt;=6+Assumptions!$H73,0,OFFSET(Y55,,-Assumptions!$H73))</f>
        <v>0</v>
      </c>
      <c r="Z55" s="88">
        <f ca="1">Z32*Assumptions!AA$17+IF(COLUMN(Z55)&lt;=6+Assumptions!$H73,0,OFFSET(Z55,,-Assumptions!$H73))</f>
        <v>0</v>
      </c>
      <c r="AA55" s="88">
        <f ca="1">AA32*Assumptions!AB$17+IF(COLUMN(AA55)&lt;=6+Assumptions!$H73,0,OFFSET(AA55,,-Assumptions!$H73))</f>
        <v>0</v>
      </c>
    </row>
    <row r="56" spans="1:27" x14ac:dyDescent="0.45">
      <c r="A56" s="32"/>
      <c r="B56" s="4"/>
      <c r="C56" s="2" t="s">
        <v>114</v>
      </c>
      <c r="D56" s="2" t="str">
        <f t="shared" si="2"/>
        <v>Dried pulp packaging machine  Zhejiang Ruibao Packaging Machine Co., Ltd.</v>
      </c>
      <c r="E56" s="23" t="s">
        <v>806</v>
      </c>
      <c r="F56" s="23"/>
      <c r="G56" s="88">
        <f ca="1">G33*Assumptions!H$17+IF(COLUMN(G56)&lt;=6+Assumptions!$H74,0,OFFSET(G56,,-Assumptions!$H74))</f>
        <v>30450.751252086811</v>
      </c>
      <c r="H56" s="88">
        <f ca="1">H33*Assumptions!I$17+IF(COLUMN(H56)&lt;=6+Assumptions!$H74,0,OFFSET(H56,,-Assumptions!$H74))</f>
        <v>0</v>
      </c>
      <c r="I56" s="88">
        <f ca="1">I33*Assumptions!J$17+IF(COLUMN(I56)&lt;=6+Assumptions!$H74,0,OFFSET(I56,,-Assumptions!$H74))</f>
        <v>0</v>
      </c>
      <c r="J56" s="88">
        <f ca="1">J33*Assumptions!K$17+IF(COLUMN(J56)&lt;=6+Assumptions!$H74,0,OFFSET(J56,,-Assumptions!$H74))</f>
        <v>0</v>
      </c>
      <c r="K56" s="88">
        <f ca="1">K33*Assumptions!L$17+IF(COLUMN(K56)&lt;=6+Assumptions!$H74,0,OFFSET(K56,,-Assumptions!$H74))</f>
        <v>0</v>
      </c>
      <c r="L56" s="88">
        <f ca="1">L33*Assumptions!M$17+IF(COLUMN(L56)&lt;=6+Assumptions!$H74,0,OFFSET(L56,,-Assumptions!$H74))</f>
        <v>0</v>
      </c>
      <c r="M56" s="88">
        <f ca="1">M33*Assumptions!N$17+IF(COLUMN(M56)&lt;=6+Assumptions!$H74,0,OFFSET(M56,,-Assumptions!$H74))</f>
        <v>0</v>
      </c>
      <c r="N56" s="88">
        <f ca="1">N33*Assumptions!O$17+IF(COLUMN(N56)&lt;=6+Assumptions!$H74,0,OFFSET(N56,,-Assumptions!$H74))</f>
        <v>0</v>
      </c>
      <c r="O56" s="88">
        <f ca="1">O33*Assumptions!P$17+IF(COLUMN(O56)&lt;=6+Assumptions!$H74,0,OFFSET(O56,,-Assumptions!$H74))</f>
        <v>0</v>
      </c>
      <c r="P56" s="88">
        <f ca="1">P33*Assumptions!Q$17+IF(COLUMN(P56)&lt;=6+Assumptions!$H74,0,OFFSET(P56,,-Assumptions!$H74))</f>
        <v>0</v>
      </c>
      <c r="Q56" s="88">
        <f ca="1">Q33*Assumptions!R$17+IF(COLUMN(Q56)&lt;=6+Assumptions!$H74,0,OFFSET(Q56,,-Assumptions!$H74))</f>
        <v>0</v>
      </c>
      <c r="R56" s="88">
        <f ca="1">R33*Assumptions!S$17+IF(COLUMN(R56)&lt;=6+Assumptions!$H74,0,OFFSET(R56,,-Assumptions!$H74))</f>
        <v>0</v>
      </c>
      <c r="S56" s="88">
        <f ca="1">S33*Assumptions!T$17+IF(COLUMN(S56)&lt;=6+Assumptions!$H74,0,OFFSET(S56,,-Assumptions!$H74))</f>
        <v>0</v>
      </c>
      <c r="T56" s="88">
        <f ca="1">T33*Assumptions!U$17+IF(COLUMN(T56)&lt;=6+Assumptions!$H74,0,OFFSET(T56,,-Assumptions!$H74))</f>
        <v>0</v>
      </c>
      <c r="U56" s="88">
        <f ca="1">U33*Assumptions!V$17+IF(COLUMN(U56)&lt;=6+Assumptions!$H74,0,OFFSET(U56,,-Assumptions!$H74))</f>
        <v>0</v>
      </c>
      <c r="V56" s="88">
        <f ca="1">V33*Assumptions!W$17+IF(COLUMN(V56)&lt;=6+Assumptions!$H74,0,OFFSET(V56,,-Assumptions!$H74))</f>
        <v>0</v>
      </c>
      <c r="W56" s="88">
        <f ca="1">W33*Assumptions!X$17+IF(COLUMN(W56)&lt;=6+Assumptions!$H74,0,OFFSET(W56,,-Assumptions!$H74))</f>
        <v>0</v>
      </c>
      <c r="X56" s="88">
        <f ca="1">X33*Assumptions!Y$17+IF(COLUMN(X56)&lt;=6+Assumptions!$H74,0,OFFSET(X56,,-Assumptions!$H74))</f>
        <v>0</v>
      </c>
      <c r="Y56" s="88">
        <f ca="1">Y33*Assumptions!Z$17+IF(COLUMN(Y56)&lt;=6+Assumptions!$H74,0,OFFSET(Y56,,-Assumptions!$H74))</f>
        <v>0</v>
      </c>
      <c r="Z56" s="88">
        <f ca="1">Z33*Assumptions!AA$17+IF(COLUMN(Z56)&lt;=6+Assumptions!$H74,0,OFFSET(Z56,,-Assumptions!$H74))</f>
        <v>0</v>
      </c>
      <c r="AA56" s="88">
        <f ca="1">AA33*Assumptions!AB$17+IF(COLUMN(AA56)&lt;=6+Assumptions!$H74,0,OFFSET(AA56,,-Assumptions!$H74))</f>
        <v>0</v>
      </c>
    </row>
    <row r="57" spans="1:27" x14ac:dyDescent="0.45">
      <c r="A57" s="32"/>
      <c r="B57" s="4"/>
      <c r="C57" s="2" t="s">
        <v>114</v>
      </c>
      <c r="D57" s="2" t="str">
        <f t="shared" si="2"/>
        <v>Dried pulp packaging table</v>
      </c>
      <c r="E57" s="23" t="s">
        <v>806</v>
      </c>
      <c r="F57" s="23"/>
      <c r="G57" s="88">
        <f ca="1">G34*Assumptions!H$17+IF(COLUMN(G57)&lt;=6+Assumptions!$H75,0,OFFSET(G57,,-Assumptions!$H75))</f>
        <v>27886.477462437397</v>
      </c>
      <c r="H57" s="88">
        <f ca="1">H34*Assumptions!I$17+IF(COLUMN(H57)&lt;=6+Assumptions!$H75,0,OFFSET(H57,,-Assumptions!$H75))</f>
        <v>0</v>
      </c>
      <c r="I57" s="88">
        <f ca="1">I34*Assumptions!J$17+IF(COLUMN(I57)&lt;=6+Assumptions!$H75,0,OFFSET(I57,,-Assumptions!$H75))</f>
        <v>0</v>
      </c>
      <c r="J57" s="88">
        <f ca="1">J34*Assumptions!K$17+IF(COLUMN(J57)&lt;=6+Assumptions!$H75,0,OFFSET(J57,,-Assumptions!$H75))</f>
        <v>0</v>
      </c>
      <c r="K57" s="88">
        <f ca="1">K34*Assumptions!L$17+IF(COLUMN(K57)&lt;=6+Assumptions!$H75,0,OFFSET(K57,,-Assumptions!$H75))</f>
        <v>0</v>
      </c>
      <c r="L57" s="88">
        <f ca="1">L34*Assumptions!M$17+IF(COLUMN(L57)&lt;=6+Assumptions!$H75,0,OFFSET(L57,,-Assumptions!$H75))</f>
        <v>0</v>
      </c>
      <c r="M57" s="88">
        <f ca="1">M34*Assumptions!N$17+IF(COLUMN(M57)&lt;=6+Assumptions!$H75,0,OFFSET(M57,,-Assumptions!$H75))</f>
        <v>0</v>
      </c>
      <c r="N57" s="88">
        <f ca="1">N34*Assumptions!O$17+IF(COLUMN(N57)&lt;=6+Assumptions!$H75,0,OFFSET(N57,,-Assumptions!$H75))</f>
        <v>0</v>
      </c>
      <c r="O57" s="88">
        <f ca="1">O34*Assumptions!P$17+IF(COLUMN(O57)&lt;=6+Assumptions!$H75,0,OFFSET(O57,,-Assumptions!$H75))</f>
        <v>0</v>
      </c>
      <c r="P57" s="88">
        <f ca="1">P34*Assumptions!Q$17+IF(COLUMN(P57)&lt;=6+Assumptions!$H75,0,OFFSET(P57,,-Assumptions!$H75))</f>
        <v>0</v>
      </c>
      <c r="Q57" s="88">
        <f ca="1">Q34*Assumptions!R$17+IF(COLUMN(Q57)&lt;=6+Assumptions!$H75,0,OFFSET(Q57,,-Assumptions!$H75))</f>
        <v>0</v>
      </c>
      <c r="R57" s="88">
        <f ca="1">R34*Assumptions!S$17+IF(COLUMN(R57)&lt;=6+Assumptions!$H75,0,OFFSET(R57,,-Assumptions!$H75))</f>
        <v>0</v>
      </c>
      <c r="S57" s="88">
        <f ca="1">S34*Assumptions!T$17+IF(COLUMN(S57)&lt;=6+Assumptions!$H75,0,OFFSET(S57,,-Assumptions!$H75))</f>
        <v>0</v>
      </c>
      <c r="T57" s="88">
        <f ca="1">T34*Assumptions!U$17+IF(COLUMN(T57)&lt;=6+Assumptions!$H75,0,OFFSET(T57,,-Assumptions!$H75))</f>
        <v>0</v>
      </c>
      <c r="U57" s="88">
        <f ca="1">U34*Assumptions!V$17+IF(COLUMN(U57)&lt;=6+Assumptions!$H75,0,OFFSET(U57,,-Assumptions!$H75))</f>
        <v>0</v>
      </c>
      <c r="V57" s="88">
        <f ca="1">V34*Assumptions!W$17+IF(COLUMN(V57)&lt;=6+Assumptions!$H75,0,OFFSET(V57,,-Assumptions!$H75))</f>
        <v>0</v>
      </c>
      <c r="W57" s="88">
        <f ca="1">W34*Assumptions!X$17+IF(COLUMN(W57)&lt;=6+Assumptions!$H75,0,OFFSET(W57,,-Assumptions!$H75))</f>
        <v>0</v>
      </c>
      <c r="X57" s="88">
        <f ca="1">X34*Assumptions!Y$17+IF(COLUMN(X57)&lt;=6+Assumptions!$H75,0,OFFSET(X57,,-Assumptions!$H75))</f>
        <v>0</v>
      </c>
      <c r="Y57" s="88">
        <f ca="1">Y34*Assumptions!Z$17+IF(COLUMN(Y57)&lt;=6+Assumptions!$H75,0,OFFSET(Y57,,-Assumptions!$H75))</f>
        <v>0</v>
      </c>
      <c r="Z57" s="88">
        <f ca="1">Z34*Assumptions!AA$17+IF(COLUMN(Z57)&lt;=6+Assumptions!$H75,0,OFFSET(Z57,,-Assumptions!$H75))</f>
        <v>0</v>
      </c>
      <c r="AA57" s="88">
        <f ca="1">AA34*Assumptions!AB$17+IF(COLUMN(AA57)&lt;=6+Assumptions!$H75,0,OFFSET(AA57,,-Assumptions!$H75))</f>
        <v>0</v>
      </c>
    </row>
    <row r="58" spans="1:27" x14ac:dyDescent="0.45">
      <c r="A58" s="32"/>
      <c r="B58" s="4"/>
      <c r="C58" s="2" t="s">
        <v>114</v>
      </c>
      <c r="D58" s="2" t="str">
        <f t="shared" si="2"/>
        <v>Production tools</v>
      </c>
      <c r="E58" s="23" t="s">
        <v>806</v>
      </c>
      <c r="F58" s="36"/>
      <c r="G58" s="88">
        <f ca="1">G35*Assumptions!H$17+IF(COLUMN(G58)&lt;=6+Assumptions!$H76,0,OFFSET(G58,,-Assumptions!$H76))</f>
        <v>128213.68948247079</v>
      </c>
      <c r="H58" s="88">
        <f ca="1">H35*Assumptions!I$17+IF(COLUMN(H58)&lt;=6+Assumptions!$H76,0,OFFSET(H58,,-Assumptions!$H76))</f>
        <v>0</v>
      </c>
      <c r="I58" s="88">
        <f ca="1">I35*Assumptions!J$17+IF(COLUMN(I58)&lt;=6+Assumptions!$H76,0,OFFSET(I58,,-Assumptions!$H76))</f>
        <v>0</v>
      </c>
      <c r="J58" s="88">
        <f ca="1">J35*Assumptions!K$17+IF(COLUMN(J58)&lt;=6+Assumptions!$H76,0,OFFSET(J58,,-Assumptions!$H76))</f>
        <v>0</v>
      </c>
      <c r="K58" s="88">
        <f ca="1">K35*Assumptions!L$17+IF(COLUMN(K58)&lt;=6+Assumptions!$H76,0,OFFSET(K58,,-Assumptions!$H76))</f>
        <v>0</v>
      </c>
      <c r="L58" s="88">
        <f ca="1">L35*Assumptions!M$17+IF(COLUMN(L58)&lt;=6+Assumptions!$H76,0,OFFSET(L58,,-Assumptions!$H76))</f>
        <v>0</v>
      </c>
      <c r="M58" s="88">
        <f ca="1">M35*Assumptions!N$17+IF(COLUMN(M58)&lt;=6+Assumptions!$H76,0,OFFSET(M58,,-Assumptions!$H76))</f>
        <v>0</v>
      </c>
      <c r="N58" s="88">
        <f ca="1">N35*Assumptions!O$17+IF(COLUMN(N58)&lt;=6+Assumptions!$H76,0,OFFSET(N58,,-Assumptions!$H76))</f>
        <v>0</v>
      </c>
      <c r="O58" s="88">
        <f ca="1">O35*Assumptions!P$17+IF(COLUMN(O58)&lt;=6+Assumptions!$H76,0,OFFSET(O58,,-Assumptions!$H76))</f>
        <v>0</v>
      </c>
      <c r="P58" s="88">
        <f ca="1">P35*Assumptions!Q$17+IF(COLUMN(P58)&lt;=6+Assumptions!$H76,0,OFFSET(P58,,-Assumptions!$H76))</f>
        <v>0</v>
      </c>
      <c r="Q58" s="88">
        <f ca="1">Q35*Assumptions!R$17+IF(COLUMN(Q58)&lt;=6+Assumptions!$H76,0,OFFSET(Q58,,-Assumptions!$H76))</f>
        <v>0</v>
      </c>
      <c r="R58" s="88">
        <f ca="1">R35*Assumptions!S$17+IF(COLUMN(R58)&lt;=6+Assumptions!$H76,0,OFFSET(R58,,-Assumptions!$H76))</f>
        <v>0</v>
      </c>
      <c r="S58" s="88">
        <f ca="1">S35*Assumptions!T$17+IF(COLUMN(S58)&lt;=6+Assumptions!$H76,0,OFFSET(S58,,-Assumptions!$H76))</f>
        <v>0</v>
      </c>
      <c r="T58" s="88">
        <f ca="1">T35*Assumptions!U$17+IF(COLUMN(T58)&lt;=6+Assumptions!$H76,0,OFFSET(T58,,-Assumptions!$H76))</f>
        <v>0</v>
      </c>
      <c r="U58" s="88">
        <f ca="1">U35*Assumptions!V$17+IF(COLUMN(U58)&lt;=6+Assumptions!$H76,0,OFFSET(U58,,-Assumptions!$H76))</f>
        <v>0</v>
      </c>
      <c r="V58" s="88">
        <f ca="1">V35*Assumptions!W$17+IF(COLUMN(V58)&lt;=6+Assumptions!$H76,0,OFFSET(V58,,-Assumptions!$H76))</f>
        <v>0</v>
      </c>
      <c r="W58" s="88">
        <f ca="1">W35*Assumptions!X$17+IF(COLUMN(W58)&lt;=6+Assumptions!$H76,0,OFFSET(W58,,-Assumptions!$H76))</f>
        <v>0</v>
      </c>
      <c r="X58" s="88">
        <f ca="1">X35*Assumptions!Y$17+IF(COLUMN(X58)&lt;=6+Assumptions!$H76,0,OFFSET(X58,,-Assumptions!$H76))</f>
        <v>0</v>
      </c>
      <c r="Y58" s="88">
        <f ca="1">Y35*Assumptions!Z$17+IF(COLUMN(Y58)&lt;=6+Assumptions!$H76,0,OFFSET(Y58,,-Assumptions!$H76))</f>
        <v>0</v>
      </c>
      <c r="Z58" s="88">
        <f ca="1">Z35*Assumptions!AA$17+IF(COLUMN(Z58)&lt;=6+Assumptions!$H76,0,OFFSET(Z58,,-Assumptions!$H76))</f>
        <v>0</v>
      </c>
      <c r="AA58" s="88">
        <f ca="1">AA35*Assumptions!AB$17+IF(COLUMN(AA58)&lt;=6+Assumptions!$H76,0,OFFSET(AA58,,-Assumptions!$H76))</f>
        <v>0</v>
      </c>
    </row>
    <row r="59" spans="1:27" x14ac:dyDescent="0.45">
      <c r="A59" s="32"/>
      <c r="B59" s="4"/>
      <c r="C59" s="2" t="s">
        <v>114</v>
      </c>
      <c r="D59" s="2" t="str">
        <f t="shared" si="2"/>
        <v>Transport Installation and Commissioning</v>
      </c>
      <c r="E59" s="23" t="s">
        <v>806</v>
      </c>
      <c r="F59" s="36"/>
      <c r="G59" s="88">
        <f ca="1">G36*Assumptions!H$17+IF(COLUMN(G59)&lt;=6+Assumptions!$H77,0,OFFSET(G59,,-Assumptions!$H77))</f>
        <v>577721.84974958259</v>
      </c>
      <c r="H59" s="88">
        <f ca="1">H36*Assumptions!I$17+IF(COLUMN(H59)&lt;=6+Assumptions!$H77,0,OFFSET(H59,,-Assumptions!$H77))</f>
        <v>0</v>
      </c>
      <c r="I59" s="88">
        <f ca="1">I36*Assumptions!J$17+IF(COLUMN(I59)&lt;=6+Assumptions!$H77,0,OFFSET(I59,,-Assumptions!$H77))</f>
        <v>0</v>
      </c>
      <c r="J59" s="88">
        <f ca="1">J36*Assumptions!K$17+IF(COLUMN(J59)&lt;=6+Assumptions!$H77,0,OFFSET(J59,,-Assumptions!$H77))</f>
        <v>0</v>
      </c>
      <c r="K59" s="88">
        <f ca="1">K36*Assumptions!L$17+IF(COLUMN(K59)&lt;=6+Assumptions!$H77,0,OFFSET(K59,,-Assumptions!$H77))</f>
        <v>0</v>
      </c>
      <c r="L59" s="88">
        <f ca="1">L36*Assumptions!M$17+IF(COLUMN(L59)&lt;=6+Assumptions!$H77,0,OFFSET(L59,,-Assumptions!$H77))</f>
        <v>0</v>
      </c>
      <c r="M59" s="88">
        <f ca="1">M36*Assumptions!N$17+IF(COLUMN(M59)&lt;=6+Assumptions!$H77,0,OFFSET(M59,,-Assumptions!$H77))</f>
        <v>0</v>
      </c>
      <c r="N59" s="88">
        <f ca="1">N36*Assumptions!O$17+IF(COLUMN(N59)&lt;=6+Assumptions!$H77,0,OFFSET(N59,,-Assumptions!$H77))</f>
        <v>0</v>
      </c>
      <c r="O59" s="88">
        <f ca="1">O36*Assumptions!P$17+IF(COLUMN(O59)&lt;=6+Assumptions!$H77,0,OFFSET(O59,,-Assumptions!$H77))</f>
        <v>0</v>
      </c>
      <c r="P59" s="88">
        <f ca="1">P36*Assumptions!Q$17+IF(COLUMN(P59)&lt;=6+Assumptions!$H77,0,OFFSET(P59,,-Assumptions!$H77))</f>
        <v>0</v>
      </c>
      <c r="Q59" s="88">
        <f ca="1">Q36*Assumptions!R$17+IF(COLUMN(Q59)&lt;=6+Assumptions!$H77,0,OFFSET(Q59,,-Assumptions!$H77))</f>
        <v>0</v>
      </c>
      <c r="R59" s="88">
        <f ca="1">R36*Assumptions!S$17+IF(COLUMN(R59)&lt;=6+Assumptions!$H77,0,OFFSET(R59,,-Assumptions!$H77))</f>
        <v>0</v>
      </c>
      <c r="S59" s="88">
        <f ca="1">S36*Assumptions!T$17+IF(COLUMN(S59)&lt;=6+Assumptions!$H77,0,OFFSET(S59,,-Assumptions!$H77))</f>
        <v>0</v>
      </c>
      <c r="T59" s="88">
        <f ca="1">T36*Assumptions!U$17+IF(COLUMN(T59)&lt;=6+Assumptions!$H77,0,OFFSET(T59,,-Assumptions!$H77))</f>
        <v>0</v>
      </c>
      <c r="U59" s="88">
        <f ca="1">U36*Assumptions!V$17+IF(COLUMN(U59)&lt;=6+Assumptions!$H77,0,OFFSET(U59,,-Assumptions!$H77))</f>
        <v>0</v>
      </c>
      <c r="V59" s="88">
        <f ca="1">V36*Assumptions!W$17+IF(COLUMN(V59)&lt;=6+Assumptions!$H77,0,OFFSET(V59,,-Assumptions!$H77))</f>
        <v>0</v>
      </c>
      <c r="W59" s="88">
        <f ca="1">W36*Assumptions!X$17+IF(COLUMN(W59)&lt;=6+Assumptions!$H77,0,OFFSET(W59,,-Assumptions!$H77))</f>
        <v>0</v>
      </c>
      <c r="X59" s="88">
        <f ca="1">X36*Assumptions!Y$17+IF(COLUMN(X59)&lt;=6+Assumptions!$H77,0,OFFSET(X59,,-Assumptions!$H77))</f>
        <v>0</v>
      </c>
      <c r="Y59" s="88">
        <f ca="1">Y36*Assumptions!Z$17+IF(COLUMN(Y59)&lt;=6+Assumptions!$H77,0,OFFSET(Y59,,-Assumptions!$H77))</f>
        <v>0</v>
      </c>
      <c r="Z59" s="88">
        <f ca="1">Z36*Assumptions!AA$17+IF(COLUMN(Z59)&lt;=6+Assumptions!$H77,0,OFFSET(Z59,,-Assumptions!$H77))</f>
        <v>0</v>
      </c>
      <c r="AA59" s="88">
        <f ca="1">AA36*Assumptions!AB$17+IF(COLUMN(AA59)&lt;=6+Assumptions!$H77,0,OFFSET(AA59,,-Assumptions!$H77))</f>
        <v>0</v>
      </c>
    </row>
    <row r="60" spans="1:27" x14ac:dyDescent="0.45">
      <c r="A60" s="32"/>
      <c r="B60" s="4"/>
      <c r="C60" s="2" t="s">
        <v>114</v>
      </c>
      <c r="D60" s="2" t="str">
        <f t="shared" si="2"/>
        <v>Vehicules</v>
      </c>
      <c r="E60" s="23" t="s">
        <v>806</v>
      </c>
      <c r="F60" s="36"/>
      <c r="G60" s="88">
        <f ca="1">G37*Assumptions!H$17+IF(COLUMN(G60)&lt;=6+Assumptions!$H78,0,OFFSET(G60,,-Assumptions!$H78))</f>
        <v>92954.924874791323</v>
      </c>
      <c r="H60" s="88">
        <f ca="1">H37*Assumptions!I$17+IF(COLUMN(H60)&lt;=6+Assumptions!$H78,0,OFFSET(H60,,-Assumptions!$H78))</f>
        <v>0</v>
      </c>
      <c r="I60" s="88">
        <f ca="1">I37*Assumptions!J$17+IF(COLUMN(I60)&lt;=6+Assumptions!$H78,0,OFFSET(I60,,-Assumptions!$H78))</f>
        <v>0</v>
      </c>
      <c r="J60" s="88">
        <f ca="1">J37*Assumptions!K$17+IF(COLUMN(J60)&lt;=6+Assumptions!$H78,0,OFFSET(J60,,-Assumptions!$H78))</f>
        <v>0</v>
      </c>
      <c r="K60" s="88">
        <f ca="1">K37*Assumptions!L$17+IF(COLUMN(K60)&lt;=6+Assumptions!$H78,0,OFFSET(K60,,-Assumptions!$H78))</f>
        <v>0</v>
      </c>
      <c r="L60" s="88">
        <f ca="1">L37*Assumptions!M$17+IF(COLUMN(L60)&lt;=6+Assumptions!$H78,0,OFFSET(L60,,-Assumptions!$H78))</f>
        <v>0</v>
      </c>
      <c r="M60" s="88">
        <f ca="1">M37*Assumptions!N$17+IF(COLUMN(M60)&lt;=6+Assumptions!$H78,0,OFFSET(M60,,-Assumptions!$H78))</f>
        <v>0</v>
      </c>
      <c r="N60" s="88">
        <f ca="1">N37*Assumptions!O$17+IF(COLUMN(N60)&lt;=6+Assumptions!$H78,0,OFFSET(N60,,-Assumptions!$H78))</f>
        <v>0</v>
      </c>
      <c r="O60" s="88">
        <f ca="1">O37*Assumptions!P$17+IF(COLUMN(O60)&lt;=6+Assumptions!$H78,0,OFFSET(O60,,-Assumptions!$H78))</f>
        <v>0</v>
      </c>
      <c r="P60" s="88">
        <f ca="1">P37*Assumptions!Q$17+IF(COLUMN(P60)&lt;=6+Assumptions!$H78,0,OFFSET(P60,,-Assumptions!$H78))</f>
        <v>0</v>
      </c>
      <c r="Q60" s="88">
        <f ca="1">Q37*Assumptions!R$17+IF(COLUMN(Q60)&lt;=6+Assumptions!$H78,0,OFFSET(Q60,,-Assumptions!$H78))</f>
        <v>0</v>
      </c>
      <c r="R60" s="88">
        <f ca="1">R37*Assumptions!S$17+IF(COLUMN(R60)&lt;=6+Assumptions!$H78,0,OFFSET(R60,,-Assumptions!$H78))</f>
        <v>0</v>
      </c>
      <c r="S60" s="88">
        <f ca="1">S37*Assumptions!T$17+IF(COLUMN(S60)&lt;=6+Assumptions!$H78,0,OFFSET(S60,,-Assumptions!$H78))</f>
        <v>0</v>
      </c>
      <c r="T60" s="88">
        <f ca="1">T37*Assumptions!U$17+IF(COLUMN(T60)&lt;=6+Assumptions!$H78,0,OFFSET(T60,,-Assumptions!$H78))</f>
        <v>0</v>
      </c>
      <c r="U60" s="88">
        <f ca="1">U37*Assumptions!V$17+IF(COLUMN(U60)&lt;=6+Assumptions!$H78,0,OFFSET(U60,,-Assumptions!$H78))</f>
        <v>0</v>
      </c>
      <c r="V60" s="88">
        <f ca="1">V37*Assumptions!W$17+IF(COLUMN(V60)&lt;=6+Assumptions!$H78,0,OFFSET(V60,,-Assumptions!$H78))</f>
        <v>0</v>
      </c>
      <c r="W60" s="88">
        <f ca="1">W37*Assumptions!X$17+IF(COLUMN(W60)&lt;=6+Assumptions!$H78,0,OFFSET(W60,,-Assumptions!$H78))</f>
        <v>0</v>
      </c>
      <c r="X60" s="88">
        <f ca="1">X37*Assumptions!Y$17+IF(COLUMN(X60)&lt;=6+Assumptions!$H78,0,OFFSET(X60,,-Assumptions!$H78))</f>
        <v>0</v>
      </c>
      <c r="Y60" s="88">
        <f ca="1">Y37*Assumptions!Z$17+IF(COLUMN(Y60)&lt;=6+Assumptions!$H78,0,OFFSET(Y60,,-Assumptions!$H78))</f>
        <v>0</v>
      </c>
      <c r="Z60" s="88">
        <f ca="1">Z37*Assumptions!AA$17+IF(COLUMN(Z60)&lt;=6+Assumptions!$H78,0,OFFSET(Z60,,-Assumptions!$H78))</f>
        <v>0</v>
      </c>
      <c r="AA60" s="88">
        <f ca="1">AA37*Assumptions!AB$17+IF(COLUMN(AA60)&lt;=6+Assumptions!$H78,0,OFFSET(AA60,,-Assumptions!$H78))</f>
        <v>0</v>
      </c>
    </row>
    <row r="61" spans="1:27" x14ac:dyDescent="0.45">
      <c r="A61" s="32"/>
      <c r="B61" s="4"/>
      <c r="C61" s="2" t="s">
        <v>114</v>
      </c>
      <c r="D61" s="2">
        <f t="shared" si="2"/>
        <v>0</v>
      </c>
      <c r="E61" s="23" t="s">
        <v>806</v>
      </c>
      <c r="F61" s="36"/>
      <c r="G61" s="88">
        <f ca="1">G38*Assumptions!H$17+IF(COLUMN(G61)&lt;=6+Assumptions!$H79,0,OFFSET(G61,,-Assumptions!$H79))</f>
        <v>0</v>
      </c>
      <c r="H61" s="88">
        <f ca="1">H38*Assumptions!I$17+IF(COLUMN(H61)&lt;=6+Assumptions!$H79,0,OFFSET(H61,,-Assumptions!$H79))</f>
        <v>0</v>
      </c>
      <c r="I61" s="88">
        <f ca="1">I38*Assumptions!J$17+IF(COLUMN(I61)&lt;=6+Assumptions!$H79,0,OFFSET(I61,,-Assumptions!$H79))</f>
        <v>0</v>
      </c>
      <c r="J61" s="88">
        <f ca="1">J38*Assumptions!K$17+IF(COLUMN(J61)&lt;=6+Assumptions!$H79,0,OFFSET(J61,,-Assumptions!$H79))</f>
        <v>0</v>
      </c>
      <c r="K61" s="88">
        <f ca="1">K38*Assumptions!L$17+IF(COLUMN(K61)&lt;=6+Assumptions!$H79,0,OFFSET(K61,,-Assumptions!$H79))</f>
        <v>0</v>
      </c>
      <c r="L61" s="88">
        <f ca="1">L38*Assumptions!M$17+IF(COLUMN(L61)&lt;=6+Assumptions!$H79,0,OFFSET(L61,,-Assumptions!$H79))</f>
        <v>0</v>
      </c>
      <c r="M61" s="88">
        <f ca="1">M38*Assumptions!N$17+IF(COLUMN(M61)&lt;=6+Assumptions!$H79,0,OFFSET(M61,,-Assumptions!$H79))</f>
        <v>0</v>
      </c>
      <c r="N61" s="88">
        <f ca="1">N38*Assumptions!O$17+IF(COLUMN(N61)&lt;=6+Assumptions!$H79,0,OFFSET(N61,,-Assumptions!$H79))</f>
        <v>0</v>
      </c>
      <c r="O61" s="88">
        <f ca="1">O38*Assumptions!P$17+IF(COLUMN(O61)&lt;=6+Assumptions!$H79,0,OFFSET(O61,,-Assumptions!$H79))</f>
        <v>0</v>
      </c>
      <c r="P61" s="88">
        <f ca="1">P38*Assumptions!Q$17+IF(COLUMN(P61)&lt;=6+Assumptions!$H79,0,OFFSET(P61,,-Assumptions!$H79))</f>
        <v>0</v>
      </c>
      <c r="Q61" s="88">
        <f ca="1">Q38*Assumptions!R$17+IF(COLUMN(Q61)&lt;=6+Assumptions!$H79,0,OFFSET(Q61,,-Assumptions!$H79))</f>
        <v>0</v>
      </c>
      <c r="R61" s="88">
        <f ca="1">R38*Assumptions!S$17+IF(COLUMN(R61)&lt;=6+Assumptions!$H79,0,OFFSET(R61,,-Assumptions!$H79))</f>
        <v>0</v>
      </c>
      <c r="S61" s="88">
        <f ca="1">S38*Assumptions!T$17+IF(COLUMN(S61)&lt;=6+Assumptions!$H79,0,OFFSET(S61,,-Assumptions!$H79))</f>
        <v>0</v>
      </c>
      <c r="T61" s="88">
        <f ca="1">T38*Assumptions!U$17+IF(COLUMN(T61)&lt;=6+Assumptions!$H79,0,OFFSET(T61,,-Assumptions!$H79))</f>
        <v>0</v>
      </c>
      <c r="U61" s="88">
        <f ca="1">U38*Assumptions!V$17+IF(COLUMN(U61)&lt;=6+Assumptions!$H79,0,OFFSET(U61,,-Assumptions!$H79))</f>
        <v>0</v>
      </c>
      <c r="V61" s="88">
        <f ca="1">V38*Assumptions!W$17+IF(COLUMN(V61)&lt;=6+Assumptions!$H79,0,OFFSET(V61,,-Assumptions!$H79))</f>
        <v>0</v>
      </c>
      <c r="W61" s="88">
        <f ca="1">W38*Assumptions!X$17+IF(COLUMN(W61)&lt;=6+Assumptions!$H79,0,OFFSET(W61,,-Assumptions!$H79))</f>
        <v>0</v>
      </c>
      <c r="X61" s="88">
        <f ca="1">X38*Assumptions!Y$17+IF(COLUMN(X61)&lt;=6+Assumptions!$H79,0,OFFSET(X61,,-Assumptions!$H79))</f>
        <v>0</v>
      </c>
      <c r="Y61" s="88">
        <f ca="1">Y38*Assumptions!Z$17+IF(COLUMN(Y61)&lt;=6+Assumptions!$H79,0,OFFSET(Y61,,-Assumptions!$H79))</f>
        <v>0</v>
      </c>
      <c r="Z61" s="88">
        <f ca="1">Z38*Assumptions!AA$17+IF(COLUMN(Z61)&lt;=6+Assumptions!$H79,0,OFFSET(Z61,,-Assumptions!$H79))</f>
        <v>0</v>
      </c>
      <c r="AA61" s="88">
        <f ca="1">AA38*Assumptions!AB$17+IF(COLUMN(AA61)&lt;=6+Assumptions!$H79,0,OFFSET(AA61,,-Assumptions!$H79))</f>
        <v>0</v>
      </c>
    </row>
    <row r="62" spans="1:27" x14ac:dyDescent="0.45">
      <c r="A62" s="32"/>
      <c r="B62" s="4"/>
      <c r="C62" s="2" t="s">
        <v>114</v>
      </c>
      <c r="D62" s="2">
        <f t="shared" si="2"/>
        <v>0</v>
      </c>
      <c r="E62" s="23" t="s">
        <v>806</v>
      </c>
      <c r="F62" s="36"/>
      <c r="G62" s="88">
        <f ca="1">G39*Assumptions!H$17+IF(COLUMN(G62)&lt;=6+Assumptions!$H80,0,OFFSET(G62,,-Assumptions!$H80))</f>
        <v>0</v>
      </c>
      <c r="H62" s="88">
        <f ca="1">H39*Assumptions!I$17+IF(COLUMN(H62)&lt;=6+Assumptions!$H80,0,OFFSET(H62,,-Assumptions!$H80))</f>
        <v>0</v>
      </c>
      <c r="I62" s="88">
        <f ca="1">I39*Assumptions!J$17+IF(COLUMN(I62)&lt;=6+Assumptions!$H80,0,OFFSET(I62,,-Assumptions!$H80))</f>
        <v>0</v>
      </c>
      <c r="J62" s="88">
        <f ca="1">J39*Assumptions!K$17+IF(COLUMN(J62)&lt;=6+Assumptions!$H80,0,OFFSET(J62,,-Assumptions!$H80))</f>
        <v>0</v>
      </c>
      <c r="K62" s="88">
        <f ca="1">K39*Assumptions!L$17+IF(COLUMN(K62)&lt;=6+Assumptions!$H80,0,OFFSET(K62,,-Assumptions!$H80))</f>
        <v>0</v>
      </c>
      <c r="L62" s="88">
        <f ca="1">L39*Assumptions!M$17+IF(COLUMN(L62)&lt;=6+Assumptions!$H80,0,OFFSET(L62,,-Assumptions!$H80))</f>
        <v>0</v>
      </c>
      <c r="M62" s="88">
        <f ca="1">M39*Assumptions!N$17+IF(COLUMN(M62)&lt;=6+Assumptions!$H80,0,OFFSET(M62,,-Assumptions!$H80))</f>
        <v>0</v>
      </c>
      <c r="N62" s="88">
        <f ca="1">N39*Assumptions!O$17+IF(COLUMN(N62)&lt;=6+Assumptions!$H80,0,OFFSET(N62,,-Assumptions!$H80))</f>
        <v>0</v>
      </c>
      <c r="O62" s="88">
        <f ca="1">O39*Assumptions!P$17+IF(COLUMN(O62)&lt;=6+Assumptions!$H80,0,OFFSET(O62,,-Assumptions!$H80))</f>
        <v>0</v>
      </c>
      <c r="P62" s="88">
        <f ca="1">P39*Assumptions!Q$17+IF(COLUMN(P62)&lt;=6+Assumptions!$H80,0,OFFSET(P62,,-Assumptions!$H80))</f>
        <v>0</v>
      </c>
      <c r="Q62" s="88">
        <f ca="1">Q39*Assumptions!R$17+IF(COLUMN(Q62)&lt;=6+Assumptions!$H80,0,OFFSET(Q62,,-Assumptions!$H80))</f>
        <v>0</v>
      </c>
      <c r="R62" s="88">
        <f ca="1">R39*Assumptions!S$17+IF(COLUMN(R62)&lt;=6+Assumptions!$H80,0,OFFSET(R62,,-Assumptions!$H80))</f>
        <v>0</v>
      </c>
      <c r="S62" s="88">
        <f ca="1">S39*Assumptions!T$17+IF(COLUMN(S62)&lt;=6+Assumptions!$H80,0,OFFSET(S62,,-Assumptions!$H80))</f>
        <v>0</v>
      </c>
      <c r="T62" s="88">
        <f ca="1">T39*Assumptions!U$17+IF(COLUMN(T62)&lt;=6+Assumptions!$H80,0,OFFSET(T62,,-Assumptions!$H80))</f>
        <v>0</v>
      </c>
      <c r="U62" s="88">
        <f ca="1">U39*Assumptions!V$17+IF(COLUMN(U62)&lt;=6+Assumptions!$H80,0,OFFSET(U62,,-Assumptions!$H80))</f>
        <v>0</v>
      </c>
      <c r="V62" s="88">
        <f ca="1">V39*Assumptions!W$17+IF(COLUMN(V62)&lt;=6+Assumptions!$H80,0,OFFSET(V62,,-Assumptions!$H80))</f>
        <v>0</v>
      </c>
      <c r="W62" s="88">
        <f ca="1">W39*Assumptions!X$17+IF(COLUMN(W62)&lt;=6+Assumptions!$H80,0,OFFSET(W62,,-Assumptions!$H80))</f>
        <v>0</v>
      </c>
      <c r="X62" s="88">
        <f ca="1">X39*Assumptions!Y$17+IF(COLUMN(X62)&lt;=6+Assumptions!$H80,0,OFFSET(X62,,-Assumptions!$H80))</f>
        <v>0</v>
      </c>
      <c r="Y62" s="88">
        <f ca="1">Y39*Assumptions!Z$17+IF(COLUMN(Y62)&lt;=6+Assumptions!$H80,0,OFFSET(Y62,,-Assumptions!$H80))</f>
        <v>0</v>
      </c>
      <c r="Z62" s="88">
        <f ca="1">Z39*Assumptions!AA$17+IF(COLUMN(Z62)&lt;=6+Assumptions!$H80,0,OFFSET(Z62,,-Assumptions!$H80))</f>
        <v>0</v>
      </c>
      <c r="AA62" s="88">
        <f ca="1">AA39*Assumptions!AB$17+IF(COLUMN(AA62)&lt;=6+Assumptions!$H80,0,OFFSET(AA62,,-Assumptions!$H80))</f>
        <v>0</v>
      </c>
    </row>
    <row r="63" spans="1:27" x14ac:dyDescent="0.45">
      <c r="A63" s="32"/>
      <c r="B63" s="4"/>
      <c r="D63" s="2">
        <f t="shared" si="2"/>
        <v>0</v>
      </c>
      <c r="E63" s="23" t="s">
        <v>806</v>
      </c>
      <c r="F63" s="36"/>
      <c r="G63" s="88">
        <f ca="1">G40*Assumptions!H$17+IF(COLUMN(G63)&lt;=6+Assumptions!$H81,0,OFFSET(G63,,-Assumptions!$H81))</f>
        <v>0</v>
      </c>
      <c r="H63" s="88">
        <f ca="1">H40*Assumptions!I$17+IF(COLUMN(H63)&lt;=6+Assumptions!$H81,0,OFFSET(H63,,-Assumptions!$H81))</f>
        <v>0</v>
      </c>
      <c r="I63" s="88">
        <f ca="1">I40*Assumptions!J$17+IF(COLUMN(I63)&lt;=6+Assumptions!$H81,0,OFFSET(I63,,-Assumptions!$H81))</f>
        <v>0</v>
      </c>
      <c r="J63" s="88">
        <f ca="1">J40*Assumptions!K$17+IF(COLUMN(J63)&lt;=6+Assumptions!$H81,0,OFFSET(J63,,-Assumptions!$H81))</f>
        <v>0</v>
      </c>
      <c r="K63" s="88">
        <f ca="1">K40*Assumptions!L$17+IF(COLUMN(K63)&lt;=6+Assumptions!$H81,0,OFFSET(K63,,-Assumptions!$H81))</f>
        <v>0</v>
      </c>
      <c r="L63" s="88">
        <f ca="1">L40*Assumptions!M$17+IF(COLUMN(L63)&lt;=6+Assumptions!$H81,0,OFFSET(L63,,-Assumptions!$H81))</f>
        <v>0</v>
      </c>
      <c r="M63" s="88">
        <f ca="1">M40*Assumptions!N$17+IF(COLUMN(M63)&lt;=6+Assumptions!$H81,0,OFFSET(M63,,-Assumptions!$H81))</f>
        <v>0</v>
      </c>
      <c r="N63" s="88">
        <f ca="1">N40*Assumptions!O$17+IF(COLUMN(N63)&lt;=6+Assumptions!$H81,0,OFFSET(N63,,-Assumptions!$H81))</f>
        <v>0</v>
      </c>
      <c r="O63" s="88">
        <f ca="1">O40*Assumptions!P$17+IF(COLUMN(O63)&lt;=6+Assumptions!$H81,0,OFFSET(O63,,-Assumptions!$H81))</f>
        <v>0</v>
      </c>
      <c r="P63" s="88">
        <f ca="1">P40*Assumptions!Q$17+IF(COLUMN(P63)&lt;=6+Assumptions!$H81,0,OFFSET(P63,,-Assumptions!$H81))</f>
        <v>0</v>
      </c>
      <c r="Q63" s="88">
        <f ca="1">Q40*Assumptions!R$17+IF(COLUMN(Q63)&lt;=6+Assumptions!$H81,0,OFFSET(Q63,,-Assumptions!$H81))</f>
        <v>0</v>
      </c>
      <c r="R63" s="88">
        <f ca="1">R40*Assumptions!S$17+IF(COLUMN(R63)&lt;=6+Assumptions!$H81,0,OFFSET(R63,,-Assumptions!$H81))</f>
        <v>0</v>
      </c>
      <c r="S63" s="88">
        <f ca="1">S40*Assumptions!T$17+IF(COLUMN(S63)&lt;=6+Assumptions!$H81,0,OFFSET(S63,,-Assumptions!$H81))</f>
        <v>0</v>
      </c>
      <c r="T63" s="88">
        <f ca="1">T40*Assumptions!U$17+IF(COLUMN(T63)&lt;=6+Assumptions!$H81,0,OFFSET(T63,,-Assumptions!$H81))</f>
        <v>0</v>
      </c>
      <c r="U63" s="88">
        <f ca="1">U40*Assumptions!V$17+IF(COLUMN(U63)&lt;=6+Assumptions!$H81,0,OFFSET(U63,,-Assumptions!$H81))</f>
        <v>0</v>
      </c>
      <c r="V63" s="88">
        <f ca="1">V40*Assumptions!W$17+IF(COLUMN(V63)&lt;=6+Assumptions!$H81,0,OFFSET(V63,,-Assumptions!$H81))</f>
        <v>0</v>
      </c>
      <c r="W63" s="88">
        <f ca="1">W40*Assumptions!X$17+IF(COLUMN(W63)&lt;=6+Assumptions!$H81,0,OFFSET(W63,,-Assumptions!$H81))</f>
        <v>0</v>
      </c>
      <c r="X63" s="88">
        <f ca="1">X40*Assumptions!Y$17+IF(COLUMN(X63)&lt;=6+Assumptions!$H81,0,OFFSET(X63,,-Assumptions!$H81))</f>
        <v>0</v>
      </c>
      <c r="Y63" s="88">
        <f ca="1">Y40*Assumptions!Z$17+IF(COLUMN(Y63)&lt;=6+Assumptions!$H81,0,OFFSET(Y63,,-Assumptions!$H81))</f>
        <v>0</v>
      </c>
      <c r="Z63" s="88">
        <f ca="1">Z40*Assumptions!AA$17+IF(COLUMN(Z63)&lt;=6+Assumptions!$H81,0,OFFSET(Z63,,-Assumptions!$H81))</f>
        <v>0</v>
      </c>
      <c r="AA63" s="88">
        <f ca="1">AA40*Assumptions!AB$17+IF(COLUMN(AA63)&lt;=6+Assumptions!$H81,0,OFFSET(AA63,,-Assumptions!$H81))</f>
        <v>0</v>
      </c>
    </row>
    <row r="64" spans="1:27" x14ac:dyDescent="0.45">
      <c r="A64" s="37"/>
      <c r="B64" s="4"/>
      <c r="C64" s="4"/>
      <c r="E64" s="3"/>
      <c r="F64" s="38"/>
      <c r="G64" s="40" t="s">
        <v>22</v>
      </c>
      <c r="H64" s="40" t="s">
        <v>22</v>
      </c>
      <c r="I64" s="40" t="s">
        <v>22</v>
      </c>
      <c r="J64" s="40" t="s">
        <v>22</v>
      </c>
      <c r="K64" s="40" t="s">
        <v>22</v>
      </c>
      <c r="L64" s="40" t="s">
        <v>22</v>
      </c>
      <c r="M64" s="40" t="s">
        <v>22</v>
      </c>
      <c r="N64" s="40" t="s">
        <v>22</v>
      </c>
      <c r="O64" s="40" t="s">
        <v>22</v>
      </c>
      <c r="P64" s="40" t="s">
        <v>22</v>
      </c>
      <c r="Q64" s="40" t="s">
        <v>22</v>
      </c>
      <c r="R64" s="40" t="s">
        <v>22</v>
      </c>
      <c r="S64" s="40" t="s">
        <v>22</v>
      </c>
      <c r="T64" s="40" t="s">
        <v>22</v>
      </c>
      <c r="U64" s="40" t="s">
        <v>22</v>
      </c>
      <c r="V64" s="40" t="s">
        <v>22</v>
      </c>
      <c r="W64" s="40" t="s">
        <v>22</v>
      </c>
      <c r="X64" s="40" t="s">
        <v>22</v>
      </c>
      <c r="Y64" s="40" t="s">
        <v>22</v>
      </c>
      <c r="Z64" s="40" t="s">
        <v>22</v>
      </c>
      <c r="AA64" s="40" t="s">
        <v>22</v>
      </c>
    </row>
    <row r="65" spans="1:27" s="4" customFormat="1" x14ac:dyDescent="0.45">
      <c r="A65" s="92"/>
      <c r="D65" s="4" t="s">
        <v>508</v>
      </c>
      <c r="E65" s="70" t="s">
        <v>806</v>
      </c>
      <c r="F65" s="93"/>
      <c r="G65" s="94">
        <f ca="1">SUM(G42:G64)</f>
        <v>3400983.2053422374</v>
      </c>
      <c r="H65" s="94">
        <f t="shared" ref="H65:AA65" ca="1" si="3">SUM(H42:H64)</f>
        <v>0</v>
      </c>
      <c r="I65" s="94">
        <f t="shared" ca="1" si="3"/>
        <v>0</v>
      </c>
      <c r="J65" s="94">
        <f t="shared" ca="1" si="3"/>
        <v>0</v>
      </c>
      <c r="K65" s="94">
        <f t="shared" ca="1" si="3"/>
        <v>0</v>
      </c>
      <c r="L65" s="94">
        <f t="shared" ca="1" si="3"/>
        <v>0</v>
      </c>
      <c r="M65" s="94">
        <f t="shared" ca="1" si="3"/>
        <v>0</v>
      </c>
      <c r="N65" s="94">
        <f t="shared" ca="1" si="3"/>
        <v>0</v>
      </c>
      <c r="O65" s="94">
        <f t="shared" ca="1" si="3"/>
        <v>0</v>
      </c>
      <c r="P65" s="94">
        <f t="shared" ca="1" si="3"/>
        <v>0</v>
      </c>
      <c r="Q65" s="94">
        <f t="shared" ca="1" si="3"/>
        <v>0</v>
      </c>
      <c r="R65" s="94">
        <f t="shared" ca="1" si="3"/>
        <v>0</v>
      </c>
      <c r="S65" s="94">
        <f t="shared" ca="1" si="3"/>
        <v>0</v>
      </c>
      <c r="T65" s="94">
        <f t="shared" ca="1" si="3"/>
        <v>0</v>
      </c>
      <c r="U65" s="94">
        <f t="shared" ca="1" si="3"/>
        <v>0</v>
      </c>
      <c r="V65" s="94">
        <f t="shared" ca="1" si="3"/>
        <v>0</v>
      </c>
      <c r="W65" s="94">
        <f t="shared" ca="1" si="3"/>
        <v>0</v>
      </c>
      <c r="X65" s="94">
        <f t="shared" ca="1" si="3"/>
        <v>0</v>
      </c>
      <c r="Y65" s="94">
        <f t="shared" ca="1" si="3"/>
        <v>0</v>
      </c>
      <c r="Z65" s="94">
        <f t="shared" ca="1" si="3"/>
        <v>0</v>
      </c>
      <c r="AA65" s="94">
        <f t="shared" ca="1" si="3"/>
        <v>0</v>
      </c>
    </row>
    <row r="66" spans="1:27" customFormat="1" x14ac:dyDescent="0.45"/>
    <row r="67" spans="1:27" customFormat="1" x14ac:dyDescent="0.45">
      <c r="C67" s="4" t="s">
        <v>509</v>
      </c>
    </row>
    <row r="68" spans="1:27" x14ac:dyDescent="0.45">
      <c r="A68" s="32"/>
      <c r="B68" s="4"/>
      <c r="C68" s="2" t="s">
        <v>114</v>
      </c>
      <c r="D68" s="2" t="str">
        <f>Assumptions!D109</f>
        <v>Landscaping</v>
      </c>
      <c r="E68" s="23" t="s">
        <v>813</v>
      </c>
      <c r="G68" s="83">
        <f>Assumptions!I147</f>
        <v>120200.33388981636</v>
      </c>
      <c r="H68" s="83">
        <f>G68*(1+Assumptions!$H$184)</f>
        <v>122604.3405676127</v>
      </c>
      <c r="I68" s="83">
        <f>H68*(1+Assumptions!$H$184)</f>
        <v>125056.42737896496</v>
      </c>
      <c r="J68" s="83">
        <f>I68*(1+Assumptions!$H$184)</f>
        <v>127557.55592654426</v>
      </c>
      <c r="K68" s="83">
        <f>J68*(1+Assumptions!$H$184)</f>
        <v>130108.70704507515</v>
      </c>
      <c r="L68" s="83">
        <f>K68*(1+Assumptions!$H$184)</f>
        <v>132710.88118597664</v>
      </c>
      <c r="M68" s="83">
        <f>L68*(1+Assumptions!$H$184)</f>
        <v>135365.09880969618</v>
      </c>
      <c r="N68" s="83">
        <f>M68*(1+Assumptions!$H$184)</f>
        <v>138072.40078589012</v>
      </c>
      <c r="O68" s="83">
        <f>N68*(1+Assumptions!$H$184)</f>
        <v>140833.84880160794</v>
      </c>
      <c r="P68" s="83">
        <f>O68*(1+Assumptions!$H$184)</f>
        <v>143650.52577764008</v>
      </c>
      <c r="Q68" s="83">
        <f>P68*(1+Assumptions!$H$184)</f>
        <v>146523.53629319288</v>
      </c>
      <c r="R68" s="83">
        <f>Q68*(1+Assumptions!$H$184)</f>
        <v>149454.00701905673</v>
      </c>
      <c r="S68" s="83">
        <f>R68*(1+Assumptions!$H$184)</f>
        <v>152443.08715943788</v>
      </c>
      <c r="T68" s="83">
        <f>S68*(1+Assumptions!$H$184)</f>
        <v>155491.94890262664</v>
      </c>
      <c r="U68" s="83">
        <f>T68*(1+Assumptions!$H$184)</f>
        <v>158601.78788067919</v>
      </c>
      <c r="V68" s="83">
        <f>U68*(1+Assumptions!$H$184)</f>
        <v>161773.82363829276</v>
      </c>
      <c r="W68" s="83">
        <f>V68*(1+Assumptions!$H$184)</f>
        <v>165009.3001110586</v>
      </c>
      <c r="X68" s="83">
        <f>W68*(1+Assumptions!$H$184)</f>
        <v>168309.48611327977</v>
      </c>
      <c r="Y68" s="83">
        <f>X68*(1+Assumptions!$H$184)</f>
        <v>171675.67583554538</v>
      </c>
      <c r="Z68" s="83">
        <f>Y68*(1+Assumptions!$H$184)</f>
        <v>175109.18935225628</v>
      </c>
      <c r="AA68" s="83">
        <f>Z68*(1+Assumptions!$H$184)</f>
        <v>178611.3731393014</v>
      </c>
    </row>
    <row r="69" spans="1:27" x14ac:dyDescent="0.45">
      <c r="A69" s="32"/>
      <c r="B69" s="4"/>
      <c r="C69" s="2" t="s">
        <v>114</v>
      </c>
      <c r="D69" s="2" t="str">
        <f>Assumptions!D110</f>
        <v>Building</v>
      </c>
      <c r="E69" s="23" t="s">
        <v>813</v>
      </c>
      <c r="G69" s="83">
        <f>Assumptions!I148</f>
        <v>50083.472454090152</v>
      </c>
      <c r="H69" s="83">
        <f>G69*(1+Assumptions!$H$184)</f>
        <v>51085.141903171956</v>
      </c>
      <c r="I69" s="83">
        <f>H69*(1+Assumptions!$H$184)</f>
        <v>52106.844741235393</v>
      </c>
      <c r="J69" s="83">
        <f>I69*(1+Assumptions!$H$184)</f>
        <v>53148.981636060103</v>
      </c>
      <c r="K69" s="83">
        <f>J69*(1+Assumptions!$H$184)</f>
        <v>54211.961268781306</v>
      </c>
      <c r="L69" s="83">
        <f>K69*(1+Assumptions!$H$184)</f>
        <v>55296.200494156932</v>
      </c>
      <c r="M69" s="83">
        <f>L69*(1+Assumptions!$H$184)</f>
        <v>56402.124504040068</v>
      </c>
      <c r="N69" s="83">
        <f>M69*(1+Assumptions!$H$184)</f>
        <v>57530.166994120867</v>
      </c>
      <c r="O69" s="83">
        <f>N69*(1+Assumptions!$H$184)</f>
        <v>58680.770334003289</v>
      </c>
      <c r="P69" s="83">
        <f>O69*(1+Assumptions!$H$184)</f>
        <v>59854.385740683356</v>
      </c>
      <c r="Q69" s="83">
        <f>P69*(1+Assumptions!$H$184)</f>
        <v>61051.473455497027</v>
      </c>
      <c r="R69" s="83">
        <f>Q69*(1+Assumptions!$H$184)</f>
        <v>62272.502924606968</v>
      </c>
      <c r="S69" s="83">
        <f>R69*(1+Assumptions!$H$184)</f>
        <v>63517.952983099109</v>
      </c>
      <c r="T69" s="83">
        <f>S69*(1+Assumptions!$H$184)</f>
        <v>64788.312042761092</v>
      </c>
      <c r="U69" s="83">
        <f>T69*(1+Assumptions!$H$184)</f>
        <v>66084.078283616313</v>
      </c>
      <c r="V69" s="83">
        <f>U69*(1+Assumptions!$H$184)</f>
        <v>67405.759849288646</v>
      </c>
      <c r="W69" s="83">
        <f>V69*(1+Assumptions!$H$184)</f>
        <v>68753.875046274421</v>
      </c>
      <c r="X69" s="83">
        <f>W69*(1+Assumptions!$H$184)</f>
        <v>70128.952547199908</v>
      </c>
      <c r="Y69" s="83">
        <f>X69*(1+Assumptions!$H$184)</f>
        <v>71531.531598143905</v>
      </c>
      <c r="Z69" s="83">
        <f>Y69*(1+Assumptions!$H$184)</f>
        <v>72962.162230106784</v>
      </c>
      <c r="AA69" s="83">
        <f>Z69*(1+Assumptions!$H$184)</f>
        <v>74421.405474708925</v>
      </c>
    </row>
    <row r="70" spans="1:27" x14ac:dyDescent="0.45">
      <c r="A70" s="32"/>
      <c r="B70" s="4"/>
      <c r="C70" s="2" t="s">
        <v>114</v>
      </c>
      <c r="D70" s="2" t="str">
        <f>Assumptions!D111</f>
        <v>Storage</v>
      </c>
      <c r="E70" s="23" t="s">
        <v>813</v>
      </c>
      <c r="G70" s="83">
        <f>Assumptions!I149</f>
        <v>14023.372287145243</v>
      </c>
      <c r="H70" s="83">
        <f>G70*(1+Assumptions!$H$184)</f>
        <v>14303.839732888147</v>
      </c>
      <c r="I70" s="83">
        <f>H70*(1+Assumptions!$H$184)</f>
        <v>14589.916527545911</v>
      </c>
      <c r="J70" s="83">
        <f>I70*(1+Assumptions!$H$184)</f>
        <v>14881.71485809683</v>
      </c>
      <c r="K70" s="83">
        <f>J70*(1+Assumptions!$H$184)</f>
        <v>15179.349155258766</v>
      </c>
      <c r="L70" s="83">
        <f>K70*(1+Assumptions!$H$184)</f>
        <v>15482.936138363941</v>
      </c>
      <c r="M70" s="83">
        <f>L70*(1+Assumptions!$H$184)</f>
        <v>15792.59486113122</v>
      </c>
      <c r="N70" s="83">
        <f>M70*(1+Assumptions!$H$184)</f>
        <v>16108.446758353844</v>
      </c>
      <c r="O70" s="83">
        <f>N70*(1+Assumptions!$H$184)</f>
        <v>16430.615693520922</v>
      </c>
      <c r="P70" s="83">
        <f>O70*(1+Assumptions!$H$184)</f>
        <v>16759.228007391339</v>
      </c>
      <c r="Q70" s="83">
        <f>P70*(1+Assumptions!$H$184)</f>
        <v>17094.412567539166</v>
      </c>
      <c r="R70" s="83">
        <f>Q70*(1+Assumptions!$H$184)</f>
        <v>17436.300818889951</v>
      </c>
      <c r="S70" s="83">
        <f>R70*(1+Assumptions!$H$184)</f>
        <v>17785.026835267752</v>
      </c>
      <c r="T70" s="83">
        <f>S70*(1+Assumptions!$H$184)</f>
        <v>18140.727371973109</v>
      </c>
      <c r="U70" s="83">
        <f>T70*(1+Assumptions!$H$184)</f>
        <v>18503.541919412572</v>
      </c>
      <c r="V70" s="83">
        <f>U70*(1+Assumptions!$H$184)</f>
        <v>18873.612757800824</v>
      </c>
      <c r="W70" s="83">
        <f>V70*(1+Assumptions!$H$184)</f>
        <v>19251.085012956839</v>
      </c>
      <c r="X70" s="83">
        <f>W70*(1+Assumptions!$H$184)</f>
        <v>19636.106713215977</v>
      </c>
      <c r="Y70" s="83">
        <f>X70*(1+Assumptions!$H$184)</f>
        <v>20028.828847480298</v>
      </c>
      <c r="Z70" s="83">
        <f>Y70*(1+Assumptions!$H$184)</f>
        <v>20429.405424429904</v>
      </c>
      <c r="AA70" s="83">
        <f>Z70*(1+Assumptions!$H$184)</f>
        <v>20837.993532918503</v>
      </c>
    </row>
    <row r="71" spans="1:27" x14ac:dyDescent="0.45">
      <c r="A71" s="32"/>
      <c r="B71" s="4"/>
      <c r="C71" s="2" t="s">
        <v>114</v>
      </c>
      <c r="D71" s="2" t="str">
        <f>Assumptions!D112</f>
        <v>Water System</v>
      </c>
      <c r="E71" s="23" t="s">
        <v>813</v>
      </c>
      <c r="G71" s="83">
        <f>Assumptions!I150</f>
        <v>14023.372287145243</v>
      </c>
      <c r="H71" s="83">
        <f>G71*(1+Assumptions!$H$184)</f>
        <v>14303.839732888147</v>
      </c>
      <c r="I71" s="83">
        <f>H71*(1+Assumptions!$H$184)</f>
        <v>14589.916527545911</v>
      </c>
      <c r="J71" s="83">
        <f>I71*(1+Assumptions!$H$184)</f>
        <v>14881.71485809683</v>
      </c>
      <c r="K71" s="83">
        <f>J71*(1+Assumptions!$H$184)</f>
        <v>15179.349155258766</v>
      </c>
      <c r="L71" s="83">
        <f>K71*(1+Assumptions!$H$184)</f>
        <v>15482.936138363941</v>
      </c>
      <c r="M71" s="83">
        <f>L71*(1+Assumptions!$H$184)</f>
        <v>15792.59486113122</v>
      </c>
      <c r="N71" s="83">
        <f>M71*(1+Assumptions!$H$184)</f>
        <v>16108.446758353844</v>
      </c>
      <c r="O71" s="83">
        <f>N71*(1+Assumptions!$H$184)</f>
        <v>16430.615693520922</v>
      </c>
      <c r="P71" s="83">
        <f>O71*(1+Assumptions!$H$184)</f>
        <v>16759.228007391339</v>
      </c>
      <c r="Q71" s="83">
        <f>P71*(1+Assumptions!$H$184)</f>
        <v>17094.412567539166</v>
      </c>
      <c r="R71" s="83">
        <f>Q71*(1+Assumptions!$H$184)</f>
        <v>17436.300818889951</v>
      </c>
      <c r="S71" s="83">
        <f>R71*(1+Assumptions!$H$184)</f>
        <v>17785.026835267752</v>
      </c>
      <c r="T71" s="83">
        <f>S71*(1+Assumptions!$H$184)</f>
        <v>18140.727371973109</v>
      </c>
      <c r="U71" s="83">
        <f>T71*(1+Assumptions!$H$184)</f>
        <v>18503.541919412572</v>
      </c>
      <c r="V71" s="83">
        <f>U71*(1+Assumptions!$H$184)</f>
        <v>18873.612757800824</v>
      </c>
      <c r="W71" s="83">
        <f>V71*(1+Assumptions!$H$184)</f>
        <v>19251.085012956839</v>
      </c>
      <c r="X71" s="83">
        <f>W71*(1+Assumptions!$H$184)</f>
        <v>19636.106713215977</v>
      </c>
      <c r="Y71" s="83">
        <f>X71*(1+Assumptions!$H$184)</f>
        <v>20028.828847480298</v>
      </c>
      <c r="Z71" s="83">
        <f>Y71*(1+Assumptions!$H$184)</f>
        <v>20429.405424429904</v>
      </c>
      <c r="AA71" s="83">
        <f>Z71*(1+Assumptions!$H$184)</f>
        <v>20837.993532918503</v>
      </c>
    </row>
    <row r="72" spans="1:27" x14ac:dyDescent="0.45">
      <c r="A72" s="32"/>
      <c r="B72" s="4"/>
      <c r="C72" s="2" t="s">
        <v>114</v>
      </c>
      <c r="D72" s="2" t="str">
        <f>Assumptions!D113</f>
        <v>Electricity</v>
      </c>
      <c r="E72" s="23" t="s">
        <v>813</v>
      </c>
      <c r="G72" s="83">
        <f>Assumptions!I151</f>
        <v>6010.0166944908178</v>
      </c>
      <c r="H72" s="83">
        <f>G72*(1+Assumptions!$H$184)</f>
        <v>6130.2170283806345</v>
      </c>
      <c r="I72" s="83">
        <f>H72*(1+Assumptions!$H$184)</f>
        <v>6252.8213689482473</v>
      </c>
      <c r="J72" s="83">
        <f>I72*(1+Assumptions!$H$184)</f>
        <v>6377.8777963272123</v>
      </c>
      <c r="K72" s="83">
        <f>J72*(1+Assumptions!$H$184)</f>
        <v>6505.4353522537567</v>
      </c>
      <c r="L72" s="83">
        <f>K72*(1+Assumptions!$H$184)</f>
        <v>6635.5440592988316</v>
      </c>
      <c r="M72" s="83">
        <f>L72*(1+Assumptions!$H$184)</f>
        <v>6768.2549404848087</v>
      </c>
      <c r="N72" s="83">
        <f>M72*(1+Assumptions!$H$184)</f>
        <v>6903.6200392945047</v>
      </c>
      <c r="O72" s="83">
        <f>N72*(1+Assumptions!$H$184)</f>
        <v>7041.6924400803946</v>
      </c>
      <c r="P72" s="83">
        <f>O72*(1+Assumptions!$H$184)</f>
        <v>7182.5262888820025</v>
      </c>
      <c r="Q72" s="83">
        <f>P72*(1+Assumptions!$H$184)</f>
        <v>7326.1768146596423</v>
      </c>
      <c r="R72" s="83">
        <f>Q72*(1+Assumptions!$H$184)</f>
        <v>7472.7003509528349</v>
      </c>
      <c r="S72" s="83">
        <f>R72*(1+Assumptions!$H$184)</f>
        <v>7622.1543579718918</v>
      </c>
      <c r="T72" s="83">
        <f>S72*(1+Assumptions!$H$184)</f>
        <v>7774.5974451313296</v>
      </c>
      <c r="U72" s="83">
        <f>T72*(1+Assumptions!$H$184)</f>
        <v>7930.0893940339565</v>
      </c>
      <c r="V72" s="83">
        <f>U72*(1+Assumptions!$H$184)</f>
        <v>8088.6911819146362</v>
      </c>
      <c r="W72" s="83">
        <f>V72*(1+Assumptions!$H$184)</f>
        <v>8250.4650055529291</v>
      </c>
      <c r="X72" s="83">
        <f>W72*(1+Assumptions!$H$184)</f>
        <v>8415.4743056639873</v>
      </c>
      <c r="Y72" s="83">
        <f>X72*(1+Assumptions!$H$184)</f>
        <v>8583.7837917772667</v>
      </c>
      <c r="Z72" s="83">
        <f>Y72*(1+Assumptions!$H$184)</f>
        <v>8755.4594676128127</v>
      </c>
      <c r="AA72" s="83">
        <f>Z72*(1+Assumptions!$H$184)</f>
        <v>8930.5686569650697</v>
      </c>
    </row>
    <row r="73" spans="1:27" x14ac:dyDescent="0.45">
      <c r="A73" s="32"/>
      <c r="B73" s="4"/>
      <c r="C73" s="2" t="s">
        <v>114</v>
      </c>
      <c r="D73" s="2" t="str">
        <f>Assumptions!D114</f>
        <v>Waste Management</v>
      </c>
      <c r="E73" s="23" t="s">
        <v>813</v>
      </c>
      <c r="G73" s="83">
        <f>Assumptions!I152</f>
        <v>6010.0166944908178</v>
      </c>
      <c r="H73" s="83">
        <f>G73*(1+Assumptions!$H$184)</f>
        <v>6130.2170283806345</v>
      </c>
      <c r="I73" s="83">
        <f>H73*(1+Assumptions!$H$184)</f>
        <v>6252.8213689482473</v>
      </c>
      <c r="J73" s="83">
        <f>I73*(1+Assumptions!$H$184)</f>
        <v>6377.8777963272123</v>
      </c>
      <c r="K73" s="83">
        <f>J73*(1+Assumptions!$H$184)</f>
        <v>6505.4353522537567</v>
      </c>
      <c r="L73" s="83">
        <f>K73*(1+Assumptions!$H$184)</f>
        <v>6635.5440592988316</v>
      </c>
      <c r="M73" s="83">
        <f>L73*(1+Assumptions!$H$184)</f>
        <v>6768.2549404848087</v>
      </c>
      <c r="N73" s="83">
        <f>M73*(1+Assumptions!$H$184)</f>
        <v>6903.6200392945047</v>
      </c>
      <c r="O73" s="83">
        <f>N73*(1+Assumptions!$H$184)</f>
        <v>7041.6924400803946</v>
      </c>
      <c r="P73" s="83">
        <f>O73*(1+Assumptions!$H$184)</f>
        <v>7182.5262888820025</v>
      </c>
      <c r="Q73" s="83">
        <f>P73*(1+Assumptions!$H$184)</f>
        <v>7326.1768146596423</v>
      </c>
      <c r="R73" s="83">
        <f>Q73*(1+Assumptions!$H$184)</f>
        <v>7472.7003509528349</v>
      </c>
      <c r="S73" s="83">
        <f>R73*(1+Assumptions!$H$184)</f>
        <v>7622.1543579718918</v>
      </c>
      <c r="T73" s="83">
        <f>S73*(1+Assumptions!$H$184)</f>
        <v>7774.5974451313296</v>
      </c>
      <c r="U73" s="83">
        <f>T73*(1+Assumptions!$H$184)</f>
        <v>7930.0893940339565</v>
      </c>
      <c r="V73" s="83">
        <f>U73*(1+Assumptions!$H$184)</f>
        <v>8088.6911819146362</v>
      </c>
      <c r="W73" s="83">
        <f>V73*(1+Assumptions!$H$184)</f>
        <v>8250.4650055529291</v>
      </c>
      <c r="X73" s="83">
        <f>W73*(1+Assumptions!$H$184)</f>
        <v>8415.4743056639873</v>
      </c>
      <c r="Y73" s="83">
        <f>X73*(1+Assumptions!$H$184)</f>
        <v>8583.7837917772667</v>
      </c>
      <c r="Z73" s="83">
        <f>Y73*(1+Assumptions!$H$184)</f>
        <v>8755.4594676128127</v>
      </c>
      <c r="AA73" s="83">
        <f>Z73*(1+Assumptions!$H$184)</f>
        <v>8930.5686569650697</v>
      </c>
    </row>
    <row r="74" spans="1:27" x14ac:dyDescent="0.45">
      <c r="A74" s="32"/>
      <c r="B74" s="4"/>
      <c r="C74" s="2" t="s">
        <v>114</v>
      </c>
      <c r="D74" s="2" t="str">
        <f>Assumptions!D115</f>
        <v>Dry cleaner NSD 0</v>
      </c>
      <c r="E74" s="23" t="s">
        <v>813</v>
      </c>
      <c r="G74" s="83">
        <f>Assumptions!I153</f>
        <v>36060.100166944911</v>
      </c>
      <c r="H74" s="83">
        <f>G74*(1+Assumptions!$H$184)</f>
        <v>36781.302170283809</v>
      </c>
      <c r="I74" s="83">
        <f>H74*(1+Assumptions!$H$184)</f>
        <v>37516.928213689484</v>
      </c>
      <c r="J74" s="83">
        <f>I74*(1+Assumptions!$H$184)</f>
        <v>38267.266777963276</v>
      </c>
      <c r="K74" s="83">
        <f>J74*(1+Assumptions!$H$184)</f>
        <v>39032.61211352254</v>
      </c>
      <c r="L74" s="83">
        <f>K74*(1+Assumptions!$H$184)</f>
        <v>39813.264355792991</v>
      </c>
      <c r="M74" s="83">
        <f>L74*(1+Assumptions!$H$184)</f>
        <v>40609.529642908848</v>
      </c>
      <c r="N74" s="83">
        <f>M74*(1+Assumptions!$H$184)</f>
        <v>41421.720235767025</v>
      </c>
      <c r="O74" s="83">
        <f>N74*(1+Assumptions!$H$184)</f>
        <v>42250.154640482368</v>
      </c>
      <c r="P74" s="83">
        <f>O74*(1+Assumptions!$H$184)</f>
        <v>43095.157733292013</v>
      </c>
      <c r="Q74" s="83">
        <f>P74*(1+Assumptions!$H$184)</f>
        <v>43957.060887957858</v>
      </c>
      <c r="R74" s="83">
        <f>Q74*(1+Assumptions!$H$184)</f>
        <v>44836.202105717013</v>
      </c>
      <c r="S74" s="83">
        <f>R74*(1+Assumptions!$H$184)</f>
        <v>45732.926147831357</v>
      </c>
      <c r="T74" s="83">
        <f>S74*(1+Assumptions!$H$184)</f>
        <v>46647.584670787983</v>
      </c>
      <c r="U74" s="83">
        <f>T74*(1+Assumptions!$H$184)</f>
        <v>47580.536364203741</v>
      </c>
      <c r="V74" s="83">
        <f>U74*(1+Assumptions!$H$184)</f>
        <v>48532.147091487815</v>
      </c>
      <c r="W74" s="83">
        <f>V74*(1+Assumptions!$H$184)</f>
        <v>49502.790033317571</v>
      </c>
      <c r="X74" s="83">
        <f>W74*(1+Assumptions!$H$184)</f>
        <v>50492.845833983927</v>
      </c>
      <c r="Y74" s="83">
        <f>X74*(1+Assumptions!$H$184)</f>
        <v>51502.702750663608</v>
      </c>
      <c r="Z74" s="83">
        <f>Y74*(1+Assumptions!$H$184)</f>
        <v>52532.75680567688</v>
      </c>
      <c r="AA74" s="83">
        <f>Z74*(1+Assumptions!$H$184)</f>
        <v>53583.411941790415</v>
      </c>
    </row>
    <row r="75" spans="1:27" x14ac:dyDescent="0.45">
      <c r="A75" s="32"/>
      <c r="B75" s="4"/>
      <c r="C75" s="2" t="s">
        <v>114</v>
      </c>
      <c r="D75" s="2" t="str">
        <f>Assumptions!D116</f>
        <v xml:space="preserve">Crusher </v>
      </c>
      <c r="E75" s="23" t="s">
        <v>813</v>
      </c>
      <c r="G75" s="83">
        <f>Assumptions!I154</f>
        <v>5901.8363939899837</v>
      </c>
      <c r="H75" s="83">
        <f>G75*(1+Assumptions!$H$184)</f>
        <v>6019.8731218697831</v>
      </c>
      <c r="I75" s="83">
        <f>H75*(1+Assumptions!$H$184)</f>
        <v>6140.270584307179</v>
      </c>
      <c r="J75" s="83">
        <f>I75*(1+Assumptions!$H$184)</f>
        <v>6263.075995993323</v>
      </c>
      <c r="K75" s="83">
        <f>J75*(1+Assumptions!$H$184)</f>
        <v>6388.3375159131892</v>
      </c>
      <c r="L75" s="83">
        <f>K75*(1+Assumptions!$H$184)</f>
        <v>6516.104266231453</v>
      </c>
      <c r="M75" s="83">
        <f>L75*(1+Assumptions!$H$184)</f>
        <v>6646.4263515560824</v>
      </c>
      <c r="N75" s="83">
        <f>M75*(1+Assumptions!$H$184)</f>
        <v>6779.3548785872044</v>
      </c>
      <c r="O75" s="83">
        <f>N75*(1+Assumptions!$H$184)</f>
        <v>6914.9419761589488</v>
      </c>
      <c r="P75" s="83">
        <f>O75*(1+Assumptions!$H$184)</f>
        <v>7053.2408156821275</v>
      </c>
      <c r="Q75" s="83">
        <f>P75*(1+Assumptions!$H$184)</f>
        <v>7194.3056319957705</v>
      </c>
      <c r="R75" s="83">
        <f>Q75*(1+Assumptions!$H$184)</f>
        <v>7338.1917446356856</v>
      </c>
      <c r="S75" s="83">
        <f>R75*(1+Assumptions!$H$184)</f>
        <v>7484.9555795283995</v>
      </c>
      <c r="T75" s="83">
        <f>S75*(1+Assumptions!$H$184)</f>
        <v>7634.654691118968</v>
      </c>
      <c r="U75" s="83">
        <f>T75*(1+Assumptions!$H$184)</f>
        <v>7787.3477849413475</v>
      </c>
      <c r="V75" s="83">
        <f>U75*(1+Assumptions!$H$184)</f>
        <v>7943.0947406401747</v>
      </c>
      <c r="W75" s="83">
        <f>V75*(1+Assumptions!$H$184)</f>
        <v>8101.9566354529779</v>
      </c>
      <c r="X75" s="83">
        <f>W75*(1+Assumptions!$H$184)</f>
        <v>8263.9957681620381</v>
      </c>
      <c r="Y75" s="83">
        <f>X75*(1+Assumptions!$H$184)</f>
        <v>8429.2756835252785</v>
      </c>
      <c r="Z75" s="83">
        <f>Y75*(1+Assumptions!$H$184)</f>
        <v>8597.8611971957835</v>
      </c>
      <c r="AA75" s="83">
        <f>Z75*(1+Assumptions!$H$184)</f>
        <v>8769.8184211397001</v>
      </c>
    </row>
    <row r="76" spans="1:27" x14ac:dyDescent="0.45">
      <c r="A76" s="32"/>
      <c r="B76" s="4"/>
      <c r="C76" s="2" t="s">
        <v>114</v>
      </c>
      <c r="D76" s="2" t="str">
        <f>Assumptions!D117</f>
        <v>Shea nut drying/roasting unit</v>
      </c>
      <c r="E76" s="23" t="s">
        <v>813</v>
      </c>
      <c r="G76" s="83">
        <f>Assumptions!I155</f>
        <v>4524.5409015025043</v>
      </c>
      <c r="H76" s="83">
        <f>G76*(1+Assumptions!$H$184)</f>
        <v>4615.0317195325542</v>
      </c>
      <c r="I76" s="83">
        <f>H76*(1+Assumptions!$H$184)</f>
        <v>4707.3323539232051</v>
      </c>
      <c r="J76" s="83">
        <f>I76*(1+Assumptions!$H$184)</f>
        <v>4801.4790010016695</v>
      </c>
      <c r="K76" s="83">
        <f>J76*(1+Assumptions!$H$184)</f>
        <v>4897.5085810217033</v>
      </c>
      <c r="L76" s="83">
        <f>K76*(1+Assumptions!$H$184)</f>
        <v>4995.4587526421374</v>
      </c>
      <c r="M76" s="83">
        <f>L76*(1+Assumptions!$H$184)</f>
        <v>5095.3679276949806</v>
      </c>
      <c r="N76" s="83">
        <f>M76*(1+Assumptions!$H$184)</f>
        <v>5197.2752862488805</v>
      </c>
      <c r="O76" s="83">
        <f>N76*(1+Assumptions!$H$184)</f>
        <v>5301.2207919738585</v>
      </c>
      <c r="P76" s="83">
        <f>O76*(1+Assumptions!$H$184)</f>
        <v>5407.2452078133356</v>
      </c>
      <c r="Q76" s="83">
        <f>P76*(1+Assumptions!$H$184)</f>
        <v>5515.390111969602</v>
      </c>
      <c r="R76" s="83">
        <f>Q76*(1+Assumptions!$H$184)</f>
        <v>5625.697914208994</v>
      </c>
      <c r="S76" s="83">
        <f>R76*(1+Assumptions!$H$184)</f>
        <v>5738.2118724931743</v>
      </c>
      <c r="T76" s="83">
        <f>S76*(1+Assumptions!$H$184)</f>
        <v>5852.976109943038</v>
      </c>
      <c r="U76" s="83">
        <f>T76*(1+Assumptions!$H$184)</f>
        <v>5970.0356321418985</v>
      </c>
      <c r="V76" s="83">
        <f>U76*(1+Assumptions!$H$184)</f>
        <v>6089.4363447847363</v>
      </c>
      <c r="W76" s="83">
        <f>V76*(1+Assumptions!$H$184)</f>
        <v>6211.225071680431</v>
      </c>
      <c r="X76" s="83">
        <f>W76*(1+Assumptions!$H$184)</f>
        <v>6335.4495731140396</v>
      </c>
      <c r="Y76" s="83">
        <f>X76*(1+Assumptions!$H$184)</f>
        <v>6462.1585645763207</v>
      </c>
      <c r="Z76" s="83">
        <f>Y76*(1+Assumptions!$H$184)</f>
        <v>6591.4017358678475</v>
      </c>
      <c r="AA76" s="83">
        <f>Z76*(1+Assumptions!$H$184)</f>
        <v>6723.2297705852043</v>
      </c>
    </row>
    <row r="77" spans="1:27" x14ac:dyDescent="0.45">
      <c r="A77" s="32"/>
      <c r="B77" s="4"/>
      <c r="C77" s="2" t="s">
        <v>114</v>
      </c>
      <c r="D77" s="2" t="str">
        <f>Assumptions!D118</f>
        <v>Press MBU 40</v>
      </c>
      <c r="E77" s="23" t="s">
        <v>813</v>
      </c>
      <c r="G77" s="83">
        <f>Assumptions!I156</f>
        <v>40439.398998330551</v>
      </c>
      <c r="H77" s="83">
        <f>G77*(1+Assumptions!$H$184)</f>
        <v>41248.186978297163</v>
      </c>
      <c r="I77" s="83">
        <f>H77*(1+Assumptions!$H$184)</f>
        <v>42073.150717863107</v>
      </c>
      <c r="J77" s="83">
        <f>I77*(1+Assumptions!$H$184)</f>
        <v>42914.613732220372</v>
      </c>
      <c r="K77" s="83">
        <f>J77*(1+Assumptions!$H$184)</f>
        <v>43772.906006864781</v>
      </c>
      <c r="L77" s="83">
        <f>K77*(1+Assumptions!$H$184)</f>
        <v>44648.364127002074</v>
      </c>
      <c r="M77" s="83">
        <f>L77*(1+Assumptions!$H$184)</f>
        <v>45541.331409542116</v>
      </c>
      <c r="N77" s="83">
        <f>M77*(1+Assumptions!$H$184)</f>
        <v>46452.158037732959</v>
      </c>
      <c r="O77" s="83">
        <f>N77*(1+Assumptions!$H$184)</f>
        <v>47381.201198487623</v>
      </c>
      <c r="P77" s="83">
        <f>O77*(1+Assumptions!$H$184)</f>
        <v>48328.825222457373</v>
      </c>
      <c r="Q77" s="83">
        <f>P77*(1+Assumptions!$H$184)</f>
        <v>49295.401726906523</v>
      </c>
      <c r="R77" s="83">
        <f>Q77*(1+Assumptions!$H$184)</f>
        <v>50281.309761444652</v>
      </c>
      <c r="S77" s="83">
        <f>R77*(1+Assumptions!$H$184)</f>
        <v>51286.935956673544</v>
      </c>
      <c r="T77" s="83">
        <f>S77*(1+Assumptions!$H$184)</f>
        <v>52312.674675807015</v>
      </c>
      <c r="U77" s="83">
        <f>T77*(1+Assumptions!$H$184)</f>
        <v>53358.928169323153</v>
      </c>
      <c r="V77" s="83">
        <f>U77*(1+Assumptions!$H$184)</f>
        <v>54426.106732709617</v>
      </c>
      <c r="W77" s="83">
        <f>V77*(1+Assumptions!$H$184)</f>
        <v>55514.628867363812</v>
      </c>
      <c r="X77" s="83">
        <f>W77*(1+Assumptions!$H$184)</f>
        <v>56624.921444711086</v>
      </c>
      <c r="Y77" s="83">
        <f>X77*(1+Assumptions!$H$184)</f>
        <v>57757.419873605308</v>
      </c>
      <c r="Z77" s="83">
        <f>Y77*(1+Assumptions!$H$184)</f>
        <v>58912.568271077413</v>
      </c>
      <c r="AA77" s="83">
        <f>Z77*(1+Assumptions!$H$184)</f>
        <v>60090.819636498964</v>
      </c>
    </row>
    <row r="78" spans="1:27" x14ac:dyDescent="0.45">
      <c r="A78" s="32"/>
      <c r="B78" s="4"/>
      <c r="C78" s="2" t="s">
        <v>114</v>
      </c>
      <c r="D78" s="2" t="str">
        <f>Assumptions!D119</f>
        <v>Thermal installation</v>
      </c>
      <c r="E78" s="23" t="s">
        <v>813</v>
      </c>
      <c r="G78" s="83">
        <f>Assumptions!I157</f>
        <v>37262.103505843072</v>
      </c>
      <c r="H78" s="83">
        <f>G78*(1+Assumptions!$H$184)</f>
        <v>38007.345575959931</v>
      </c>
      <c r="I78" s="83">
        <f>H78*(1+Assumptions!$H$184)</f>
        <v>38767.492487479132</v>
      </c>
      <c r="J78" s="83">
        <f>I78*(1+Assumptions!$H$184)</f>
        <v>39542.842337228714</v>
      </c>
      <c r="K78" s="83">
        <f>J78*(1+Assumptions!$H$184)</f>
        <v>40333.699183973287</v>
      </c>
      <c r="L78" s="83">
        <f>K78*(1+Assumptions!$H$184)</f>
        <v>41140.373167652753</v>
      </c>
      <c r="M78" s="83">
        <f>L78*(1+Assumptions!$H$184)</f>
        <v>41963.180631005809</v>
      </c>
      <c r="N78" s="83">
        <f>M78*(1+Assumptions!$H$184)</f>
        <v>42802.444243625927</v>
      </c>
      <c r="O78" s="83">
        <f>N78*(1+Assumptions!$H$184)</f>
        <v>43658.493128498449</v>
      </c>
      <c r="P78" s="83">
        <f>O78*(1+Assumptions!$H$184)</f>
        <v>44531.662991068421</v>
      </c>
      <c r="Q78" s="83">
        <f>P78*(1+Assumptions!$H$184)</f>
        <v>45422.296250889791</v>
      </c>
      <c r="R78" s="83">
        <f>Q78*(1+Assumptions!$H$184)</f>
        <v>46330.742175907588</v>
      </c>
      <c r="S78" s="83">
        <f>R78*(1+Assumptions!$H$184)</f>
        <v>47257.357019425741</v>
      </c>
      <c r="T78" s="83">
        <f>S78*(1+Assumptions!$H$184)</f>
        <v>48202.504159814256</v>
      </c>
      <c r="U78" s="83">
        <f>T78*(1+Assumptions!$H$184)</f>
        <v>49166.554243010542</v>
      </c>
      <c r="V78" s="83">
        <f>U78*(1+Assumptions!$H$184)</f>
        <v>50149.885327870754</v>
      </c>
      <c r="W78" s="83">
        <f>V78*(1+Assumptions!$H$184)</f>
        <v>51152.883034428167</v>
      </c>
      <c r="X78" s="83">
        <f>W78*(1+Assumptions!$H$184)</f>
        <v>52175.940695116733</v>
      </c>
      <c r="Y78" s="83">
        <f>X78*(1+Assumptions!$H$184)</f>
        <v>53219.459509019071</v>
      </c>
      <c r="Z78" s="83">
        <f>Y78*(1+Assumptions!$H$184)</f>
        <v>54283.84869919945</v>
      </c>
      <c r="AA78" s="83">
        <f>Z78*(1+Assumptions!$H$184)</f>
        <v>55369.525673183438</v>
      </c>
    </row>
    <row r="79" spans="1:27" x14ac:dyDescent="0.45">
      <c r="A79" s="32"/>
      <c r="B79" s="4"/>
      <c r="C79" s="2" t="s">
        <v>114</v>
      </c>
      <c r="D79" s="2" t="str">
        <f>Assumptions!D120</f>
        <v>Filter Kinetic</v>
      </c>
      <c r="E79" s="23" t="s">
        <v>813</v>
      </c>
      <c r="G79" s="83">
        <f>Assumptions!I158</f>
        <v>5526.210350584307</v>
      </c>
      <c r="H79" s="83">
        <f>G79*(1+Assumptions!$H$184)</f>
        <v>5636.7345575959935</v>
      </c>
      <c r="I79" s="83">
        <f>H79*(1+Assumptions!$H$184)</f>
        <v>5749.4692487479133</v>
      </c>
      <c r="J79" s="83">
        <f>I79*(1+Assumptions!$H$184)</f>
        <v>5864.458633722872</v>
      </c>
      <c r="K79" s="83">
        <f>J79*(1+Assumptions!$H$184)</f>
        <v>5981.7478063973294</v>
      </c>
      <c r="L79" s="83">
        <f>K79*(1+Assumptions!$H$184)</f>
        <v>6101.3827625252761</v>
      </c>
      <c r="M79" s="83">
        <f>L79*(1+Assumptions!$H$184)</f>
        <v>6223.4104177757818</v>
      </c>
      <c r="N79" s="83">
        <f>M79*(1+Assumptions!$H$184)</f>
        <v>6347.8786261312971</v>
      </c>
      <c r="O79" s="83">
        <f>N79*(1+Assumptions!$H$184)</f>
        <v>6474.836198653923</v>
      </c>
      <c r="P79" s="83">
        <f>O79*(1+Assumptions!$H$184)</f>
        <v>6604.3329226270016</v>
      </c>
      <c r="Q79" s="83">
        <f>P79*(1+Assumptions!$H$184)</f>
        <v>6736.4195810795418</v>
      </c>
      <c r="R79" s="83">
        <f>Q79*(1+Assumptions!$H$184)</f>
        <v>6871.1479727011329</v>
      </c>
      <c r="S79" s="83">
        <f>R79*(1+Assumptions!$H$184)</f>
        <v>7008.5709321551558</v>
      </c>
      <c r="T79" s="83">
        <f>S79*(1+Assumptions!$H$184)</f>
        <v>7148.7423507982594</v>
      </c>
      <c r="U79" s="83">
        <f>T79*(1+Assumptions!$H$184)</f>
        <v>7291.7171978142251</v>
      </c>
      <c r="V79" s="83">
        <f>U79*(1+Assumptions!$H$184)</f>
        <v>7437.5515417705101</v>
      </c>
      <c r="W79" s="83">
        <f>V79*(1+Assumptions!$H$184)</f>
        <v>7586.3025726059204</v>
      </c>
      <c r="X79" s="83">
        <f>W79*(1+Assumptions!$H$184)</f>
        <v>7738.028624058039</v>
      </c>
      <c r="Y79" s="83">
        <f>X79*(1+Assumptions!$H$184)</f>
        <v>7892.7891965392</v>
      </c>
      <c r="Z79" s="83">
        <f>Y79*(1+Assumptions!$H$184)</f>
        <v>8050.6449804699841</v>
      </c>
      <c r="AA79" s="83">
        <f>Z79*(1+Assumptions!$H$184)</f>
        <v>8211.6578800793832</v>
      </c>
    </row>
    <row r="80" spans="1:27" x14ac:dyDescent="0.45">
      <c r="A80" s="32"/>
      <c r="B80" s="4"/>
      <c r="C80" s="2" t="s">
        <v>114</v>
      </c>
      <c r="D80" s="2" t="str">
        <f>Assumptions!D121</f>
        <v>Packaging Filling and labelling machine</v>
      </c>
      <c r="E80" s="23" t="s">
        <v>813</v>
      </c>
      <c r="G80" s="83">
        <f>Assumptions!I159</f>
        <v>8030.3839732888146</v>
      </c>
      <c r="H80" s="83">
        <f>G80*(1+Assumptions!$H$184)</f>
        <v>8190.9916527545911</v>
      </c>
      <c r="I80" s="83">
        <f>H80*(1+Assumptions!$H$184)</f>
        <v>8354.8114858096833</v>
      </c>
      <c r="J80" s="83">
        <f>I80*(1+Assumptions!$H$184)</f>
        <v>8521.9077155258765</v>
      </c>
      <c r="K80" s="83">
        <f>J80*(1+Assumptions!$H$184)</f>
        <v>8692.3458698363938</v>
      </c>
      <c r="L80" s="83">
        <f>K80*(1+Assumptions!$H$184)</f>
        <v>8866.1927872331216</v>
      </c>
      <c r="M80" s="83">
        <f>L80*(1+Assumptions!$H$184)</f>
        <v>9043.5166429777837</v>
      </c>
      <c r="N80" s="83">
        <f>M80*(1+Assumptions!$H$184)</f>
        <v>9224.3869758373403</v>
      </c>
      <c r="O80" s="83">
        <f>N80*(1+Assumptions!$H$184)</f>
        <v>9408.874715354088</v>
      </c>
      <c r="P80" s="83">
        <f>O80*(1+Assumptions!$H$184)</f>
        <v>9597.0522096611694</v>
      </c>
      <c r="Q80" s="83">
        <f>P80*(1+Assumptions!$H$184)</f>
        <v>9788.9932538543926</v>
      </c>
      <c r="R80" s="83">
        <f>Q80*(1+Assumptions!$H$184)</f>
        <v>9984.77311893148</v>
      </c>
      <c r="S80" s="83">
        <f>R80*(1+Assumptions!$H$184)</f>
        <v>10184.46858131011</v>
      </c>
      <c r="T80" s="83">
        <f>S80*(1+Assumptions!$H$184)</f>
        <v>10388.157952936312</v>
      </c>
      <c r="U80" s="83">
        <f>T80*(1+Assumptions!$H$184)</f>
        <v>10595.921111995038</v>
      </c>
      <c r="V80" s="83">
        <f>U80*(1+Assumptions!$H$184)</f>
        <v>10807.839534234939</v>
      </c>
      <c r="W80" s="83">
        <f>V80*(1+Assumptions!$H$184)</f>
        <v>11023.996324919639</v>
      </c>
      <c r="X80" s="83">
        <f>W80*(1+Assumptions!$H$184)</f>
        <v>11244.476251418031</v>
      </c>
      <c r="Y80" s="83">
        <f>X80*(1+Assumptions!$H$184)</f>
        <v>11469.365776446391</v>
      </c>
      <c r="Z80" s="83">
        <f>Y80*(1+Assumptions!$H$184)</f>
        <v>11698.753091975319</v>
      </c>
      <c r="AA80" s="83">
        <f>Z80*(1+Assumptions!$H$184)</f>
        <v>11932.728153814825</v>
      </c>
    </row>
    <row r="81" spans="1:27" x14ac:dyDescent="0.45">
      <c r="A81" s="32"/>
      <c r="B81" s="4"/>
      <c r="C81" s="2" t="s">
        <v>114</v>
      </c>
      <c r="D81" s="2" t="str">
        <f>Assumptions!D122</f>
        <v>Packaging table</v>
      </c>
      <c r="E81" s="23" t="s">
        <v>813</v>
      </c>
      <c r="G81" s="83">
        <f>Assumptions!I160</f>
        <v>3485.8096828046746</v>
      </c>
      <c r="H81" s="83">
        <f>G81*(1+Assumptions!$H$184)</f>
        <v>3555.5258764607684</v>
      </c>
      <c r="I81" s="83">
        <f>H81*(1+Assumptions!$H$184)</f>
        <v>3626.6363939899838</v>
      </c>
      <c r="J81" s="83">
        <f>I81*(1+Assumptions!$H$184)</f>
        <v>3699.1691218697838</v>
      </c>
      <c r="K81" s="83">
        <f>J81*(1+Assumptions!$H$184)</f>
        <v>3773.1525043071797</v>
      </c>
      <c r="L81" s="83">
        <f>K81*(1+Assumptions!$H$184)</f>
        <v>3848.6155543933232</v>
      </c>
      <c r="M81" s="83">
        <f>L81*(1+Assumptions!$H$184)</f>
        <v>3925.58786548119</v>
      </c>
      <c r="N81" s="83">
        <f>M81*(1+Assumptions!$H$184)</f>
        <v>4004.099622790814</v>
      </c>
      <c r="O81" s="83">
        <f>N81*(1+Assumptions!$H$184)</f>
        <v>4084.1816152466304</v>
      </c>
      <c r="P81" s="83">
        <f>O81*(1+Assumptions!$H$184)</f>
        <v>4165.8652475515628</v>
      </c>
      <c r="Q81" s="83">
        <f>P81*(1+Assumptions!$H$184)</f>
        <v>4249.1825525025943</v>
      </c>
      <c r="R81" s="83">
        <f>Q81*(1+Assumptions!$H$184)</f>
        <v>4334.166203552646</v>
      </c>
      <c r="S81" s="83">
        <f>R81*(1+Assumptions!$H$184)</f>
        <v>4420.849527623699</v>
      </c>
      <c r="T81" s="83">
        <f>S81*(1+Assumptions!$H$184)</f>
        <v>4509.2665181761731</v>
      </c>
      <c r="U81" s="83">
        <f>T81*(1+Assumptions!$H$184)</f>
        <v>4599.4518485396966</v>
      </c>
      <c r="V81" s="83">
        <f>U81*(1+Assumptions!$H$184)</f>
        <v>4691.4408855104903</v>
      </c>
      <c r="W81" s="83">
        <f>V81*(1+Assumptions!$H$184)</f>
        <v>4785.2697032206997</v>
      </c>
      <c r="X81" s="83">
        <f>W81*(1+Assumptions!$H$184)</f>
        <v>4880.9750972851134</v>
      </c>
      <c r="Y81" s="83">
        <f>X81*(1+Assumptions!$H$184)</f>
        <v>4978.5945992308161</v>
      </c>
      <c r="Z81" s="83">
        <f>Y81*(1+Assumptions!$H$184)</f>
        <v>5078.1664912154329</v>
      </c>
      <c r="AA81" s="83">
        <f>Z81*(1+Assumptions!$H$184)</f>
        <v>5179.7298210397412</v>
      </c>
    </row>
    <row r="82" spans="1:27" x14ac:dyDescent="0.45">
      <c r="A82" s="32"/>
      <c r="B82" s="4"/>
      <c r="C82" s="2" t="s">
        <v>114</v>
      </c>
      <c r="D82" s="2" t="str">
        <f>Assumptions!D123</f>
        <v>Production tools</v>
      </c>
      <c r="E82" s="23" t="s">
        <v>813</v>
      </c>
      <c r="G82" s="83">
        <f>Assumptions!I161</f>
        <v>8013.3555926544241</v>
      </c>
      <c r="H82" s="83">
        <f>G82*(1+Assumptions!$H$184)</f>
        <v>8173.6227045075129</v>
      </c>
      <c r="I82" s="83">
        <f>H82*(1+Assumptions!$H$184)</f>
        <v>8337.0951585976636</v>
      </c>
      <c r="J82" s="83">
        <f>I82*(1+Assumptions!$H$184)</f>
        <v>8503.8370617696164</v>
      </c>
      <c r="K82" s="83">
        <f>J82*(1+Assumptions!$H$184)</f>
        <v>8673.913803005009</v>
      </c>
      <c r="L82" s="83">
        <f>K82*(1+Assumptions!$H$184)</f>
        <v>8847.39207906511</v>
      </c>
      <c r="M82" s="83">
        <f>L82*(1+Assumptions!$H$184)</f>
        <v>9024.3399206464128</v>
      </c>
      <c r="N82" s="83">
        <f>M82*(1+Assumptions!$H$184)</f>
        <v>9204.8267190593415</v>
      </c>
      <c r="O82" s="83">
        <f>N82*(1+Assumptions!$H$184)</f>
        <v>9388.9232534405292</v>
      </c>
      <c r="P82" s="83">
        <f>O82*(1+Assumptions!$H$184)</f>
        <v>9576.7017185093391</v>
      </c>
      <c r="Q82" s="83">
        <f>P82*(1+Assumptions!$H$184)</f>
        <v>9768.2357528795255</v>
      </c>
      <c r="R82" s="83">
        <f>Q82*(1+Assumptions!$H$184)</f>
        <v>9963.6004679371163</v>
      </c>
      <c r="S82" s="83">
        <f>R82*(1+Assumptions!$H$184)</f>
        <v>10162.872477295859</v>
      </c>
      <c r="T82" s="83">
        <f>S82*(1+Assumptions!$H$184)</f>
        <v>10366.129926841777</v>
      </c>
      <c r="U82" s="83">
        <f>T82*(1+Assumptions!$H$184)</f>
        <v>10573.452525378612</v>
      </c>
      <c r="V82" s="83">
        <f>U82*(1+Assumptions!$H$184)</f>
        <v>10784.921575886185</v>
      </c>
      <c r="W82" s="83">
        <f>V82*(1+Assumptions!$H$184)</f>
        <v>11000.620007403908</v>
      </c>
      <c r="X82" s="83">
        <f>W82*(1+Assumptions!$H$184)</f>
        <v>11220.632407551986</v>
      </c>
      <c r="Y82" s="83">
        <f>X82*(1+Assumptions!$H$184)</f>
        <v>11445.045055703025</v>
      </c>
      <c r="Z82" s="83">
        <f>Y82*(1+Assumptions!$H$184)</f>
        <v>11673.945956817086</v>
      </c>
      <c r="AA82" s="83">
        <f>Z82*(1+Assumptions!$H$184)</f>
        <v>11907.424875953428</v>
      </c>
    </row>
    <row r="83" spans="1:27" x14ac:dyDescent="0.45">
      <c r="A83" s="32"/>
      <c r="B83" s="4"/>
      <c r="C83" s="2" t="s">
        <v>114</v>
      </c>
      <c r="D83" s="2" t="str">
        <f>Assumptions!D124</f>
        <v>Transport Installation and Commissioning</v>
      </c>
      <c r="E83" s="23" t="s">
        <v>813</v>
      </c>
      <c r="G83" s="83">
        <f>Assumptions!I162</f>
        <v>87709.933222036721</v>
      </c>
      <c r="H83" s="83">
        <f>G83*(1+Assumptions!$H$184)</f>
        <v>89464.131886477451</v>
      </c>
      <c r="I83" s="83">
        <f>H83*(1+Assumptions!$H$184)</f>
        <v>91253.414524207008</v>
      </c>
      <c r="J83" s="83">
        <f>I83*(1+Assumptions!$H$184)</f>
        <v>93078.482814691146</v>
      </c>
      <c r="K83" s="83">
        <f>J83*(1+Assumptions!$H$184)</f>
        <v>94940.052470984971</v>
      </c>
      <c r="L83" s="83">
        <f>K83*(1+Assumptions!$H$184)</f>
        <v>96838.853520404678</v>
      </c>
      <c r="M83" s="83">
        <f>L83*(1+Assumptions!$H$184)</f>
        <v>98775.630590812769</v>
      </c>
      <c r="N83" s="83">
        <f>M83*(1+Assumptions!$H$184)</f>
        <v>100751.14320262903</v>
      </c>
      <c r="O83" s="83">
        <f>N83*(1+Assumptions!$H$184)</f>
        <v>102766.16606668162</v>
      </c>
      <c r="P83" s="83">
        <f>O83*(1+Assumptions!$H$184)</f>
        <v>104821.48938801525</v>
      </c>
      <c r="Q83" s="83">
        <f>P83*(1+Assumptions!$H$184)</f>
        <v>106917.91917577556</v>
      </c>
      <c r="R83" s="83">
        <f>Q83*(1+Assumptions!$H$184)</f>
        <v>109056.27755929108</v>
      </c>
      <c r="S83" s="83">
        <f>R83*(1+Assumptions!$H$184)</f>
        <v>111237.40311047689</v>
      </c>
      <c r="T83" s="83">
        <f>S83*(1+Assumptions!$H$184)</f>
        <v>113462.15117268644</v>
      </c>
      <c r="U83" s="83">
        <f>T83*(1+Assumptions!$H$184)</f>
        <v>115731.39419614017</v>
      </c>
      <c r="V83" s="83">
        <f>U83*(1+Assumptions!$H$184)</f>
        <v>118046.02208006298</v>
      </c>
      <c r="W83" s="83">
        <f>V83*(1+Assumptions!$H$184)</f>
        <v>120406.94252166424</v>
      </c>
      <c r="X83" s="83">
        <f>W83*(1+Assumptions!$H$184)</f>
        <v>122815.08137209753</v>
      </c>
      <c r="Y83" s="83">
        <f>X83*(1+Assumptions!$H$184)</f>
        <v>125271.38299953948</v>
      </c>
      <c r="Z83" s="83">
        <f>Y83*(1+Assumptions!$H$184)</f>
        <v>127776.81065953027</v>
      </c>
      <c r="AA83" s="83">
        <f>Z83*(1+Assumptions!$H$184)</f>
        <v>130332.34687272087</v>
      </c>
    </row>
    <row r="84" spans="1:27" x14ac:dyDescent="0.45">
      <c r="A84" s="32"/>
      <c r="B84" s="4"/>
      <c r="C84" s="2" t="s">
        <v>114</v>
      </c>
      <c r="D84" s="2" t="str">
        <f>Assumptions!D125</f>
        <v>Vehicles</v>
      </c>
      <c r="E84" s="23" t="s">
        <v>813</v>
      </c>
      <c r="G84" s="83">
        <f>Assumptions!I163</f>
        <v>11619.365609348915</v>
      </c>
      <c r="H84" s="83">
        <f>G84*(1+Assumptions!$H$184)</f>
        <v>11851.752921535894</v>
      </c>
      <c r="I84" s="83">
        <f>H84*(1+Assumptions!$H$184)</f>
        <v>12088.787979966612</v>
      </c>
      <c r="J84" s="83">
        <f>I84*(1+Assumptions!$H$184)</f>
        <v>12330.563739565943</v>
      </c>
      <c r="K84" s="83">
        <f>J84*(1+Assumptions!$H$184)</f>
        <v>12577.175014357263</v>
      </c>
      <c r="L84" s="83">
        <f>K84*(1+Assumptions!$H$184)</f>
        <v>12828.718514644408</v>
      </c>
      <c r="M84" s="83">
        <f>L84*(1+Assumptions!$H$184)</f>
        <v>13085.292884937297</v>
      </c>
      <c r="N84" s="83">
        <f>M84*(1+Assumptions!$H$184)</f>
        <v>13346.998742636042</v>
      </c>
      <c r="O84" s="83">
        <f>N84*(1+Assumptions!$H$184)</f>
        <v>13613.938717488763</v>
      </c>
      <c r="P84" s="83">
        <f>O84*(1+Assumptions!$H$184)</f>
        <v>13886.217491838539</v>
      </c>
      <c r="Q84" s="83">
        <f>P84*(1+Assumptions!$H$184)</f>
        <v>14163.941841675311</v>
      </c>
      <c r="R84" s="83">
        <f>Q84*(1+Assumptions!$H$184)</f>
        <v>14447.220678508816</v>
      </c>
      <c r="S84" s="83">
        <f>R84*(1+Assumptions!$H$184)</f>
        <v>14736.165092078993</v>
      </c>
      <c r="T84" s="83">
        <f>S84*(1+Assumptions!$H$184)</f>
        <v>15030.888393920573</v>
      </c>
      <c r="U84" s="83">
        <f>T84*(1+Assumptions!$H$184)</f>
        <v>15331.506161798985</v>
      </c>
      <c r="V84" s="83">
        <f>U84*(1+Assumptions!$H$184)</f>
        <v>15638.136285034965</v>
      </c>
      <c r="W84" s="83">
        <f>V84*(1+Assumptions!$H$184)</f>
        <v>15950.899010735664</v>
      </c>
      <c r="X84" s="83">
        <f>W84*(1+Assumptions!$H$184)</f>
        <v>16269.916990950378</v>
      </c>
      <c r="Y84" s="83">
        <f>X84*(1+Assumptions!$H$184)</f>
        <v>16595.315330769386</v>
      </c>
      <c r="Z84" s="83">
        <f>Y84*(1+Assumptions!$H$184)</f>
        <v>16927.221637384773</v>
      </c>
      <c r="AA84" s="83">
        <f>Z84*(1+Assumptions!$H$184)</f>
        <v>17265.766070132468</v>
      </c>
    </row>
    <row r="85" spans="1:27" x14ac:dyDescent="0.45">
      <c r="A85" s="32"/>
      <c r="B85" s="4"/>
      <c r="C85" s="2" t="s">
        <v>114</v>
      </c>
      <c r="D85" s="2">
        <f>Assumptions!D126</f>
        <v>0</v>
      </c>
      <c r="E85" s="23" t="s">
        <v>813</v>
      </c>
      <c r="G85" s="83">
        <f>Assumptions!I164</f>
        <v>0</v>
      </c>
      <c r="H85" s="83">
        <f>G85*(1+Assumptions!$H$184)</f>
        <v>0</v>
      </c>
      <c r="I85" s="83">
        <f>H85*(1+Assumptions!$H$184)</f>
        <v>0</v>
      </c>
      <c r="J85" s="83">
        <f>I85*(1+Assumptions!$H$184)</f>
        <v>0</v>
      </c>
      <c r="K85" s="83">
        <f>J85*(1+Assumptions!$H$184)</f>
        <v>0</v>
      </c>
      <c r="L85" s="83">
        <f>K85*(1+Assumptions!$H$184)</f>
        <v>0</v>
      </c>
      <c r="M85" s="83">
        <f>L85*(1+Assumptions!$H$184)</f>
        <v>0</v>
      </c>
      <c r="N85" s="83">
        <f>M85*(1+Assumptions!$H$184)</f>
        <v>0</v>
      </c>
      <c r="O85" s="83">
        <f>N85*(1+Assumptions!$H$184)</f>
        <v>0</v>
      </c>
      <c r="P85" s="83">
        <f>O85*(1+Assumptions!$H$184)</f>
        <v>0</v>
      </c>
      <c r="Q85" s="83">
        <f>P85*(1+Assumptions!$H$184)</f>
        <v>0</v>
      </c>
      <c r="R85" s="83">
        <f>Q85*(1+Assumptions!$H$184)</f>
        <v>0</v>
      </c>
      <c r="S85" s="83">
        <f>R85*(1+Assumptions!$H$184)</f>
        <v>0</v>
      </c>
      <c r="T85" s="83">
        <f>S85*(1+Assumptions!$H$184)</f>
        <v>0</v>
      </c>
      <c r="U85" s="83">
        <f>T85*(1+Assumptions!$H$184)</f>
        <v>0</v>
      </c>
      <c r="V85" s="83">
        <f>U85*(1+Assumptions!$H$184)</f>
        <v>0</v>
      </c>
      <c r="W85" s="83">
        <f>V85*(1+Assumptions!$H$184)</f>
        <v>0</v>
      </c>
      <c r="X85" s="83">
        <f>W85*(1+Assumptions!$H$184)</f>
        <v>0</v>
      </c>
      <c r="Y85" s="83">
        <f>X85*(1+Assumptions!$H$184)</f>
        <v>0</v>
      </c>
      <c r="Z85" s="83">
        <f>Y85*(1+Assumptions!$H$184)</f>
        <v>0</v>
      </c>
      <c r="AA85" s="83">
        <f>Z85*(1+Assumptions!$H$184)</f>
        <v>0</v>
      </c>
    </row>
    <row r="86" spans="1:27" x14ac:dyDescent="0.45">
      <c r="A86" s="32"/>
      <c r="B86" s="4"/>
      <c r="C86" s="2" t="s">
        <v>114</v>
      </c>
      <c r="D86" s="2" t="str">
        <f>Assumptions!D127</f>
        <v>Centralised capex</v>
      </c>
      <c r="E86" s="23" t="s">
        <v>813</v>
      </c>
      <c r="G86" s="83">
        <f>Assumptions!I165</f>
        <v>120100.16694490818</v>
      </c>
      <c r="H86" s="83">
        <f>G86*(1+Assumptions!$H$184)</f>
        <v>122502.17028380635</v>
      </c>
      <c r="I86" s="83">
        <f>H86*(1+Assumptions!$H$184)</f>
        <v>124952.21368948248</v>
      </c>
      <c r="J86" s="83">
        <f>I86*(1+Assumptions!$H$184)</f>
        <v>127451.25796327213</v>
      </c>
      <c r="K86" s="83">
        <f>J86*(1+Assumptions!$H$184)</f>
        <v>130000.28312253757</v>
      </c>
      <c r="L86" s="83">
        <f>K86*(1+Assumptions!$H$184)</f>
        <v>132600.28878498831</v>
      </c>
      <c r="M86" s="83">
        <f>L86*(1+Assumptions!$H$184)</f>
        <v>135252.29456068808</v>
      </c>
      <c r="N86" s="83">
        <f>M86*(1+Assumptions!$H$184)</f>
        <v>137957.34045190184</v>
      </c>
      <c r="O86" s="83">
        <f>N86*(1+Assumptions!$H$184)</f>
        <v>140716.48726093987</v>
      </c>
      <c r="P86" s="83">
        <f>O86*(1+Assumptions!$H$184)</f>
        <v>143530.81700615867</v>
      </c>
      <c r="Q86" s="83">
        <f>P86*(1+Assumptions!$H$184)</f>
        <v>146401.43334628185</v>
      </c>
      <c r="R86" s="83">
        <f>Q86*(1+Assumptions!$H$184)</f>
        <v>149329.46201320749</v>
      </c>
      <c r="S86" s="83">
        <f>R86*(1+Assumptions!$H$184)</f>
        <v>152316.05125347164</v>
      </c>
      <c r="T86" s="83">
        <f>S86*(1+Assumptions!$H$184)</f>
        <v>155362.37227854106</v>
      </c>
      <c r="U86" s="83">
        <f>T86*(1+Assumptions!$H$184)</f>
        <v>158469.61972411189</v>
      </c>
      <c r="V86" s="83">
        <f>U86*(1+Assumptions!$H$184)</f>
        <v>161639.01211859414</v>
      </c>
      <c r="W86" s="83">
        <f>V86*(1+Assumptions!$H$184)</f>
        <v>164871.79236096604</v>
      </c>
      <c r="X86" s="83">
        <f>W86*(1+Assumptions!$H$184)</f>
        <v>168169.22820818535</v>
      </c>
      <c r="Y86" s="83">
        <f>X86*(1+Assumptions!$H$184)</f>
        <v>171532.61277234906</v>
      </c>
      <c r="Z86" s="83">
        <f>Y86*(1+Assumptions!$H$184)</f>
        <v>174963.26502779603</v>
      </c>
      <c r="AA86" s="83">
        <f>Z86*(1+Assumptions!$H$184)</f>
        <v>178462.53032835195</v>
      </c>
    </row>
    <row r="87" spans="1:27" x14ac:dyDescent="0.45">
      <c r="A87" s="32"/>
      <c r="B87" s="4"/>
      <c r="C87" s="2" t="s">
        <v>114</v>
      </c>
      <c r="D87" s="2">
        <f>Assumptions!D128</f>
        <v>0</v>
      </c>
      <c r="E87" s="23" t="s">
        <v>813</v>
      </c>
      <c r="G87" s="83">
        <f>Assumptions!I166</f>
        <v>0</v>
      </c>
      <c r="H87" s="83">
        <f>G87*(1+Assumptions!$H$184)</f>
        <v>0</v>
      </c>
      <c r="I87" s="83">
        <f>H87*(1+Assumptions!$H$184)</f>
        <v>0</v>
      </c>
      <c r="J87" s="83">
        <f>I87*(1+Assumptions!$H$184)</f>
        <v>0</v>
      </c>
      <c r="K87" s="83">
        <f>J87*(1+Assumptions!$H$184)</f>
        <v>0</v>
      </c>
      <c r="L87" s="83">
        <f>K87*(1+Assumptions!$H$184)</f>
        <v>0</v>
      </c>
      <c r="M87" s="83">
        <f>L87*(1+Assumptions!$H$184)</f>
        <v>0</v>
      </c>
      <c r="N87" s="83">
        <f>M87*(1+Assumptions!$H$184)</f>
        <v>0</v>
      </c>
      <c r="O87" s="83">
        <f>N87*(1+Assumptions!$H$184)</f>
        <v>0</v>
      </c>
      <c r="P87" s="83">
        <f>O87*(1+Assumptions!$H$184)</f>
        <v>0</v>
      </c>
      <c r="Q87" s="83">
        <f>P87*(1+Assumptions!$H$184)</f>
        <v>0</v>
      </c>
      <c r="R87" s="83">
        <f>Q87*(1+Assumptions!$H$184)</f>
        <v>0</v>
      </c>
      <c r="S87" s="83">
        <f>R87*(1+Assumptions!$H$184)</f>
        <v>0</v>
      </c>
      <c r="T87" s="83">
        <f>S87*(1+Assumptions!$H$184)</f>
        <v>0</v>
      </c>
      <c r="U87" s="83">
        <f>T87*(1+Assumptions!$H$184)</f>
        <v>0</v>
      </c>
      <c r="V87" s="83">
        <f>U87*(1+Assumptions!$H$184)</f>
        <v>0</v>
      </c>
      <c r="W87" s="83">
        <f>V87*(1+Assumptions!$H$184)</f>
        <v>0</v>
      </c>
      <c r="X87" s="83">
        <f>W87*(1+Assumptions!$H$184)</f>
        <v>0</v>
      </c>
      <c r="Y87" s="83">
        <f>X87*(1+Assumptions!$H$184)</f>
        <v>0</v>
      </c>
      <c r="Z87" s="83">
        <f>Y87*(1+Assumptions!$H$184)</f>
        <v>0</v>
      </c>
      <c r="AA87" s="83">
        <f>Z87*(1+Assumptions!$H$184)</f>
        <v>0</v>
      </c>
    </row>
    <row r="88" spans="1:27" x14ac:dyDescent="0.45">
      <c r="A88" s="32"/>
      <c r="B88" s="4"/>
      <c r="C88" s="2" t="s">
        <v>114</v>
      </c>
      <c r="D88" s="2">
        <f>Assumptions!D129</f>
        <v>0</v>
      </c>
      <c r="E88" s="23" t="s">
        <v>813</v>
      </c>
      <c r="G88" s="83">
        <f>Assumptions!I167</f>
        <v>0</v>
      </c>
      <c r="H88" s="83">
        <f>G88*(1+Assumptions!$H$184)</f>
        <v>0</v>
      </c>
      <c r="I88" s="83">
        <f>H88*(1+Assumptions!$H$184)</f>
        <v>0</v>
      </c>
      <c r="J88" s="83">
        <f>I88*(1+Assumptions!$H$184)</f>
        <v>0</v>
      </c>
      <c r="K88" s="83">
        <f>J88*(1+Assumptions!$H$184)</f>
        <v>0</v>
      </c>
      <c r="L88" s="83">
        <f>K88*(1+Assumptions!$H$184)</f>
        <v>0</v>
      </c>
      <c r="M88" s="83">
        <f>L88*(1+Assumptions!$H$184)</f>
        <v>0</v>
      </c>
      <c r="N88" s="83">
        <f>M88*(1+Assumptions!$H$184)</f>
        <v>0</v>
      </c>
      <c r="O88" s="83">
        <f>N88*(1+Assumptions!$H$184)</f>
        <v>0</v>
      </c>
      <c r="P88" s="83">
        <f>O88*(1+Assumptions!$H$184)</f>
        <v>0</v>
      </c>
      <c r="Q88" s="83">
        <f>P88*(1+Assumptions!$H$184)</f>
        <v>0</v>
      </c>
      <c r="R88" s="83">
        <f>Q88*(1+Assumptions!$H$184)</f>
        <v>0</v>
      </c>
      <c r="S88" s="83">
        <f>R88*(1+Assumptions!$H$184)</f>
        <v>0</v>
      </c>
      <c r="T88" s="83">
        <f>S88*(1+Assumptions!$H$184)</f>
        <v>0</v>
      </c>
      <c r="U88" s="83">
        <f>T88*(1+Assumptions!$H$184)</f>
        <v>0</v>
      </c>
      <c r="V88" s="83">
        <f>U88*(1+Assumptions!$H$184)</f>
        <v>0</v>
      </c>
      <c r="W88" s="83">
        <f>V88*(1+Assumptions!$H$184)</f>
        <v>0</v>
      </c>
      <c r="X88" s="83">
        <f>W88*(1+Assumptions!$H$184)</f>
        <v>0</v>
      </c>
      <c r="Y88" s="83">
        <f>X88*(1+Assumptions!$H$184)</f>
        <v>0</v>
      </c>
      <c r="Z88" s="83">
        <f>Y88*(1+Assumptions!$H$184)</f>
        <v>0</v>
      </c>
      <c r="AA88" s="83">
        <f>Z88*(1+Assumptions!$H$184)</f>
        <v>0</v>
      </c>
    </row>
    <row r="89" spans="1:27" x14ac:dyDescent="0.45">
      <c r="A89" s="32"/>
      <c r="B89" s="4"/>
      <c r="C89" s="2" t="s">
        <v>114</v>
      </c>
      <c r="D89" s="2">
        <f>Assumptions!D130</f>
        <v>0</v>
      </c>
      <c r="E89" s="23" t="s">
        <v>813</v>
      </c>
      <c r="G89" s="83">
        <f>Assumptions!I168</f>
        <v>0</v>
      </c>
      <c r="H89" s="83">
        <f>G89*(1+Assumptions!$H$184)</f>
        <v>0</v>
      </c>
      <c r="I89" s="83">
        <f>H89*(1+Assumptions!$H$184)</f>
        <v>0</v>
      </c>
      <c r="J89" s="83">
        <f>I89*(1+Assumptions!$H$184)</f>
        <v>0</v>
      </c>
      <c r="K89" s="83">
        <f>J89*(1+Assumptions!$H$184)</f>
        <v>0</v>
      </c>
      <c r="L89" s="83">
        <f>K89*(1+Assumptions!$H$184)</f>
        <v>0</v>
      </c>
      <c r="M89" s="83">
        <f>L89*(1+Assumptions!$H$184)</f>
        <v>0</v>
      </c>
      <c r="N89" s="83">
        <f>M89*(1+Assumptions!$H$184)</f>
        <v>0</v>
      </c>
      <c r="O89" s="83">
        <f>N89*(1+Assumptions!$H$184)</f>
        <v>0</v>
      </c>
      <c r="P89" s="83">
        <f>O89*(1+Assumptions!$H$184)</f>
        <v>0</v>
      </c>
      <c r="Q89" s="83">
        <f>P89*(1+Assumptions!$H$184)</f>
        <v>0</v>
      </c>
      <c r="R89" s="83">
        <f>Q89*(1+Assumptions!$H$184)</f>
        <v>0</v>
      </c>
      <c r="S89" s="83">
        <f>R89*(1+Assumptions!$H$184)</f>
        <v>0</v>
      </c>
      <c r="T89" s="83">
        <f>S89*(1+Assumptions!$H$184)</f>
        <v>0</v>
      </c>
      <c r="U89" s="83">
        <f>T89*(1+Assumptions!$H$184)</f>
        <v>0</v>
      </c>
      <c r="V89" s="83">
        <f>U89*(1+Assumptions!$H$184)</f>
        <v>0</v>
      </c>
      <c r="W89" s="83">
        <f>V89*(1+Assumptions!$H$184)</f>
        <v>0</v>
      </c>
      <c r="X89" s="83">
        <f>W89*(1+Assumptions!$H$184)</f>
        <v>0</v>
      </c>
      <c r="Y89" s="83">
        <f>X89*(1+Assumptions!$H$184)</f>
        <v>0</v>
      </c>
      <c r="Z89" s="83">
        <f>Y89*(1+Assumptions!$H$184)</f>
        <v>0</v>
      </c>
      <c r="AA89" s="83">
        <f>Z89*(1+Assumptions!$H$184)</f>
        <v>0</v>
      </c>
    </row>
    <row r="90" spans="1:27" x14ac:dyDescent="0.45">
      <c r="A90" s="32"/>
      <c r="B90" s="4"/>
      <c r="C90" s="2" t="s">
        <v>114</v>
      </c>
      <c r="D90" s="2">
        <f>Assumptions!D131</f>
        <v>0</v>
      </c>
      <c r="E90" s="23" t="s">
        <v>813</v>
      </c>
      <c r="G90" s="83">
        <f>Assumptions!I169</f>
        <v>0</v>
      </c>
      <c r="H90" s="83">
        <f>G90*(1+Assumptions!$H$184)</f>
        <v>0</v>
      </c>
      <c r="I90" s="83">
        <f>H90*(1+Assumptions!$H$184)</f>
        <v>0</v>
      </c>
      <c r="J90" s="83">
        <f>I90*(1+Assumptions!$H$184)</f>
        <v>0</v>
      </c>
      <c r="K90" s="83">
        <f>J90*(1+Assumptions!$H$184)</f>
        <v>0</v>
      </c>
      <c r="L90" s="83">
        <f>K90*(1+Assumptions!$H$184)</f>
        <v>0</v>
      </c>
      <c r="M90" s="83">
        <f>L90*(1+Assumptions!$H$184)</f>
        <v>0</v>
      </c>
      <c r="N90" s="83">
        <f>M90*(1+Assumptions!$H$184)</f>
        <v>0</v>
      </c>
      <c r="O90" s="83">
        <f>N90*(1+Assumptions!$H$184)</f>
        <v>0</v>
      </c>
      <c r="P90" s="83">
        <f>O90*(1+Assumptions!$H$184)</f>
        <v>0</v>
      </c>
      <c r="Q90" s="83">
        <f>P90*(1+Assumptions!$H$184)</f>
        <v>0</v>
      </c>
      <c r="R90" s="83">
        <f>Q90*(1+Assumptions!$H$184)</f>
        <v>0</v>
      </c>
      <c r="S90" s="83">
        <f>R90*(1+Assumptions!$H$184)</f>
        <v>0</v>
      </c>
      <c r="T90" s="83">
        <f>S90*(1+Assumptions!$H$184)</f>
        <v>0</v>
      </c>
      <c r="U90" s="83">
        <f>T90*(1+Assumptions!$H$184)</f>
        <v>0</v>
      </c>
      <c r="V90" s="83">
        <f>U90*(1+Assumptions!$H$184)</f>
        <v>0</v>
      </c>
      <c r="W90" s="83">
        <f>V90*(1+Assumptions!$H$184)</f>
        <v>0</v>
      </c>
      <c r="X90" s="83">
        <f>W90*(1+Assumptions!$H$184)</f>
        <v>0</v>
      </c>
      <c r="Y90" s="83">
        <f>X90*(1+Assumptions!$H$184)</f>
        <v>0</v>
      </c>
      <c r="Z90" s="83">
        <f>Y90*(1+Assumptions!$H$184)</f>
        <v>0</v>
      </c>
      <c r="AA90" s="83">
        <f>Z90*(1+Assumptions!$H$184)</f>
        <v>0</v>
      </c>
    </row>
    <row r="91" spans="1:27" x14ac:dyDescent="0.45">
      <c r="A91" s="32"/>
      <c r="B91" s="4"/>
      <c r="C91" s="2" t="s">
        <v>114</v>
      </c>
      <c r="D91" s="2">
        <f>Assumptions!D132</f>
        <v>0</v>
      </c>
      <c r="E91" s="23" t="s">
        <v>813</v>
      </c>
      <c r="G91" s="83">
        <f>Assumptions!I170</f>
        <v>0</v>
      </c>
      <c r="H91" s="83">
        <f>G91*(1+Assumptions!$H$184)</f>
        <v>0</v>
      </c>
      <c r="I91" s="83">
        <f>H91*(1+Assumptions!$H$184)</f>
        <v>0</v>
      </c>
      <c r="J91" s="83">
        <f>I91*(1+Assumptions!$H$184)</f>
        <v>0</v>
      </c>
      <c r="K91" s="83">
        <f>J91*(1+Assumptions!$H$184)</f>
        <v>0</v>
      </c>
      <c r="L91" s="83">
        <f>K91*(1+Assumptions!$H$184)</f>
        <v>0</v>
      </c>
      <c r="M91" s="83">
        <f>L91*(1+Assumptions!$H$184)</f>
        <v>0</v>
      </c>
      <c r="N91" s="83">
        <f>M91*(1+Assumptions!$H$184)</f>
        <v>0</v>
      </c>
      <c r="O91" s="83">
        <f>N91*(1+Assumptions!$H$184)</f>
        <v>0</v>
      </c>
      <c r="P91" s="83">
        <f>O91*(1+Assumptions!$H$184)</f>
        <v>0</v>
      </c>
      <c r="Q91" s="83">
        <f>P91*(1+Assumptions!$H$184)</f>
        <v>0</v>
      </c>
      <c r="R91" s="83">
        <f>Q91*(1+Assumptions!$H$184)</f>
        <v>0</v>
      </c>
      <c r="S91" s="83">
        <f>R91*(1+Assumptions!$H$184)</f>
        <v>0</v>
      </c>
      <c r="T91" s="83">
        <f>S91*(1+Assumptions!$H$184)</f>
        <v>0</v>
      </c>
      <c r="U91" s="83">
        <f>T91*(1+Assumptions!$H$184)</f>
        <v>0</v>
      </c>
      <c r="V91" s="83">
        <f>U91*(1+Assumptions!$H$184)</f>
        <v>0</v>
      </c>
      <c r="W91" s="83">
        <f>V91*(1+Assumptions!$H$184)</f>
        <v>0</v>
      </c>
      <c r="X91" s="83">
        <f>W91*(1+Assumptions!$H$184)</f>
        <v>0</v>
      </c>
      <c r="Y91" s="83">
        <f>X91*(1+Assumptions!$H$184)</f>
        <v>0</v>
      </c>
      <c r="Z91" s="83">
        <f>Y91*(1+Assumptions!$H$184)</f>
        <v>0</v>
      </c>
      <c r="AA91" s="83">
        <f>Z91*(1+Assumptions!$H$184)</f>
        <v>0</v>
      </c>
    </row>
    <row r="92" spans="1:27" x14ac:dyDescent="0.45">
      <c r="A92" s="32"/>
      <c r="B92" s="4"/>
      <c r="C92" s="2" t="s">
        <v>114</v>
      </c>
      <c r="D92" s="2">
        <f>Assumptions!D133</f>
        <v>0</v>
      </c>
      <c r="E92" s="23" t="s">
        <v>813</v>
      </c>
      <c r="G92" s="83">
        <f>Assumptions!I171</f>
        <v>0</v>
      </c>
      <c r="H92" s="83">
        <f>G92*(1+Assumptions!$H$184)</f>
        <v>0</v>
      </c>
      <c r="I92" s="83">
        <f>H92*(1+Assumptions!$H$184)</f>
        <v>0</v>
      </c>
      <c r="J92" s="83">
        <f>I92*(1+Assumptions!$H$184)</f>
        <v>0</v>
      </c>
      <c r="K92" s="83">
        <f>J92*(1+Assumptions!$H$184)</f>
        <v>0</v>
      </c>
      <c r="L92" s="83">
        <f>K92*(1+Assumptions!$H$184)</f>
        <v>0</v>
      </c>
      <c r="M92" s="83">
        <f>L92*(1+Assumptions!$H$184)</f>
        <v>0</v>
      </c>
      <c r="N92" s="83">
        <f>M92*(1+Assumptions!$H$184)</f>
        <v>0</v>
      </c>
      <c r="O92" s="83">
        <f>N92*(1+Assumptions!$H$184)</f>
        <v>0</v>
      </c>
      <c r="P92" s="83">
        <f>O92*(1+Assumptions!$H$184)</f>
        <v>0</v>
      </c>
      <c r="Q92" s="83">
        <f>P92*(1+Assumptions!$H$184)</f>
        <v>0</v>
      </c>
      <c r="R92" s="83">
        <f>Q92*(1+Assumptions!$H$184)</f>
        <v>0</v>
      </c>
      <c r="S92" s="83">
        <f>R92*(1+Assumptions!$H$184)</f>
        <v>0</v>
      </c>
      <c r="T92" s="83">
        <f>S92*(1+Assumptions!$H$184)</f>
        <v>0</v>
      </c>
      <c r="U92" s="83">
        <f>T92*(1+Assumptions!$H$184)</f>
        <v>0</v>
      </c>
      <c r="V92" s="83">
        <f>U92*(1+Assumptions!$H$184)</f>
        <v>0</v>
      </c>
      <c r="W92" s="83">
        <f>V92*(1+Assumptions!$H$184)</f>
        <v>0</v>
      </c>
      <c r="X92" s="83">
        <f>W92*(1+Assumptions!$H$184)</f>
        <v>0</v>
      </c>
      <c r="Y92" s="83">
        <f>X92*(1+Assumptions!$H$184)</f>
        <v>0</v>
      </c>
      <c r="Z92" s="83">
        <f>Y92*(1+Assumptions!$H$184)</f>
        <v>0</v>
      </c>
      <c r="AA92" s="83">
        <f>Z92*(1+Assumptions!$H$184)</f>
        <v>0</v>
      </c>
    </row>
    <row r="93" spans="1:27" x14ac:dyDescent="0.45">
      <c r="A93" s="32"/>
      <c r="B93" s="4"/>
      <c r="C93" s="2" t="s">
        <v>114</v>
      </c>
      <c r="D93" s="2">
        <f>Assumptions!D134</f>
        <v>0</v>
      </c>
      <c r="E93" s="23" t="s">
        <v>813</v>
      </c>
      <c r="G93" s="83">
        <f>Assumptions!I172</f>
        <v>0</v>
      </c>
      <c r="H93" s="83">
        <f>G93*(1+Assumptions!$H$184)</f>
        <v>0</v>
      </c>
      <c r="I93" s="83">
        <f>H93*(1+Assumptions!$H$184)</f>
        <v>0</v>
      </c>
      <c r="J93" s="83">
        <f>I93*(1+Assumptions!$H$184)</f>
        <v>0</v>
      </c>
      <c r="K93" s="83">
        <f>J93*(1+Assumptions!$H$184)</f>
        <v>0</v>
      </c>
      <c r="L93" s="83">
        <f>K93*(1+Assumptions!$H$184)</f>
        <v>0</v>
      </c>
      <c r="M93" s="83">
        <f>L93*(1+Assumptions!$H$184)</f>
        <v>0</v>
      </c>
      <c r="N93" s="83">
        <f>M93*(1+Assumptions!$H$184)</f>
        <v>0</v>
      </c>
      <c r="O93" s="83">
        <f>N93*(1+Assumptions!$H$184)</f>
        <v>0</v>
      </c>
      <c r="P93" s="83">
        <f>O93*(1+Assumptions!$H$184)</f>
        <v>0</v>
      </c>
      <c r="Q93" s="83">
        <f>P93*(1+Assumptions!$H$184)</f>
        <v>0</v>
      </c>
      <c r="R93" s="83">
        <f>Q93*(1+Assumptions!$H$184)</f>
        <v>0</v>
      </c>
      <c r="S93" s="83">
        <f>R93*(1+Assumptions!$H$184)</f>
        <v>0</v>
      </c>
      <c r="T93" s="83">
        <f>S93*(1+Assumptions!$H$184)</f>
        <v>0</v>
      </c>
      <c r="U93" s="83">
        <f>T93*(1+Assumptions!$H$184)</f>
        <v>0</v>
      </c>
      <c r="V93" s="83">
        <f>U93*(1+Assumptions!$H$184)</f>
        <v>0</v>
      </c>
      <c r="W93" s="83">
        <f>V93*(1+Assumptions!$H$184)</f>
        <v>0</v>
      </c>
      <c r="X93" s="83">
        <f>W93*(1+Assumptions!$H$184)</f>
        <v>0</v>
      </c>
      <c r="Y93" s="83">
        <f>X93*(1+Assumptions!$H$184)</f>
        <v>0</v>
      </c>
      <c r="Z93" s="83">
        <f>Y93*(1+Assumptions!$H$184)</f>
        <v>0</v>
      </c>
      <c r="AA93" s="83">
        <f>Z93*(1+Assumptions!$H$184)</f>
        <v>0</v>
      </c>
    </row>
    <row r="94" spans="1:27" x14ac:dyDescent="0.45">
      <c r="A94" s="32"/>
      <c r="B94" s="4"/>
      <c r="C94" s="2" t="s">
        <v>114</v>
      </c>
      <c r="D94" s="2">
        <f>Assumptions!D135</f>
        <v>0</v>
      </c>
      <c r="E94" s="23" t="s">
        <v>813</v>
      </c>
      <c r="G94" s="83">
        <f>Assumptions!I173</f>
        <v>0</v>
      </c>
      <c r="H94" s="83">
        <f>G94*(1+Assumptions!$H$184)</f>
        <v>0</v>
      </c>
      <c r="I94" s="83">
        <f>H94*(1+Assumptions!$H$184)</f>
        <v>0</v>
      </c>
      <c r="J94" s="83">
        <f>I94*(1+Assumptions!$H$184)</f>
        <v>0</v>
      </c>
      <c r="K94" s="83">
        <f>J94*(1+Assumptions!$H$184)</f>
        <v>0</v>
      </c>
      <c r="L94" s="83">
        <f>K94*(1+Assumptions!$H$184)</f>
        <v>0</v>
      </c>
      <c r="M94" s="83">
        <f>L94*(1+Assumptions!$H$184)</f>
        <v>0</v>
      </c>
      <c r="N94" s="83">
        <f>M94*(1+Assumptions!$H$184)</f>
        <v>0</v>
      </c>
      <c r="O94" s="83">
        <f>N94*(1+Assumptions!$H$184)</f>
        <v>0</v>
      </c>
      <c r="P94" s="83">
        <f>O94*(1+Assumptions!$H$184)</f>
        <v>0</v>
      </c>
      <c r="Q94" s="83">
        <f>P94*(1+Assumptions!$H$184)</f>
        <v>0</v>
      </c>
      <c r="R94" s="83">
        <f>Q94*(1+Assumptions!$H$184)</f>
        <v>0</v>
      </c>
      <c r="S94" s="83">
        <f>R94*(1+Assumptions!$H$184)</f>
        <v>0</v>
      </c>
      <c r="T94" s="83">
        <f>S94*(1+Assumptions!$H$184)</f>
        <v>0</v>
      </c>
      <c r="U94" s="83">
        <f>T94*(1+Assumptions!$H$184)</f>
        <v>0</v>
      </c>
      <c r="V94" s="83">
        <f>U94*(1+Assumptions!$H$184)</f>
        <v>0</v>
      </c>
      <c r="W94" s="83">
        <f>V94*(1+Assumptions!$H$184)</f>
        <v>0</v>
      </c>
      <c r="X94" s="83">
        <f>W94*(1+Assumptions!$H$184)</f>
        <v>0</v>
      </c>
      <c r="Y94" s="83">
        <f>X94*(1+Assumptions!$H$184)</f>
        <v>0</v>
      </c>
      <c r="Z94" s="83">
        <f>Y94*(1+Assumptions!$H$184)</f>
        <v>0</v>
      </c>
      <c r="AA94" s="83">
        <f>Z94*(1+Assumptions!$H$184)</f>
        <v>0</v>
      </c>
    </row>
    <row r="95" spans="1:27" x14ac:dyDescent="0.45">
      <c r="A95" s="32"/>
      <c r="B95" s="4"/>
      <c r="C95" s="2" t="s">
        <v>114</v>
      </c>
      <c r="D95" s="2">
        <f>Assumptions!D136</f>
        <v>0</v>
      </c>
      <c r="E95" s="23" t="s">
        <v>813</v>
      </c>
      <c r="G95" s="83">
        <f>Assumptions!I174</f>
        <v>0</v>
      </c>
      <c r="H95" s="83">
        <f>G95*(1+Assumptions!$H$184)</f>
        <v>0</v>
      </c>
      <c r="I95" s="83">
        <f>H95*(1+Assumptions!$H$184)</f>
        <v>0</v>
      </c>
      <c r="J95" s="83">
        <f>I95*(1+Assumptions!$H$184)</f>
        <v>0</v>
      </c>
      <c r="K95" s="83">
        <f>J95*(1+Assumptions!$H$184)</f>
        <v>0</v>
      </c>
      <c r="L95" s="83">
        <f>K95*(1+Assumptions!$H$184)</f>
        <v>0</v>
      </c>
      <c r="M95" s="83">
        <f>L95*(1+Assumptions!$H$184)</f>
        <v>0</v>
      </c>
      <c r="N95" s="83">
        <f>M95*(1+Assumptions!$H$184)</f>
        <v>0</v>
      </c>
      <c r="O95" s="83">
        <f>N95*(1+Assumptions!$H$184)</f>
        <v>0</v>
      </c>
      <c r="P95" s="83">
        <f>O95*(1+Assumptions!$H$184)</f>
        <v>0</v>
      </c>
      <c r="Q95" s="83">
        <f>P95*(1+Assumptions!$H$184)</f>
        <v>0</v>
      </c>
      <c r="R95" s="83">
        <f>Q95*(1+Assumptions!$H$184)</f>
        <v>0</v>
      </c>
      <c r="S95" s="83">
        <f>R95*(1+Assumptions!$H$184)</f>
        <v>0</v>
      </c>
      <c r="T95" s="83">
        <f>S95*(1+Assumptions!$H$184)</f>
        <v>0</v>
      </c>
      <c r="U95" s="83">
        <f>T95*(1+Assumptions!$H$184)</f>
        <v>0</v>
      </c>
      <c r="V95" s="83">
        <f>U95*(1+Assumptions!$H$184)</f>
        <v>0</v>
      </c>
      <c r="W95" s="83">
        <f>V95*(1+Assumptions!$H$184)</f>
        <v>0</v>
      </c>
      <c r="X95" s="83">
        <f>W95*(1+Assumptions!$H$184)</f>
        <v>0</v>
      </c>
      <c r="Y95" s="83">
        <f>X95*(1+Assumptions!$H$184)</f>
        <v>0</v>
      </c>
      <c r="Z95" s="83">
        <f>Y95*(1+Assumptions!$H$184)</f>
        <v>0</v>
      </c>
      <c r="AA95" s="83">
        <f>Z95*(1+Assumptions!$H$184)</f>
        <v>0</v>
      </c>
    </row>
    <row r="96" spans="1:27" x14ac:dyDescent="0.45">
      <c r="A96" s="32"/>
      <c r="B96" s="4"/>
      <c r="C96" s="2" t="s">
        <v>114</v>
      </c>
      <c r="D96" s="2">
        <f>Assumptions!D137</f>
        <v>0</v>
      </c>
      <c r="E96" s="23" t="s">
        <v>813</v>
      </c>
      <c r="G96" s="83">
        <f>Assumptions!I175</f>
        <v>0</v>
      </c>
      <c r="H96" s="83">
        <f>G96*(1+Assumptions!$H$184)</f>
        <v>0</v>
      </c>
      <c r="I96" s="83">
        <f>H96*(1+Assumptions!$H$184)</f>
        <v>0</v>
      </c>
      <c r="J96" s="83">
        <f>I96*(1+Assumptions!$H$184)</f>
        <v>0</v>
      </c>
      <c r="K96" s="83">
        <f>J96*(1+Assumptions!$H$184)</f>
        <v>0</v>
      </c>
      <c r="L96" s="83">
        <f>K96*(1+Assumptions!$H$184)</f>
        <v>0</v>
      </c>
      <c r="M96" s="83">
        <f>L96*(1+Assumptions!$H$184)</f>
        <v>0</v>
      </c>
      <c r="N96" s="83">
        <f>M96*(1+Assumptions!$H$184)</f>
        <v>0</v>
      </c>
      <c r="O96" s="83">
        <f>N96*(1+Assumptions!$H$184)</f>
        <v>0</v>
      </c>
      <c r="P96" s="83">
        <f>O96*(1+Assumptions!$H$184)</f>
        <v>0</v>
      </c>
      <c r="Q96" s="83">
        <f>P96*(1+Assumptions!$H$184)</f>
        <v>0</v>
      </c>
      <c r="R96" s="83">
        <f>Q96*(1+Assumptions!$H$184)</f>
        <v>0</v>
      </c>
      <c r="S96" s="83">
        <f>R96*(1+Assumptions!$H$184)</f>
        <v>0</v>
      </c>
      <c r="T96" s="83">
        <f>S96*(1+Assumptions!$H$184)</f>
        <v>0</v>
      </c>
      <c r="U96" s="83">
        <f>T96*(1+Assumptions!$H$184)</f>
        <v>0</v>
      </c>
      <c r="V96" s="83">
        <f>U96*(1+Assumptions!$H$184)</f>
        <v>0</v>
      </c>
      <c r="W96" s="83">
        <f>V96*(1+Assumptions!$H$184)</f>
        <v>0</v>
      </c>
      <c r="X96" s="83">
        <f>W96*(1+Assumptions!$H$184)</f>
        <v>0</v>
      </c>
      <c r="Y96" s="83">
        <f>X96*(1+Assumptions!$H$184)</f>
        <v>0</v>
      </c>
      <c r="Z96" s="83">
        <f>Y96*(1+Assumptions!$H$184)</f>
        <v>0</v>
      </c>
      <c r="AA96" s="83">
        <f>Z96*(1+Assumptions!$H$184)</f>
        <v>0</v>
      </c>
    </row>
    <row r="97" spans="1:27" x14ac:dyDescent="0.45">
      <c r="A97" s="32"/>
      <c r="B97" s="4"/>
      <c r="C97" s="2" t="s">
        <v>114</v>
      </c>
      <c r="D97" s="2">
        <f>Assumptions!D138</f>
        <v>0</v>
      </c>
      <c r="E97" s="23" t="s">
        <v>813</v>
      </c>
      <c r="G97" s="83">
        <f>Assumptions!I176</f>
        <v>0</v>
      </c>
      <c r="H97" s="83">
        <f>G97*(1+Assumptions!$H$184)</f>
        <v>0</v>
      </c>
      <c r="I97" s="83">
        <f>H97*(1+Assumptions!$H$184)</f>
        <v>0</v>
      </c>
      <c r="J97" s="83">
        <f>I97*(1+Assumptions!$H$184)</f>
        <v>0</v>
      </c>
      <c r="K97" s="83">
        <f>J97*(1+Assumptions!$H$184)</f>
        <v>0</v>
      </c>
      <c r="L97" s="83">
        <f>K97*(1+Assumptions!$H$184)</f>
        <v>0</v>
      </c>
      <c r="M97" s="83">
        <f>L97*(1+Assumptions!$H$184)</f>
        <v>0</v>
      </c>
      <c r="N97" s="83">
        <f>M97*(1+Assumptions!$H$184)</f>
        <v>0</v>
      </c>
      <c r="O97" s="83">
        <f>N97*(1+Assumptions!$H$184)</f>
        <v>0</v>
      </c>
      <c r="P97" s="83">
        <f>O97*(1+Assumptions!$H$184)</f>
        <v>0</v>
      </c>
      <c r="Q97" s="83">
        <f>P97*(1+Assumptions!$H$184)</f>
        <v>0</v>
      </c>
      <c r="R97" s="83">
        <f>Q97*(1+Assumptions!$H$184)</f>
        <v>0</v>
      </c>
      <c r="S97" s="83">
        <f>R97*(1+Assumptions!$H$184)</f>
        <v>0</v>
      </c>
      <c r="T97" s="83">
        <f>S97*(1+Assumptions!$H$184)</f>
        <v>0</v>
      </c>
      <c r="U97" s="83">
        <f>T97*(1+Assumptions!$H$184)</f>
        <v>0</v>
      </c>
      <c r="V97" s="83">
        <f>U97*(1+Assumptions!$H$184)</f>
        <v>0</v>
      </c>
      <c r="W97" s="83">
        <f>V97*(1+Assumptions!$H$184)</f>
        <v>0</v>
      </c>
      <c r="X97" s="83">
        <f>W97*(1+Assumptions!$H$184)</f>
        <v>0</v>
      </c>
      <c r="Y97" s="83">
        <f>X97*(1+Assumptions!$H$184)</f>
        <v>0</v>
      </c>
      <c r="Z97" s="83">
        <f>Y97*(1+Assumptions!$H$184)</f>
        <v>0</v>
      </c>
      <c r="AA97" s="83">
        <f>Z97*(1+Assumptions!$H$184)</f>
        <v>0</v>
      </c>
    </row>
    <row r="98" spans="1:27" x14ac:dyDescent="0.45">
      <c r="A98" s="32"/>
      <c r="B98" s="4"/>
      <c r="C98" s="2" t="s">
        <v>114</v>
      </c>
      <c r="D98" s="2">
        <f>Assumptions!D139</f>
        <v>0</v>
      </c>
      <c r="E98" s="23" t="s">
        <v>813</v>
      </c>
      <c r="G98" s="83">
        <f>Assumptions!I177</f>
        <v>0</v>
      </c>
      <c r="H98" s="83">
        <f>G98*(1+Assumptions!$H$184)</f>
        <v>0</v>
      </c>
      <c r="I98" s="83">
        <f>H98*(1+Assumptions!$H$184)</f>
        <v>0</v>
      </c>
      <c r="J98" s="83">
        <f>I98*(1+Assumptions!$H$184)</f>
        <v>0</v>
      </c>
      <c r="K98" s="83">
        <f>J98*(1+Assumptions!$H$184)</f>
        <v>0</v>
      </c>
      <c r="L98" s="83">
        <f>K98*(1+Assumptions!$H$184)</f>
        <v>0</v>
      </c>
      <c r="M98" s="83">
        <f>L98*(1+Assumptions!$H$184)</f>
        <v>0</v>
      </c>
      <c r="N98" s="83">
        <f>M98*(1+Assumptions!$H$184)</f>
        <v>0</v>
      </c>
      <c r="O98" s="83">
        <f>N98*(1+Assumptions!$H$184)</f>
        <v>0</v>
      </c>
      <c r="P98" s="83">
        <f>O98*(1+Assumptions!$H$184)</f>
        <v>0</v>
      </c>
      <c r="Q98" s="83">
        <f>P98*(1+Assumptions!$H$184)</f>
        <v>0</v>
      </c>
      <c r="R98" s="83">
        <f>Q98*(1+Assumptions!$H$184)</f>
        <v>0</v>
      </c>
      <c r="S98" s="83">
        <f>R98*(1+Assumptions!$H$184)</f>
        <v>0</v>
      </c>
      <c r="T98" s="83">
        <f>S98*(1+Assumptions!$H$184)</f>
        <v>0</v>
      </c>
      <c r="U98" s="83">
        <f>T98*(1+Assumptions!$H$184)</f>
        <v>0</v>
      </c>
      <c r="V98" s="83">
        <f>U98*(1+Assumptions!$H$184)</f>
        <v>0</v>
      </c>
      <c r="W98" s="83">
        <f>V98*(1+Assumptions!$H$184)</f>
        <v>0</v>
      </c>
      <c r="X98" s="83">
        <f>W98*(1+Assumptions!$H$184)</f>
        <v>0</v>
      </c>
      <c r="Y98" s="83">
        <f>X98*(1+Assumptions!$H$184)</f>
        <v>0</v>
      </c>
      <c r="Z98" s="83">
        <f>Y98*(1+Assumptions!$H$184)</f>
        <v>0</v>
      </c>
      <c r="AA98" s="83">
        <f>Z98*(1+Assumptions!$H$184)</f>
        <v>0</v>
      </c>
    </row>
    <row r="99" spans="1:27" x14ac:dyDescent="0.45">
      <c r="A99" s="32"/>
      <c r="B99" s="4"/>
      <c r="C99" s="2" t="s">
        <v>114</v>
      </c>
      <c r="D99" s="2">
        <f>Assumptions!D140</f>
        <v>0</v>
      </c>
      <c r="E99" s="23" t="s">
        <v>813</v>
      </c>
      <c r="G99" s="83">
        <f>Assumptions!I178</f>
        <v>0</v>
      </c>
      <c r="H99" s="83">
        <f>G99*(1+Assumptions!$H$184)</f>
        <v>0</v>
      </c>
      <c r="I99" s="83">
        <f>H99*(1+Assumptions!$H$184)</f>
        <v>0</v>
      </c>
      <c r="J99" s="83">
        <f>I99*(1+Assumptions!$H$184)</f>
        <v>0</v>
      </c>
      <c r="K99" s="83">
        <f>J99*(1+Assumptions!$H$184)</f>
        <v>0</v>
      </c>
      <c r="L99" s="83">
        <f>K99*(1+Assumptions!$H$184)</f>
        <v>0</v>
      </c>
      <c r="M99" s="83">
        <f>L99*(1+Assumptions!$H$184)</f>
        <v>0</v>
      </c>
      <c r="N99" s="83">
        <f>M99*(1+Assumptions!$H$184)</f>
        <v>0</v>
      </c>
      <c r="O99" s="83">
        <f>N99*(1+Assumptions!$H$184)</f>
        <v>0</v>
      </c>
      <c r="P99" s="83">
        <f>O99*(1+Assumptions!$H$184)</f>
        <v>0</v>
      </c>
      <c r="Q99" s="83">
        <f>P99*(1+Assumptions!$H$184)</f>
        <v>0</v>
      </c>
      <c r="R99" s="83">
        <f>Q99*(1+Assumptions!$H$184)</f>
        <v>0</v>
      </c>
      <c r="S99" s="83">
        <f>R99*(1+Assumptions!$H$184)</f>
        <v>0</v>
      </c>
      <c r="T99" s="83">
        <f>S99*(1+Assumptions!$H$184)</f>
        <v>0</v>
      </c>
      <c r="U99" s="83">
        <f>T99*(1+Assumptions!$H$184)</f>
        <v>0</v>
      </c>
      <c r="V99" s="83">
        <f>U99*(1+Assumptions!$H$184)</f>
        <v>0</v>
      </c>
      <c r="W99" s="83">
        <f>V99*(1+Assumptions!$H$184)</f>
        <v>0</v>
      </c>
      <c r="X99" s="83">
        <f>W99*(1+Assumptions!$H$184)</f>
        <v>0</v>
      </c>
      <c r="Y99" s="83">
        <f>X99*(1+Assumptions!$H$184)</f>
        <v>0</v>
      </c>
      <c r="Z99" s="83">
        <f>Y99*(1+Assumptions!$H$184)</f>
        <v>0</v>
      </c>
      <c r="AA99" s="83">
        <f>Z99*(1+Assumptions!$H$184)</f>
        <v>0</v>
      </c>
    </row>
    <row r="100" spans="1:27" x14ac:dyDescent="0.45">
      <c r="A100" s="32"/>
      <c r="B100" s="4"/>
      <c r="C100" s="2" t="s">
        <v>114</v>
      </c>
      <c r="D100" s="2">
        <f>Assumptions!D141</f>
        <v>0</v>
      </c>
      <c r="E100" s="23" t="s">
        <v>813</v>
      </c>
      <c r="G100" s="83">
        <f>Assumptions!I179</f>
        <v>0</v>
      </c>
      <c r="H100" s="83">
        <f>G100*(1+Assumptions!$H$184)</f>
        <v>0</v>
      </c>
      <c r="I100" s="83">
        <f>H100*(1+Assumptions!$H$184)</f>
        <v>0</v>
      </c>
      <c r="J100" s="83">
        <f>I100*(1+Assumptions!$H$184)</f>
        <v>0</v>
      </c>
      <c r="K100" s="83">
        <f>J100*(1+Assumptions!$H$184)</f>
        <v>0</v>
      </c>
      <c r="L100" s="83">
        <f>K100*(1+Assumptions!$H$184)</f>
        <v>0</v>
      </c>
      <c r="M100" s="83">
        <f>L100*(1+Assumptions!$H$184)</f>
        <v>0</v>
      </c>
      <c r="N100" s="83">
        <f>M100*(1+Assumptions!$H$184)</f>
        <v>0</v>
      </c>
      <c r="O100" s="83">
        <f>N100*(1+Assumptions!$H$184)</f>
        <v>0</v>
      </c>
      <c r="P100" s="83">
        <f>O100*(1+Assumptions!$H$184)</f>
        <v>0</v>
      </c>
      <c r="Q100" s="83">
        <f>P100*(1+Assumptions!$H$184)</f>
        <v>0</v>
      </c>
      <c r="R100" s="83">
        <f>Q100*(1+Assumptions!$H$184)</f>
        <v>0</v>
      </c>
      <c r="S100" s="83">
        <f>R100*(1+Assumptions!$H$184)</f>
        <v>0</v>
      </c>
      <c r="T100" s="83">
        <f>S100*(1+Assumptions!$H$184)</f>
        <v>0</v>
      </c>
      <c r="U100" s="83">
        <f>T100*(1+Assumptions!$H$184)</f>
        <v>0</v>
      </c>
      <c r="V100" s="83">
        <f>U100*(1+Assumptions!$H$184)</f>
        <v>0</v>
      </c>
      <c r="W100" s="83">
        <f>V100*(1+Assumptions!$H$184)</f>
        <v>0</v>
      </c>
      <c r="X100" s="83">
        <f>W100*(1+Assumptions!$H$184)</f>
        <v>0</v>
      </c>
      <c r="Y100" s="83">
        <f>X100*(1+Assumptions!$H$184)</f>
        <v>0</v>
      </c>
      <c r="Z100" s="83">
        <f>Y100*(1+Assumptions!$H$184)</f>
        <v>0</v>
      </c>
      <c r="AA100" s="83">
        <f>Z100*(1+Assumptions!$H$184)</f>
        <v>0</v>
      </c>
    </row>
    <row r="101" spans="1:27" x14ac:dyDescent="0.45">
      <c r="A101" s="32"/>
      <c r="B101" s="4"/>
      <c r="C101" s="2" t="s">
        <v>114</v>
      </c>
      <c r="D101" s="2">
        <f>Assumptions!D142</f>
        <v>0</v>
      </c>
      <c r="E101" s="23" t="s">
        <v>813</v>
      </c>
      <c r="G101" s="83">
        <f>Assumptions!I180</f>
        <v>0</v>
      </c>
      <c r="H101" s="83">
        <f>G101*(1+Assumptions!$H$184)</f>
        <v>0</v>
      </c>
      <c r="I101" s="83">
        <f>H101*(1+Assumptions!$H$184)</f>
        <v>0</v>
      </c>
      <c r="J101" s="83">
        <f>I101*(1+Assumptions!$H$184)</f>
        <v>0</v>
      </c>
      <c r="K101" s="83">
        <f>J101*(1+Assumptions!$H$184)</f>
        <v>0</v>
      </c>
      <c r="L101" s="83">
        <f>K101*(1+Assumptions!$H$184)</f>
        <v>0</v>
      </c>
      <c r="M101" s="83">
        <f>L101*(1+Assumptions!$H$184)</f>
        <v>0</v>
      </c>
      <c r="N101" s="83">
        <f>M101*(1+Assumptions!$H$184)</f>
        <v>0</v>
      </c>
      <c r="O101" s="83">
        <f>N101*(1+Assumptions!$H$184)</f>
        <v>0</v>
      </c>
      <c r="P101" s="83">
        <f>O101*(1+Assumptions!$H$184)</f>
        <v>0</v>
      </c>
      <c r="Q101" s="83">
        <f>P101*(1+Assumptions!$H$184)</f>
        <v>0</v>
      </c>
      <c r="R101" s="83">
        <f>Q101*(1+Assumptions!$H$184)</f>
        <v>0</v>
      </c>
      <c r="S101" s="83">
        <f>R101*(1+Assumptions!$H$184)</f>
        <v>0</v>
      </c>
      <c r="T101" s="83">
        <f>S101*(1+Assumptions!$H$184)</f>
        <v>0</v>
      </c>
      <c r="U101" s="83">
        <f>T101*(1+Assumptions!$H$184)</f>
        <v>0</v>
      </c>
      <c r="V101" s="83">
        <f>U101*(1+Assumptions!$H$184)</f>
        <v>0</v>
      </c>
      <c r="W101" s="83">
        <f>V101*(1+Assumptions!$H$184)</f>
        <v>0</v>
      </c>
      <c r="X101" s="83">
        <f>W101*(1+Assumptions!$H$184)</f>
        <v>0</v>
      </c>
      <c r="Y101" s="83">
        <f>X101*(1+Assumptions!$H$184)</f>
        <v>0</v>
      </c>
      <c r="Z101" s="83">
        <f>Y101*(1+Assumptions!$H$184)</f>
        <v>0</v>
      </c>
      <c r="AA101" s="83">
        <f>Z101*(1+Assumptions!$H$184)</f>
        <v>0</v>
      </c>
    </row>
    <row r="102" spans="1:27" x14ac:dyDescent="0.45">
      <c r="A102" s="32"/>
      <c r="B102" s="4"/>
      <c r="C102" s="2" t="s">
        <v>114</v>
      </c>
      <c r="D102" s="2">
        <f>Assumptions!D143</f>
        <v>0</v>
      </c>
      <c r="E102" s="23" t="s">
        <v>813</v>
      </c>
      <c r="G102" s="83">
        <f>Assumptions!I181</f>
        <v>0</v>
      </c>
      <c r="H102" s="83">
        <f>G102*(1+Assumptions!$H$184)</f>
        <v>0</v>
      </c>
      <c r="I102" s="83">
        <f>H102*(1+Assumptions!$H$184)</f>
        <v>0</v>
      </c>
      <c r="J102" s="83">
        <f>I102*(1+Assumptions!$H$184)</f>
        <v>0</v>
      </c>
      <c r="K102" s="83">
        <f>J102*(1+Assumptions!$H$184)</f>
        <v>0</v>
      </c>
      <c r="L102" s="83">
        <f>K102*(1+Assumptions!$H$184)</f>
        <v>0</v>
      </c>
      <c r="M102" s="83">
        <f>L102*(1+Assumptions!$H$184)</f>
        <v>0</v>
      </c>
      <c r="N102" s="83">
        <f>M102*(1+Assumptions!$H$184)</f>
        <v>0</v>
      </c>
      <c r="O102" s="83">
        <f>N102*(1+Assumptions!$H$184)</f>
        <v>0</v>
      </c>
      <c r="P102" s="83">
        <f>O102*(1+Assumptions!$H$184)</f>
        <v>0</v>
      </c>
      <c r="Q102" s="83">
        <f>P102*(1+Assumptions!$H$184)</f>
        <v>0</v>
      </c>
      <c r="R102" s="83">
        <f>Q102*(1+Assumptions!$H$184)</f>
        <v>0</v>
      </c>
      <c r="S102" s="83">
        <f>R102*(1+Assumptions!$H$184)</f>
        <v>0</v>
      </c>
      <c r="T102" s="83">
        <f>S102*(1+Assumptions!$H$184)</f>
        <v>0</v>
      </c>
      <c r="U102" s="83">
        <f>T102*(1+Assumptions!$H$184)</f>
        <v>0</v>
      </c>
      <c r="V102" s="83">
        <f>U102*(1+Assumptions!$H$184)</f>
        <v>0</v>
      </c>
      <c r="W102" s="83">
        <f>V102*(1+Assumptions!$H$184)</f>
        <v>0</v>
      </c>
      <c r="X102" s="83">
        <f>W102*(1+Assumptions!$H$184)</f>
        <v>0</v>
      </c>
      <c r="Y102" s="83">
        <f>X102*(1+Assumptions!$H$184)</f>
        <v>0</v>
      </c>
      <c r="Z102" s="83">
        <f>Y102*(1+Assumptions!$H$184)</f>
        <v>0</v>
      </c>
      <c r="AA102" s="83">
        <f>Z102*(1+Assumptions!$H$184)</f>
        <v>0</v>
      </c>
    </row>
    <row r="103" spans="1:27" x14ac:dyDescent="0.45">
      <c r="A103" s="32"/>
      <c r="B103" s="4"/>
      <c r="C103" s="2" t="s">
        <v>114</v>
      </c>
      <c r="D103" s="2">
        <f>Assumptions!D144</f>
        <v>0</v>
      </c>
      <c r="E103" s="23" t="s">
        <v>813</v>
      </c>
      <c r="G103" s="83">
        <f>Assumptions!I182</f>
        <v>0</v>
      </c>
      <c r="H103" s="83">
        <f>G103*(1+Assumptions!$H$184)</f>
        <v>0</v>
      </c>
      <c r="I103" s="83">
        <f>H103*(1+Assumptions!$H$184)</f>
        <v>0</v>
      </c>
      <c r="J103" s="83">
        <f>I103*(1+Assumptions!$H$184)</f>
        <v>0</v>
      </c>
      <c r="K103" s="83">
        <f>J103*(1+Assumptions!$H$184)</f>
        <v>0</v>
      </c>
      <c r="L103" s="83">
        <f>K103*(1+Assumptions!$H$184)</f>
        <v>0</v>
      </c>
      <c r="M103" s="83">
        <f>L103*(1+Assumptions!$H$184)</f>
        <v>0</v>
      </c>
      <c r="N103" s="83">
        <f>M103*(1+Assumptions!$H$184)</f>
        <v>0</v>
      </c>
      <c r="O103" s="83">
        <f>N103*(1+Assumptions!$H$184)</f>
        <v>0</v>
      </c>
      <c r="P103" s="83">
        <f>O103*(1+Assumptions!$H$184)</f>
        <v>0</v>
      </c>
      <c r="Q103" s="83">
        <f>P103*(1+Assumptions!$H$184)</f>
        <v>0</v>
      </c>
      <c r="R103" s="83">
        <f>Q103*(1+Assumptions!$H$184)</f>
        <v>0</v>
      </c>
      <c r="S103" s="83">
        <f>R103*(1+Assumptions!$H$184)</f>
        <v>0</v>
      </c>
      <c r="T103" s="83">
        <f>S103*(1+Assumptions!$H$184)</f>
        <v>0</v>
      </c>
      <c r="U103" s="83">
        <f>T103*(1+Assumptions!$H$184)</f>
        <v>0</v>
      </c>
      <c r="V103" s="83">
        <f>U103*(1+Assumptions!$H$184)</f>
        <v>0</v>
      </c>
      <c r="W103" s="83">
        <f>V103*(1+Assumptions!$H$184)</f>
        <v>0</v>
      </c>
      <c r="X103" s="83">
        <f>W103*(1+Assumptions!$H$184)</f>
        <v>0</v>
      </c>
      <c r="Y103" s="83">
        <f>X103*(1+Assumptions!$H$184)</f>
        <v>0</v>
      </c>
      <c r="Z103" s="83">
        <f>Y103*(1+Assumptions!$H$184)</f>
        <v>0</v>
      </c>
      <c r="AA103" s="83">
        <f>Z103*(1+Assumptions!$H$184)</f>
        <v>0</v>
      </c>
    </row>
    <row r="104" spans="1:27" x14ac:dyDescent="0.45">
      <c r="A104" s="32"/>
      <c r="B104" s="4"/>
      <c r="C104" s="4"/>
      <c r="F104" s="36"/>
    </row>
    <row r="105" spans="1:27" x14ac:dyDescent="0.45">
      <c r="A105" s="32"/>
      <c r="B105" s="4"/>
      <c r="C105" s="2" t="s">
        <v>114</v>
      </c>
      <c r="D105" s="2" t="str">
        <f>D68</f>
        <v>Landscaping</v>
      </c>
      <c r="E105" s="23" t="s">
        <v>806</v>
      </c>
      <c r="F105" s="23"/>
      <c r="G105" s="88">
        <f ca="1">G68*Assumptions!H$18+IF(COLUMN(G105)&lt;=6+Assumptions!$H109,0,OFFSET(G105,,-Assumptions!$H109))</f>
        <v>480801.33555926546</v>
      </c>
      <c r="H105" s="88">
        <f ca="1">H68*Assumptions!I$18+IF(COLUMN(H105)&lt;=6+Assumptions!$H109,0,OFFSET(H105,,-Assumptions!$H109))</f>
        <v>0</v>
      </c>
      <c r="I105" s="88">
        <f ca="1">I68*Assumptions!J$18+IF(COLUMN(I105)&lt;=6+Assumptions!$H109,0,OFFSET(I105,,-Assumptions!$H109))</f>
        <v>0</v>
      </c>
      <c r="J105" s="88">
        <f ca="1">J68*Assumptions!K$18+IF(COLUMN(J105)&lt;=6+Assumptions!$H109,0,OFFSET(J105,,-Assumptions!$H109))</f>
        <v>0</v>
      </c>
      <c r="K105" s="88">
        <f ca="1">K68*Assumptions!L$18+IF(COLUMN(K105)&lt;=6+Assumptions!$H109,0,OFFSET(K105,,-Assumptions!$H109))</f>
        <v>0</v>
      </c>
      <c r="L105" s="88">
        <f ca="1">L68*Assumptions!M$18+IF(COLUMN(L105)&lt;=6+Assumptions!$H109,0,OFFSET(L105,,-Assumptions!$H109))</f>
        <v>0</v>
      </c>
      <c r="M105" s="88">
        <f ca="1">M68*Assumptions!N$18+IF(COLUMN(M105)&lt;=6+Assumptions!$H109,0,OFFSET(M105,,-Assumptions!$H109))</f>
        <v>0</v>
      </c>
      <c r="N105" s="88">
        <f ca="1">N68*Assumptions!O$18+IF(COLUMN(N105)&lt;=6+Assumptions!$H109,0,OFFSET(N105,,-Assumptions!$H109))</f>
        <v>0</v>
      </c>
      <c r="O105" s="88">
        <f ca="1">O68*Assumptions!P$18+IF(COLUMN(O105)&lt;=6+Assumptions!$H109,0,OFFSET(O105,,-Assumptions!$H109))</f>
        <v>0</v>
      </c>
      <c r="P105" s="88">
        <f ca="1">P68*Assumptions!Q$18+IF(COLUMN(P105)&lt;=6+Assumptions!$H109,0,OFFSET(P105,,-Assumptions!$H109))</f>
        <v>0</v>
      </c>
      <c r="Q105" s="88">
        <f ca="1">Q68*Assumptions!R$18+IF(COLUMN(Q105)&lt;=6+Assumptions!$H109,0,OFFSET(Q105,,-Assumptions!$H109))</f>
        <v>0</v>
      </c>
      <c r="R105" s="88">
        <f ca="1">R68*Assumptions!S$18+IF(COLUMN(R105)&lt;=6+Assumptions!$H109,0,OFFSET(R105,,-Assumptions!$H109))</f>
        <v>0</v>
      </c>
      <c r="S105" s="88">
        <f ca="1">S68*Assumptions!T$18+IF(COLUMN(S105)&lt;=6+Assumptions!$H109,0,OFFSET(S105,,-Assumptions!$H109))</f>
        <v>0</v>
      </c>
      <c r="T105" s="88">
        <f ca="1">T68*Assumptions!U$18+IF(COLUMN(T105)&lt;=6+Assumptions!$H109,0,OFFSET(T105,,-Assumptions!$H109))</f>
        <v>0</v>
      </c>
      <c r="U105" s="88">
        <f ca="1">U68*Assumptions!V$18+IF(COLUMN(U105)&lt;=6+Assumptions!$H109,0,OFFSET(U105,,-Assumptions!$H109))</f>
        <v>0</v>
      </c>
      <c r="V105" s="88">
        <f ca="1">V68*Assumptions!W$18+IF(COLUMN(V105)&lt;=6+Assumptions!$H109,0,OFFSET(V105,,-Assumptions!$H109))</f>
        <v>0</v>
      </c>
      <c r="W105" s="88">
        <f ca="1">W68*Assumptions!X$18+IF(COLUMN(W105)&lt;=6+Assumptions!$H109,0,OFFSET(W105,,-Assumptions!$H109))</f>
        <v>0</v>
      </c>
      <c r="X105" s="88">
        <f ca="1">X68*Assumptions!Y$18+IF(COLUMN(X105)&lt;=6+Assumptions!$H109,0,OFFSET(X105,,-Assumptions!$H109))</f>
        <v>0</v>
      </c>
      <c r="Y105" s="88">
        <f ca="1">Y68*Assumptions!Z$18+IF(COLUMN(Y105)&lt;=6+Assumptions!$H109,0,OFFSET(Y105,,-Assumptions!$H109))</f>
        <v>0</v>
      </c>
      <c r="Z105" s="88">
        <f ca="1">Z68*Assumptions!AA$18+IF(COLUMN(Z105)&lt;=6+Assumptions!$H109,0,OFFSET(Z105,,-Assumptions!$H109))</f>
        <v>0</v>
      </c>
      <c r="AA105" s="88">
        <f ca="1">AA68*Assumptions!AB$18+IF(COLUMN(AA105)&lt;=6+Assumptions!$H109,0,OFFSET(AA105,,-Assumptions!$H109))</f>
        <v>0</v>
      </c>
    </row>
    <row r="106" spans="1:27" x14ac:dyDescent="0.45">
      <c r="A106" s="32"/>
      <c r="B106" s="4"/>
      <c r="C106" s="2" t="s">
        <v>114</v>
      </c>
      <c r="D106" s="2" t="str">
        <f t="shared" ref="D106:D134" si="4">D69</f>
        <v>Building</v>
      </c>
      <c r="E106" s="23" t="s">
        <v>806</v>
      </c>
      <c r="F106" s="23"/>
      <c r="G106" s="88">
        <f ca="1">G69*Assumptions!H$18+IF(COLUMN(G106)&lt;=6+Assumptions!$H110,0,OFFSET(G106,,-Assumptions!$H110))</f>
        <v>200333.88981636061</v>
      </c>
      <c r="H106" s="88">
        <f ca="1">H69*Assumptions!I$18+IF(COLUMN(H106)&lt;=6+Assumptions!$H110,0,OFFSET(H106,,-Assumptions!$H110))</f>
        <v>0</v>
      </c>
      <c r="I106" s="88">
        <f ca="1">I69*Assumptions!J$18+IF(COLUMN(I106)&lt;=6+Assumptions!$H110,0,OFFSET(I106,,-Assumptions!$H110))</f>
        <v>0</v>
      </c>
      <c r="J106" s="88">
        <f ca="1">J69*Assumptions!K$18+IF(COLUMN(J106)&lt;=6+Assumptions!$H110,0,OFFSET(J106,,-Assumptions!$H110))</f>
        <v>0</v>
      </c>
      <c r="K106" s="88">
        <f ca="1">K69*Assumptions!L$18+IF(COLUMN(K106)&lt;=6+Assumptions!$H110,0,OFFSET(K106,,-Assumptions!$H110))</f>
        <v>0</v>
      </c>
      <c r="L106" s="88">
        <f ca="1">L69*Assumptions!M$18+IF(COLUMN(L106)&lt;=6+Assumptions!$H110,0,OFFSET(L106,,-Assumptions!$H110))</f>
        <v>0</v>
      </c>
      <c r="M106" s="88">
        <f ca="1">M69*Assumptions!N$18+IF(COLUMN(M106)&lt;=6+Assumptions!$H110,0,OFFSET(M106,,-Assumptions!$H110))</f>
        <v>0</v>
      </c>
      <c r="N106" s="88">
        <f ca="1">N69*Assumptions!O$18+IF(COLUMN(N106)&lt;=6+Assumptions!$H110,0,OFFSET(N106,,-Assumptions!$H110))</f>
        <v>0</v>
      </c>
      <c r="O106" s="88">
        <f ca="1">O69*Assumptions!P$18+IF(COLUMN(O106)&lt;=6+Assumptions!$H110,0,OFFSET(O106,,-Assumptions!$H110))</f>
        <v>0</v>
      </c>
      <c r="P106" s="88">
        <f ca="1">P69*Assumptions!Q$18+IF(COLUMN(P106)&lt;=6+Assumptions!$H110,0,OFFSET(P106,,-Assumptions!$H110))</f>
        <v>0</v>
      </c>
      <c r="Q106" s="88">
        <f ca="1">Q69*Assumptions!R$18+IF(COLUMN(Q106)&lt;=6+Assumptions!$H110,0,OFFSET(Q106,,-Assumptions!$H110))</f>
        <v>0</v>
      </c>
      <c r="R106" s="88">
        <f ca="1">R69*Assumptions!S$18+IF(COLUMN(R106)&lt;=6+Assumptions!$H110,0,OFFSET(R106,,-Assumptions!$H110))</f>
        <v>0</v>
      </c>
      <c r="S106" s="88">
        <f ca="1">S69*Assumptions!T$18+IF(COLUMN(S106)&lt;=6+Assumptions!$H110,0,OFFSET(S106,,-Assumptions!$H110))</f>
        <v>0</v>
      </c>
      <c r="T106" s="88">
        <f ca="1">T69*Assumptions!U$18+IF(COLUMN(T106)&lt;=6+Assumptions!$H110,0,OFFSET(T106,,-Assumptions!$H110))</f>
        <v>0</v>
      </c>
      <c r="U106" s="88">
        <f ca="1">U69*Assumptions!V$18+IF(COLUMN(U106)&lt;=6+Assumptions!$H110,0,OFFSET(U106,,-Assumptions!$H110))</f>
        <v>0</v>
      </c>
      <c r="V106" s="88">
        <f ca="1">V69*Assumptions!W$18+IF(COLUMN(V106)&lt;=6+Assumptions!$H110,0,OFFSET(V106,,-Assumptions!$H110))</f>
        <v>0</v>
      </c>
      <c r="W106" s="88">
        <f ca="1">W69*Assumptions!X$18+IF(COLUMN(W106)&lt;=6+Assumptions!$H110,0,OFFSET(W106,,-Assumptions!$H110))</f>
        <v>0</v>
      </c>
      <c r="X106" s="88">
        <f ca="1">X69*Assumptions!Y$18+IF(COLUMN(X106)&lt;=6+Assumptions!$H110,0,OFFSET(X106,,-Assumptions!$H110))</f>
        <v>0</v>
      </c>
      <c r="Y106" s="88">
        <f ca="1">Y69*Assumptions!Z$18+IF(COLUMN(Y106)&lt;=6+Assumptions!$H110,0,OFFSET(Y106,,-Assumptions!$H110))</f>
        <v>0</v>
      </c>
      <c r="Z106" s="88">
        <f ca="1">Z69*Assumptions!AA$18+IF(COLUMN(Z106)&lt;=6+Assumptions!$H110,0,OFFSET(Z106,,-Assumptions!$H110))</f>
        <v>0</v>
      </c>
      <c r="AA106" s="88">
        <f ca="1">AA69*Assumptions!AB$18+IF(COLUMN(AA106)&lt;=6+Assumptions!$H110,0,OFFSET(AA106,,-Assumptions!$H110))</f>
        <v>0</v>
      </c>
    </row>
    <row r="107" spans="1:27" x14ac:dyDescent="0.45">
      <c r="A107" s="32"/>
      <c r="B107" s="4"/>
      <c r="C107" s="2" t="s">
        <v>114</v>
      </c>
      <c r="D107" s="2" t="str">
        <f t="shared" si="4"/>
        <v>Storage</v>
      </c>
      <c r="E107" s="23" t="s">
        <v>806</v>
      </c>
      <c r="F107" s="23"/>
      <c r="G107" s="88">
        <f ca="1">G70*Assumptions!H$18+IF(COLUMN(G107)&lt;=6+Assumptions!$H111,0,OFFSET(G107,,-Assumptions!$H111))</f>
        <v>56093.489148580971</v>
      </c>
      <c r="H107" s="88">
        <f ca="1">H70*Assumptions!I$18+IF(COLUMN(H107)&lt;=6+Assumptions!$H111,0,OFFSET(H107,,-Assumptions!$H111))</f>
        <v>0</v>
      </c>
      <c r="I107" s="88">
        <f ca="1">I70*Assumptions!J$18+IF(COLUMN(I107)&lt;=6+Assumptions!$H111,0,OFFSET(I107,,-Assumptions!$H111))</f>
        <v>0</v>
      </c>
      <c r="J107" s="88">
        <f ca="1">J70*Assumptions!K$18+IF(COLUMN(J107)&lt;=6+Assumptions!$H111,0,OFFSET(J107,,-Assumptions!$H111))</f>
        <v>0</v>
      </c>
      <c r="K107" s="88">
        <f ca="1">K70*Assumptions!L$18+IF(COLUMN(K107)&lt;=6+Assumptions!$H111,0,OFFSET(K107,,-Assumptions!$H111))</f>
        <v>0</v>
      </c>
      <c r="L107" s="88">
        <f ca="1">L70*Assumptions!M$18+IF(COLUMN(L107)&lt;=6+Assumptions!$H111,0,OFFSET(L107,,-Assumptions!$H111))</f>
        <v>0</v>
      </c>
      <c r="M107" s="88">
        <f ca="1">M70*Assumptions!N$18+IF(COLUMN(M107)&lt;=6+Assumptions!$H111,0,OFFSET(M107,,-Assumptions!$H111))</f>
        <v>0</v>
      </c>
      <c r="N107" s="88">
        <f ca="1">N70*Assumptions!O$18+IF(COLUMN(N107)&lt;=6+Assumptions!$H111,0,OFFSET(N107,,-Assumptions!$H111))</f>
        <v>0</v>
      </c>
      <c r="O107" s="88">
        <f ca="1">O70*Assumptions!P$18+IF(COLUMN(O107)&lt;=6+Assumptions!$H111,0,OFFSET(O107,,-Assumptions!$H111))</f>
        <v>0</v>
      </c>
      <c r="P107" s="88">
        <f ca="1">P70*Assumptions!Q$18+IF(COLUMN(P107)&lt;=6+Assumptions!$H111,0,OFFSET(P107,,-Assumptions!$H111))</f>
        <v>0</v>
      </c>
      <c r="Q107" s="88">
        <f ca="1">Q70*Assumptions!R$18+IF(COLUMN(Q107)&lt;=6+Assumptions!$H111,0,OFFSET(Q107,,-Assumptions!$H111))</f>
        <v>0</v>
      </c>
      <c r="R107" s="88">
        <f ca="1">R70*Assumptions!S$18+IF(COLUMN(R107)&lt;=6+Assumptions!$H111,0,OFFSET(R107,,-Assumptions!$H111))</f>
        <v>0</v>
      </c>
      <c r="S107" s="88">
        <f ca="1">S70*Assumptions!T$18+IF(COLUMN(S107)&lt;=6+Assumptions!$H111,0,OFFSET(S107,,-Assumptions!$H111))</f>
        <v>0</v>
      </c>
      <c r="T107" s="88">
        <f ca="1">T70*Assumptions!U$18+IF(COLUMN(T107)&lt;=6+Assumptions!$H111,0,OFFSET(T107,,-Assumptions!$H111))</f>
        <v>0</v>
      </c>
      <c r="U107" s="88">
        <f ca="1">U70*Assumptions!V$18+IF(COLUMN(U107)&lt;=6+Assumptions!$H111,0,OFFSET(U107,,-Assumptions!$H111))</f>
        <v>0</v>
      </c>
      <c r="V107" s="88">
        <f ca="1">V70*Assumptions!W$18+IF(COLUMN(V107)&lt;=6+Assumptions!$H111,0,OFFSET(V107,,-Assumptions!$H111))</f>
        <v>0</v>
      </c>
      <c r="W107" s="88">
        <f ca="1">W70*Assumptions!X$18+IF(COLUMN(W107)&lt;=6+Assumptions!$H111,0,OFFSET(W107,,-Assumptions!$H111))</f>
        <v>0</v>
      </c>
      <c r="X107" s="88">
        <f ca="1">X70*Assumptions!Y$18+IF(COLUMN(X107)&lt;=6+Assumptions!$H111,0,OFFSET(X107,,-Assumptions!$H111))</f>
        <v>0</v>
      </c>
      <c r="Y107" s="88">
        <f ca="1">Y70*Assumptions!Z$18+IF(COLUMN(Y107)&lt;=6+Assumptions!$H111,0,OFFSET(Y107,,-Assumptions!$H111))</f>
        <v>0</v>
      </c>
      <c r="Z107" s="88">
        <f ca="1">Z70*Assumptions!AA$18+IF(COLUMN(Z107)&lt;=6+Assumptions!$H111,0,OFFSET(Z107,,-Assumptions!$H111))</f>
        <v>0</v>
      </c>
      <c r="AA107" s="88">
        <f ca="1">AA70*Assumptions!AB$18+IF(COLUMN(AA107)&lt;=6+Assumptions!$H111,0,OFFSET(AA107,,-Assumptions!$H111))</f>
        <v>0</v>
      </c>
    </row>
    <row r="108" spans="1:27" x14ac:dyDescent="0.45">
      <c r="A108" s="32"/>
      <c r="B108" s="4"/>
      <c r="C108" s="2" t="s">
        <v>114</v>
      </c>
      <c r="D108" s="2" t="str">
        <f t="shared" si="4"/>
        <v>Water System</v>
      </c>
      <c r="E108" s="23" t="s">
        <v>806</v>
      </c>
      <c r="F108" s="23"/>
      <c r="G108" s="88">
        <f ca="1">G71*Assumptions!H$18+IF(COLUMN(G108)&lt;=6+Assumptions!$H112,0,OFFSET(G108,,-Assumptions!$H112))</f>
        <v>56093.489148580971</v>
      </c>
      <c r="H108" s="88">
        <f ca="1">H71*Assumptions!I$18+IF(COLUMN(H108)&lt;=6+Assumptions!$H112,0,OFFSET(H108,,-Assumptions!$H112))</f>
        <v>0</v>
      </c>
      <c r="I108" s="88">
        <f ca="1">I71*Assumptions!J$18+IF(COLUMN(I108)&lt;=6+Assumptions!$H112,0,OFFSET(I108,,-Assumptions!$H112))</f>
        <v>0</v>
      </c>
      <c r="J108" s="88">
        <f ca="1">J71*Assumptions!K$18+IF(COLUMN(J108)&lt;=6+Assumptions!$H112,0,OFFSET(J108,,-Assumptions!$H112))</f>
        <v>0</v>
      </c>
      <c r="K108" s="88">
        <f ca="1">K71*Assumptions!L$18+IF(COLUMN(K108)&lt;=6+Assumptions!$H112,0,OFFSET(K108,,-Assumptions!$H112))</f>
        <v>0</v>
      </c>
      <c r="L108" s="88">
        <f ca="1">L71*Assumptions!M$18+IF(COLUMN(L108)&lt;=6+Assumptions!$H112,0,OFFSET(L108,,-Assumptions!$H112))</f>
        <v>0</v>
      </c>
      <c r="M108" s="88">
        <f ca="1">M71*Assumptions!N$18+IF(COLUMN(M108)&lt;=6+Assumptions!$H112,0,OFFSET(M108,,-Assumptions!$H112))</f>
        <v>0</v>
      </c>
      <c r="N108" s="88">
        <f ca="1">N71*Assumptions!O$18+IF(COLUMN(N108)&lt;=6+Assumptions!$H112,0,OFFSET(N108,,-Assumptions!$H112))</f>
        <v>0</v>
      </c>
      <c r="O108" s="88">
        <f ca="1">O71*Assumptions!P$18+IF(COLUMN(O108)&lt;=6+Assumptions!$H112,0,OFFSET(O108,,-Assumptions!$H112))</f>
        <v>0</v>
      </c>
      <c r="P108" s="88">
        <f ca="1">P71*Assumptions!Q$18+IF(COLUMN(P108)&lt;=6+Assumptions!$H112,0,OFFSET(P108,,-Assumptions!$H112))</f>
        <v>0</v>
      </c>
      <c r="Q108" s="88">
        <f ca="1">Q71*Assumptions!R$18+IF(COLUMN(Q108)&lt;=6+Assumptions!$H112,0,OFFSET(Q108,,-Assumptions!$H112))</f>
        <v>0</v>
      </c>
      <c r="R108" s="88">
        <f ca="1">R71*Assumptions!S$18+IF(COLUMN(R108)&lt;=6+Assumptions!$H112,0,OFFSET(R108,,-Assumptions!$H112))</f>
        <v>0</v>
      </c>
      <c r="S108" s="88">
        <f ca="1">S71*Assumptions!T$18+IF(COLUMN(S108)&lt;=6+Assumptions!$H112,0,OFFSET(S108,,-Assumptions!$H112))</f>
        <v>0</v>
      </c>
      <c r="T108" s="88">
        <f ca="1">T71*Assumptions!U$18+IF(COLUMN(T108)&lt;=6+Assumptions!$H112,0,OFFSET(T108,,-Assumptions!$H112))</f>
        <v>0</v>
      </c>
      <c r="U108" s="88">
        <f ca="1">U71*Assumptions!V$18+IF(COLUMN(U108)&lt;=6+Assumptions!$H112,0,OFFSET(U108,,-Assumptions!$H112))</f>
        <v>0</v>
      </c>
      <c r="V108" s="88">
        <f ca="1">V71*Assumptions!W$18+IF(COLUMN(V108)&lt;=6+Assumptions!$H112,0,OFFSET(V108,,-Assumptions!$H112))</f>
        <v>0</v>
      </c>
      <c r="W108" s="88">
        <f ca="1">W71*Assumptions!X$18+IF(COLUMN(W108)&lt;=6+Assumptions!$H112,0,OFFSET(W108,,-Assumptions!$H112))</f>
        <v>0</v>
      </c>
      <c r="X108" s="88">
        <f ca="1">X71*Assumptions!Y$18+IF(COLUMN(X108)&lt;=6+Assumptions!$H112,0,OFFSET(X108,,-Assumptions!$H112))</f>
        <v>0</v>
      </c>
      <c r="Y108" s="88">
        <f ca="1">Y71*Assumptions!Z$18+IF(COLUMN(Y108)&lt;=6+Assumptions!$H112,0,OFFSET(Y108,,-Assumptions!$H112))</f>
        <v>0</v>
      </c>
      <c r="Z108" s="88">
        <f ca="1">Z71*Assumptions!AA$18+IF(COLUMN(Z108)&lt;=6+Assumptions!$H112,0,OFFSET(Z108,,-Assumptions!$H112))</f>
        <v>0</v>
      </c>
      <c r="AA108" s="88">
        <f ca="1">AA71*Assumptions!AB$18+IF(COLUMN(AA108)&lt;=6+Assumptions!$H112,0,OFFSET(AA108,,-Assumptions!$H112))</f>
        <v>0</v>
      </c>
    </row>
    <row r="109" spans="1:27" x14ac:dyDescent="0.45">
      <c r="A109" s="32"/>
      <c r="B109" s="4"/>
      <c r="C109" s="2" t="s">
        <v>114</v>
      </c>
      <c r="D109" s="2" t="str">
        <f t="shared" si="4"/>
        <v>Electricity</v>
      </c>
      <c r="E109" s="23" t="s">
        <v>806</v>
      </c>
      <c r="F109" s="23"/>
      <c r="G109" s="88">
        <f ca="1">G72*Assumptions!H$18+IF(COLUMN(G109)&lt;=6+Assumptions!$H113,0,OFFSET(G109,,-Assumptions!$H113))</f>
        <v>24040.066777963271</v>
      </c>
      <c r="H109" s="88">
        <f ca="1">H72*Assumptions!I$18+IF(COLUMN(H109)&lt;=6+Assumptions!$H113,0,OFFSET(H109,,-Assumptions!$H113))</f>
        <v>0</v>
      </c>
      <c r="I109" s="88">
        <f ca="1">I72*Assumptions!J$18+IF(COLUMN(I109)&lt;=6+Assumptions!$H113,0,OFFSET(I109,,-Assumptions!$H113))</f>
        <v>0</v>
      </c>
      <c r="J109" s="88">
        <f ca="1">J72*Assumptions!K$18+IF(COLUMN(J109)&lt;=6+Assumptions!$H113,0,OFFSET(J109,,-Assumptions!$H113))</f>
        <v>0</v>
      </c>
      <c r="K109" s="88">
        <f ca="1">K72*Assumptions!L$18+IF(COLUMN(K109)&lt;=6+Assumptions!$H113,0,OFFSET(K109,,-Assumptions!$H113))</f>
        <v>0</v>
      </c>
      <c r="L109" s="88">
        <f ca="1">L72*Assumptions!M$18+IF(COLUMN(L109)&lt;=6+Assumptions!$H113,0,OFFSET(L109,,-Assumptions!$H113))</f>
        <v>0</v>
      </c>
      <c r="M109" s="88">
        <f ca="1">M72*Assumptions!N$18+IF(COLUMN(M109)&lt;=6+Assumptions!$H113,0,OFFSET(M109,,-Assumptions!$H113))</f>
        <v>0</v>
      </c>
      <c r="N109" s="88">
        <f ca="1">N72*Assumptions!O$18+IF(COLUMN(N109)&lt;=6+Assumptions!$H113,0,OFFSET(N109,,-Assumptions!$H113))</f>
        <v>0</v>
      </c>
      <c r="O109" s="88">
        <f ca="1">O72*Assumptions!P$18+IF(COLUMN(O109)&lt;=6+Assumptions!$H113,0,OFFSET(O109,,-Assumptions!$H113))</f>
        <v>0</v>
      </c>
      <c r="P109" s="88">
        <f ca="1">P72*Assumptions!Q$18+IF(COLUMN(P109)&lt;=6+Assumptions!$H113,0,OFFSET(P109,,-Assumptions!$H113))</f>
        <v>0</v>
      </c>
      <c r="Q109" s="88">
        <f ca="1">Q72*Assumptions!R$18+IF(COLUMN(Q109)&lt;=6+Assumptions!$H113,0,OFFSET(Q109,,-Assumptions!$H113))</f>
        <v>0</v>
      </c>
      <c r="R109" s="88">
        <f ca="1">R72*Assumptions!S$18+IF(COLUMN(R109)&lt;=6+Assumptions!$H113,0,OFFSET(R109,,-Assumptions!$H113))</f>
        <v>0</v>
      </c>
      <c r="S109" s="88">
        <f ca="1">S72*Assumptions!T$18+IF(COLUMN(S109)&lt;=6+Assumptions!$H113,0,OFFSET(S109,,-Assumptions!$H113))</f>
        <v>0</v>
      </c>
      <c r="T109" s="88">
        <f ca="1">T72*Assumptions!U$18+IF(COLUMN(T109)&lt;=6+Assumptions!$H113,0,OFFSET(T109,,-Assumptions!$H113))</f>
        <v>0</v>
      </c>
      <c r="U109" s="88">
        <f ca="1">U72*Assumptions!V$18+IF(COLUMN(U109)&lt;=6+Assumptions!$H113,0,OFFSET(U109,,-Assumptions!$H113))</f>
        <v>0</v>
      </c>
      <c r="V109" s="88">
        <f ca="1">V72*Assumptions!W$18+IF(COLUMN(V109)&lt;=6+Assumptions!$H113,0,OFFSET(V109,,-Assumptions!$H113))</f>
        <v>0</v>
      </c>
      <c r="W109" s="88">
        <f ca="1">W72*Assumptions!X$18+IF(COLUMN(W109)&lt;=6+Assumptions!$H113,0,OFFSET(W109,,-Assumptions!$H113))</f>
        <v>0</v>
      </c>
      <c r="X109" s="88">
        <f ca="1">X72*Assumptions!Y$18+IF(COLUMN(X109)&lt;=6+Assumptions!$H113,0,OFFSET(X109,,-Assumptions!$H113))</f>
        <v>0</v>
      </c>
      <c r="Y109" s="88">
        <f ca="1">Y72*Assumptions!Z$18+IF(COLUMN(Y109)&lt;=6+Assumptions!$H113,0,OFFSET(Y109,,-Assumptions!$H113))</f>
        <v>0</v>
      </c>
      <c r="Z109" s="88">
        <f ca="1">Z72*Assumptions!AA$18+IF(COLUMN(Z109)&lt;=6+Assumptions!$H113,0,OFFSET(Z109,,-Assumptions!$H113))</f>
        <v>0</v>
      </c>
      <c r="AA109" s="88">
        <f ca="1">AA72*Assumptions!AB$18+IF(COLUMN(AA109)&lt;=6+Assumptions!$H113,0,OFFSET(AA109,,-Assumptions!$H113))</f>
        <v>0</v>
      </c>
    </row>
    <row r="110" spans="1:27" x14ac:dyDescent="0.45">
      <c r="A110" s="32"/>
      <c r="B110" s="4"/>
      <c r="C110" s="2" t="s">
        <v>114</v>
      </c>
      <c r="D110" s="2" t="str">
        <f t="shared" si="4"/>
        <v>Waste Management</v>
      </c>
      <c r="E110" s="23" t="s">
        <v>806</v>
      </c>
      <c r="F110" s="23"/>
      <c r="G110" s="88">
        <f ca="1">G73*Assumptions!H$18+IF(COLUMN(G110)&lt;=6+Assumptions!$H114,0,OFFSET(G110,,-Assumptions!$H114))</f>
        <v>24040.066777963271</v>
      </c>
      <c r="H110" s="88">
        <f ca="1">H73*Assumptions!I$18+IF(COLUMN(H110)&lt;=6+Assumptions!$H114,0,OFFSET(H110,,-Assumptions!$H114))</f>
        <v>0</v>
      </c>
      <c r="I110" s="88">
        <f ca="1">I73*Assumptions!J$18+IF(COLUMN(I110)&lt;=6+Assumptions!$H114,0,OFFSET(I110,,-Assumptions!$H114))</f>
        <v>0</v>
      </c>
      <c r="J110" s="88">
        <f ca="1">J73*Assumptions!K$18+IF(COLUMN(J110)&lt;=6+Assumptions!$H114,0,OFFSET(J110,,-Assumptions!$H114))</f>
        <v>0</v>
      </c>
      <c r="K110" s="88">
        <f ca="1">K73*Assumptions!L$18+IF(COLUMN(K110)&lt;=6+Assumptions!$H114,0,OFFSET(K110,,-Assumptions!$H114))</f>
        <v>0</v>
      </c>
      <c r="L110" s="88">
        <f ca="1">L73*Assumptions!M$18+IF(COLUMN(L110)&lt;=6+Assumptions!$H114,0,OFFSET(L110,,-Assumptions!$H114))</f>
        <v>0</v>
      </c>
      <c r="M110" s="88">
        <f ca="1">M73*Assumptions!N$18+IF(COLUMN(M110)&lt;=6+Assumptions!$H114,0,OFFSET(M110,,-Assumptions!$H114))</f>
        <v>0</v>
      </c>
      <c r="N110" s="88">
        <f ca="1">N73*Assumptions!O$18+IF(COLUMN(N110)&lt;=6+Assumptions!$H114,0,OFFSET(N110,,-Assumptions!$H114))</f>
        <v>0</v>
      </c>
      <c r="O110" s="88">
        <f ca="1">O73*Assumptions!P$18+IF(COLUMN(O110)&lt;=6+Assumptions!$H114,0,OFFSET(O110,,-Assumptions!$H114))</f>
        <v>0</v>
      </c>
      <c r="P110" s="88">
        <f ca="1">P73*Assumptions!Q$18+IF(COLUMN(P110)&lt;=6+Assumptions!$H114,0,OFFSET(P110,,-Assumptions!$H114))</f>
        <v>0</v>
      </c>
      <c r="Q110" s="88">
        <f ca="1">Q73*Assumptions!R$18+IF(COLUMN(Q110)&lt;=6+Assumptions!$H114,0,OFFSET(Q110,,-Assumptions!$H114))</f>
        <v>0</v>
      </c>
      <c r="R110" s="88">
        <f ca="1">R73*Assumptions!S$18+IF(COLUMN(R110)&lt;=6+Assumptions!$H114,0,OFFSET(R110,,-Assumptions!$H114))</f>
        <v>0</v>
      </c>
      <c r="S110" s="88">
        <f ca="1">S73*Assumptions!T$18+IF(COLUMN(S110)&lt;=6+Assumptions!$H114,0,OFFSET(S110,,-Assumptions!$H114))</f>
        <v>0</v>
      </c>
      <c r="T110" s="88">
        <f ca="1">T73*Assumptions!U$18+IF(COLUMN(T110)&lt;=6+Assumptions!$H114,0,OFFSET(T110,,-Assumptions!$H114))</f>
        <v>0</v>
      </c>
      <c r="U110" s="88">
        <f ca="1">U73*Assumptions!V$18+IF(COLUMN(U110)&lt;=6+Assumptions!$H114,0,OFFSET(U110,,-Assumptions!$H114))</f>
        <v>0</v>
      </c>
      <c r="V110" s="88">
        <f ca="1">V73*Assumptions!W$18+IF(COLUMN(V110)&lt;=6+Assumptions!$H114,0,OFFSET(V110,,-Assumptions!$H114))</f>
        <v>0</v>
      </c>
      <c r="W110" s="88">
        <f ca="1">W73*Assumptions!X$18+IF(COLUMN(W110)&lt;=6+Assumptions!$H114,0,OFFSET(W110,,-Assumptions!$H114))</f>
        <v>0</v>
      </c>
      <c r="X110" s="88">
        <f ca="1">X73*Assumptions!Y$18+IF(COLUMN(X110)&lt;=6+Assumptions!$H114,0,OFFSET(X110,,-Assumptions!$H114))</f>
        <v>0</v>
      </c>
      <c r="Y110" s="88">
        <f ca="1">Y73*Assumptions!Z$18+IF(COLUMN(Y110)&lt;=6+Assumptions!$H114,0,OFFSET(Y110,,-Assumptions!$H114))</f>
        <v>0</v>
      </c>
      <c r="Z110" s="88">
        <f ca="1">Z73*Assumptions!AA$18+IF(COLUMN(Z110)&lt;=6+Assumptions!$H114,0,OFFSET(Z110,,-Assumptions!$H114))</f>
        <v>0</v>
      </c>
      <c r="AA110" s="88">
        <f ca="1">AA73*Assumptions!AB$18+IF(COLUMN(AA110)&lt;=6+Assumptions!$H114,0,OFFSET(AA110,,-Assumptions!$H114))</f>
        <v>0</v>
      </c>
    </row>
    <row r="111" spans="1:27" x14ac:dyDescent="0.45">
      <c r="A111" s="32"/>
      <c r="B111" s="4"/>
      <c r="C111" s="2" t="s">
        <v>114</v>
      </c>
      <c r="D111" s="2" t="str">
        <f t="shared" si="4"/>
        <v>Dry cleaner NSD 0</v>
      </c>
      <c r="E111" s="23" t="s">
        <v>806</v>
      </c>
      <c r="F111" s="23"/>
      <c r="G111" s="88">
        <f ca="1">G74*Assumptions!H$18+IF(COLUMN(G111)&lt;=6+Assumptions!$H115,0,OFFSET(G111,,-Assumptions!$H115))</f>
        <v>144240.40066777964</v>
      </c>
      <c r="H111" s="88">
        <f ca="1">H74*Assumptions!I$18+IF(COLUMN(H111)&lt;=6+Assumptions!$H115,0,OFFSET(H111,,-Assumptions!$H115))</f>
        <v>0</v>
      </c>
      <c r="I111" s="88">
        <f ca="1">I74*Assumptions!J$18+IF(COLUMN(I111)&lt;=6+Assumptions!$H115,0,OFFSET(I111,,-Assumptions!$H115))</f>
        <v>0</v>
      </c>
      <c r="J111" s="88">
        <f ca="1">J74*Assumptions!K$18+IF(COLUMN(J111)&lt;=6+Assumptions!$H115,0,OFFSET(J111,,-Assumptions!$H115))</f>
        <v>0</v>
      </c>
      <c r="K111" s="88">
        <f ca="1">K74*Assumptions!L$18+IF(COLUMN(K111)&lt;=6+Assumptions!$H115,0,OFFSET(K111,,-Assumptions!$H115))</f>
        <v>0</v>
      </c>
      <c r="L111" s="88">
        <f ca="1">L74*Assumptions!M$18+IF(COLUMN(L111)&lt;=6+Assumptions!$H115,0,OFFSET(L111,,-Assumptions!$H115))</f>
        <v>0</v>
      </c>
      <c r="M111" s="88">
        <f ca="1">M74*Assumptions!N$18+IF(COLUMN(M111)&lt;=6+Assumptions!$H115,0,OFFSET(M111,,-Assumptions!$H115))</f>
        <v>0</v>
      </c>
      <c r="N111" s="88">
        <f ca="1">N74*Assumptions!O$18+IF(COLUMN(N111)&lt;=6+Assumptions!$H115,0,OFFSET(N111,,-Assumptions!$H115))</f>
        <v>0</v>
      </c>
      <c r="O111" s="88">
        <f ca="1">O74*Assumptions!P$18+IF(COLUMN(O111)&lt;=6+Assumptions!$H115,0,OFFSET(O111,,-Assumptions!$H115))</f>
        <v>0</v>
      </c>
      <c r="P111" s="88">
        <f ca="1">P74*Assumptions!Q$18+IF(COLUMN(P111)&lt;=6+Assumptions!$H115,0,OFFSET(P111,,-Assumptions!$H115))</f>
        <v>0</v>
      </c>
      <c r="Q111" s="88">
        <f ca="1">Q74*Assumptions!R$18+IF(COLUMN(Q111)&lt;=6+Assumptions!$H115,0,OFFSET(Q111,,-Assumptions!$H115))</f>
        <v>0</v>
      </c>
      <c r="R111" s="88">
        <f ca="1">R74*Assumptions!S$18+IF(COLUMN(R111)&lt;=6+Assumptions!$H115,0,OFFSET(R111,,-Assumptions!$H115))</f>
        <v>0</v>
      </c>
      <c r="S111" s="88">
        <f ca="1">S74*Assumptions!T$18+IF(COLUMN(S111)&lt;=6+Assumptions!$H115,0,OFFSET(S111,,-Assumptions!$H115))</f>
        <v>0</v>
      </c>
      <c r="T111" s="88">
        <f ca="1">T74*Assumptions!U$18+IF(COLUMN(T111)&lt;=6+Assumptions!$H115,0,OFFSET(T111,,-Assumptions!$H115))</f>
        <v>0</v>
      </c>
      <c r="U111" s="88">
        <f ca="1">U74*Assumptions!V$18+IF(COLUMN(U111)&lt;=6+Assumptions!$H115,0,OFFSET(U111,,-Assumptions!$H115))</f>
        <v>0</v>
      </c>
      <c r="V111" s="88">
        <f ca="1">V74*Assumptions!W$18+IF(COLUMN(V111)&lt;=6+Assumptions!$H115,0,OFFSET(V111,,-Assumptions!$H115))</f>
        <v>0</v>
      </c>
      <c r="W111" s="88">
        <f ca="1">W74*Assumptions!X$18+IF(COLUMN(W111)&lt;=6+Assumptions!$H115,0,OFFSET(W111,,-Assumptions!$H115))</f>
        <v>0</v>
      </c>
      <c r="X111" s="88">
        <f ca="1">X74*Assumptions!Y$18+IF(COLUMN(X111)&lt;=6+Assumptions!$H115,0,OFFSET(X111,,-Assumptions!$H115))</f>
        <v>0</v>
      </c>
      <c r="Y111" s="88">
        <f ca="1">Y74*Assumptions!Z$18+IF(COLUMN(Y111)&lt;=6+Assumptions!$H115,0,OFFSET(Y111,,-Assumptions!$H115))</f>
        <v>0</v>
      </c>
      <c r="Z111" s="88">
        <f ca="1">Z74*Assumptions!AA$18+IF(COLUMN(Z111)&lt;=6+Assumptions!$H115,0,OFFSET(Z111,,-Assumptions!$H115))</f>
        <v>0</v>
      </c>
      <c r="AA111" s="88">
        <f ca="1">AA74*Assumptions!AB$18+IF(COLUMN(AA111)&lt;=6+Assumptions!$H115,0,OFFSET(AA111,,-Assumptions!$H115))</f>
        <v>0</v>
      </c>
    </row>
    <row r="112" spans="1:27" x14ac:dyDescent="0.45">
      <c r="A112" s="32"/>
      <c r="B112" s="4"/>
      <c r="C112" s="2" t="s">
        <v>114</v>
      </c>
      <c r="D112" s="2" t="str">
        <f t="shared" si="4"/>
        <v xml:space="preserve">Crusher </v>
      </c>
      <c r="E112" s="23" t="s">
        <v>806</v>
      </c>
      <c r="F112" s="23"/>
      <c r="G112" s="88">
        <f ca="1">G75*Assumptions!H$18+IF(COLUMN(G112)&lt;=6+Assumptions!$H116,0,OFFSET(G112,,-Assumptions!$H116))</f>
        <v>23607.345575959935</v>
      </c>
      <c r="H112" s="88">
        <f ca="1">H75*Assumptions!I$18+IF(COLUMN(H112)&lt;=6+Assumptions!$H116,0,OFFSET(H112,,-Assumptions!$H116))</f>
        <v>0</v>
      </c>
      <c r="I112" s="88">
        <f ca="1">I75*Assumptions!J$18+IF(COLUMN(I112)&lt;=6+Assumptions!$H116,0,OFFSET(I112,,-Assumptions!$H116))</f>
        <v>0</v>
      </c>
      <c r="J112" s="88">
        <f ca="1">J75*Assumptions!K$18+IF(COLUMN(J112)&lt;=6+Assumptions!$H116,0,OFFSET(J112,,-Assumptions!$H116))</f>
        <v>0</v>
      </c>
      <c r="K112" s="88">
        <f ca="1">K75*Assumptions!L$18+IF(COLUMN(K112)&lt;=6+Assumptions!$H116,0,OFFSET(K112,,-Assumptions!$H116))</f>
        <v>0</v>
      </c>
      <c r="L112" s="88">
        <f ca="1">L75*Assumptions!M$18+IF(COLUMN(L112)&lt;=6+Assumptions!$H116,0,OFFSET(L112,,-Assumptions!$H116))</f>
        <v>0</v>
      </c>
      <c r="M112" s="88">
        <f ca="1">M75*Assumptions!N$18+IF(COLUMN(M112)&lt;=6+Assumptions!$H116,0,OFFSET(M112,,-Assumptions!$H116))</f>
        <v>0</v>
      </c>
      <c r="N112" s="88">
        <f ca="1">N75*Assumptions!O$18+IF(COLUMN(N112)&lt;=6+Assumptions!$H116,0,OFFSET(N112,,-Assumptions!$H116))</f>
        <v>0</v>
      </c>
      <c r="O112" s="88">
        <f ca="1">O75*Assumptions!P$18+IF(COLUMN(O112)&lt;=6+Assumptions!$H116,0,OFFSET(O112,,-Assumptions!$H116))</f>
        <v>0</v>
      </c>
      <c r="P112" s="88">
        <f ca="1">P75*Assumptions!Q$18+IF(COLUMN(P112)&lt;=6+Assumptions!$H116,0,OFFSET(P112,,-Assumptions!$H116))</f>
        <v>0</v>
      </c>
      <c r="Q112" s="88">
        <f ca="1">Q75*Assumptions!R$18+IF(COLUMN(Q112)&lt;=6+Assumptions!$H116,0,OFFSET(Q112,,-Assumptions!$H116))</f>
        <v>0</v>
      </c>
      <c r="R112" s="88">
        <f ca="1">R75*Assumptions!S$18+IF(COLUMN(R112)&lt;=6+Assumptions!$H116,0,OFFSET(R112,,-Assumptions!$H116))</f>
        <v>0</v>
      </c>
      <c r="S112" s="88">
        <f ca="1">S75*Assumptions!T$18+IF(COLUMN(S112)&lt;=6+Assumptions!$H116,0,OFFSET(S112,,-Assumptions!$H116))</f>
        <v>0</v>
      </c>
      <c r="T112" s="88">
        <f ca="1">T75*Assumptions!U$18+IF(COLUMN(T112)&lt;=6+Assumptions!$H116,0,OFFSET(T112,,-Assumptions!$H116))</f>
        <v>0</v>
      </c>
      <c r="U112" s="88">
        <f ca="1">U75*Assumptions!V$18+IF(COLUMN(U112)&lt;=6+Assumptions!$H116,0,OFFSET(U112,,-Assumptions!$H116))</f>
        <v>0</v>
      </c>
      <c r="V112" s="88">
        <f ca="1">V75*Assumptions!W$18+IF(COLUMN(V112)&lt;=6+Assumptions!$H116,0,OFFSET(V112,,-Assumptions!$H116))</f>
        <v>0</v>
      </c>
      <c r="W112" s="88">
        <f ca="1">W75*Assumptions!X$18+IF(COLUMN(W112)&lt;=6+Assumptions!$H116,0,OFFSET(W112,,-Assumptions!$H116))</f>
        <v>0</v>
      </c>
      <c r="X112" s="88">
        <f ca="1">X75*Assumptions!Y$18+IF(COLUMN(X112)&lt;=6+Assumptions!$H116,0,OFFSET(X112,,-Assumptions!$H116))</f>
        <v>0</v>
      </c>
      <c r="Y112" s="88">
        <f ca="1">Y75*Assumptions!Z$18+IF(COLUMN(Y112)&lt;=6+Assumptions!$H116,0,OFFSET(Y112,,-Assumptions!$H116))</f>
        <v>0</v>
      </c>
      <c r="Z112" s="88">
        <f ca="1">Z75*Assumptions!AA$18+IF(COLUMN(Z112)&lt;=6+Assumptions!$H116,0,OFFSET(Z112,,-Assumptions!$H116))</f>
        <v>0</v>
      </c>
      <c r="AA112" s="88">
        <f ca="1">AA75*Assumptions!AB$18+IF(COLUMN(AA112)&lt;=6+Assumptions!$H116,0,OFFSET(AA112,,-Assumptions!$H116))</f>
        <v>0</v>
      </c>
    </row>
    <row r="113" spans="1:27" x14ac:dyDescent="0.45">
      <c r="A113" s="32"/>
      <c r="B113" s="4"/>
      <c r="C113" s="2" t="s">
        <v>114</v>
      </c>
      <c r="D113" s="2" t="str">
        <f t="shared" si="4"/>
        <v>Shea nut drying/roasting unit</v>
      </c>
      <c r="E113" s="23" t="s">
        <v>806</v>
      </c>
      <c r="F113" s="23"/>
      <c r="G113" s="88">
        <f ca="1">G76*Assumptions!H$18+IF(COLUMN(G113)&lt;=6+Assumptions!$H117,0,OFFSET(G113,,-Assumptions!$H117))</f>
        <v>18098.163606010017</v>
      </c>
      <c r="H113" s="88">
        <f ca="1">H76*Assumptions!I$18+IF(COLUMN(H113)&lt;=6+Assumptions!$H117,0,OFFSET(H113,,-Assumptions!$H117))</f>
        <v>0</v>
      </c>
      <c r="I113" s="88">
        <f ca="1">I76*Assumptions!J$18+IF(COLUMN(I113)&lt;=6+Assumptions!$H117,0,OFFSET(I113,,-Assumptions!$H117))</f>
        <v>0</v>
      </c>
      <c r="J113" s="88">
        <f ca="1">J76*Assumptions!K$18+IF(COLUMN(J113)&lt;=6+Assumptions!$H117,0,OFFSET(J113,,-Assumptions!$H117))</f>
        <v>0</v>
      </c>
      <c r="K113" s="88">
        <f ca="1">K76*Assumptions!L$18+IF(COLUMN(K113)&lt;=6+Assumptions!$H117,0,OFFSET(K113,,-Assumptions!$H117))</f>
        <v>0</v>
      </c>
      <c r="L113" s="88">
        <f ca="1">L76*Assumptions!M$18+IF(COLUMN(L113)&lt;=6+Assumptions!$H117,0,OFFSET(L113,,-Assumptions!$H117))</f>
        <v>0</v>
      </c>
      <c r="M113" s="88">
        <f ca="1">M76*Assumptions!N$18+IF(COLUMN(M113)&lt;=6+Assumptions!$H117,0,OFFSET(M113,,-Assumptions!$H117))</f>
        <v>0</v>
      </c>
      <c r="N113" s="88">
        <f ca="1">N76*Assumptions!O$18+IF(COLUMN(N113)&lt;=6+Assumptions!$H117,0,OFFSET(N113,,-Assumptions!$H117))</f>
        <v>0</v>
      </c>
      <c r="O113" s="88">
        <f ca="1">O76*Assumptions!P$18+IF(COLUMN(O113)&lt;=6+Assumptions!$H117,0,OFFSET(O113,,-Assumptions!$H117))</f>
        <v>0</v>
      </c>
      <c r="P113" s="88">
        <f ca="1">P76*Assumptions!Q$18+IF(COLUMN(P113)&lt;=6+Assumptions!$H117,0,OFFSET(P113,,-Assumptions!$H117))</f>
        <v>0</v>
      </c>
      <c r="Q113" s="88">
        <f ca="1">Q76*Assumptions!R$18+IF(COLUMN(Q113)&lt;=6+Assumptions!$H117,0,OFFSET(Q113,,-Assumptions!$H117))</f>
        <v>0</v>
      </c>
      <c r="R113" s="88">
        <f ca="1">R76*Assumptions!S$18+IF(COLUMN(R113)&lt;=6+Assumptions!$H117,0,OFFSET(R113,,-Assumptions!$H117))</f>
        <v>0</v>
      </c>
      <c r="S113" s="88">
        <f ca="1">S76*Assumptions!T$18+IF(COLUMN(S113)&lt;=6+Assumptions!$H117,0,OFFSET(S113,,-Assumptions!$H117))</f>
        <v>0</v>
      </c>
      <c r="T113" s="88">
        <f ca="1">T76*Assumptions!U$18+IF(COLUMN(T113)&lt;=6+Assumptions!$H117,0,OFFSET(T113,,-Assumptions!$H117))</f>
        <v>0</v>
      </c>
      <c r="U113" s="88">
        <f ca="1">U76*Assumptions!V$18+IF(COLUMN(U113)&lt;=6+Assumptions!$H117,0,OFFSET(U113,,-Assumptions!$H117))</f>
        <v>0</v>
      </c>
      <c r="V113" s="88">
        <f ca="1">V76*Assumptions!W$18+IF(COLUMN(V113)&lt;=6+Assumptions!$H117,0,OFFSET(V113,,-Assumptions!$H117))</f>
        <v>0</v>
      </c>
      <c r="W113" s="88">
        <f ca="1">W76*Assumptions!X$18+IF(COLUMN(W113)&lt;=6+Assumptions!$H117,0,OFFSET(W113,,-Assumptions!$H117))</f>
        <v>0</v>
      </c>
      <c r="X113" s="88">
        <f ca="1">X76*Assumptions!Y$18+IF(COLUMN(X113)&lt;=6+Assumptions!$H117,0,OFFSET(X113,,-Assumptions!$H117))</f>
        <v>0</v>
      </c>
      <c r="Y113" s="88">
        <f ca="1">Y76*Assumptions!Z$18+IF(COLUMN(Y113)&lt;=6+Assumptions!$H117,0,OFFSET(Y113,,-Assumptions!$H117))</f>
        <v>0</v>
      </c>
      <c r="Z113" s="88">
        <f ca="1">Z76*Assumptions!AA$18+IF(COLUMN(Z113)&lt;=6+Assumptions!$H117,0,OFFSET(Z113,,-Assumptions!$H117))</f>
        <v>0</v>
      </c>
      <c r="AA113" s="88">
        <f ca="1">AA76*Assumptions!AB$18+IF(COLUMN(AA113)&lt;=6+Assumptions!$H117,0,OFFSET(AA113,,-Assumptions!$H117))</f>
        <v>0</v>
      </c>
    </row>
    <row r="114" spans="1:27" x14ac:dyDescent="0.45">
      <c r="A114" s="32"/>
      <c r="B114" s="4"/>
      <c r="C114" s="2" t="s">
        <v>114</v>
      </c>
      <c r="D114" s="2" t="str">
        <f t="shared" si="4"/>
        <v>Press MBU 40</v>
      </c>
      <c r="E114" s="23" t="s">
        <v>806</v>
      </c>
      <c r="F114" s="23"/>
      <c r="G114" s="88">
        <f ca="1">G77*Assumptions!H$18+IF(COLUMN(G114)&lt;=6+Assumptions!$H118,0,OFFSET(G114,,-Assumptions!$H118))</f>
        <v>161757.5959933222</v>
      </c>
      <c r="H114" s="88">
        <f ca="1">H77*Assumptions!I$18+IF(COLUMN(H114)&lt;=6+Assumptions!$H118,0,OFFSET(H114,,-Assumptions!$H118))</f>
        <v>0</v>
      </c>
      <c r="I114" s="88">
        <f ca="1">I77*Assumptions!J$18+IF(COLUMN(I114)&lt;=6+Assumptions!$H118,0,OFFSET(I114,,-Assumptions!$H118))</f>
        <v>0</v>
      </c>
      <c r="J114" s="88">
        <f ca="1">J77*Assumptions!K$18+IF(COLUMN(J114)&lt;=6+Assumptions!$H118,0,OFFSET(J114,,-Assumptions!$H118))</f>
        <v>0</v>
      </c>
      <c r="K114" s="88">
        <f ca="1">K77*Assumptions!L$18+IF(COLUMN(K114)&lt;=6+Assumptions!$H118,0,OFFSET(K114,,-Assumptions!$H118))</f>
        <v>0</v>
      </c>
      <c r="L114" s="88">
        <f ca="1">L77*Assumptions!M$18+IF(COLUMN(L114)&lt;=6+Assumptions!$H118,0,OFFSET(L114,,-Assumptions!$H118))</f>
        <v>0</v>
      </c>
      <c r="M114" s="88">
        <f ca="1">M77*Assumptions!N$18+IF(COLUMN(M114)&lt;=6+Assumptions!$H118,0,OFFSET(M114,,-Assumptions!$H118))</f>
        <v>0</v>
      </c>
      <c r="N114" s="88">
        <f ca="1">N77*Assumptions!O$18+IF(COLUMN(N114)&lt;=6+Assumptions!$H118,0,OFFSET(N114,,-Assumptions!$H118))</f>
        <v>0</v>
      </c>
      <c r="O114" s="88">
        <f ca="1">O77*Assumptions!P$18+IF(COLUMN(O114)&lt;=6+Assumptions!$H118,0,OFFSET(O114,,-Assumptions!$H118))</f>
        <v>0</v>
      </c>
      <c r="P114" s="88">
        <f ca="1">P77*Assumptions!Q$18+IF(COLUMN(P114)&lt;=6+Assumptions!$H118,0,OFFSET(P114,,-Assumptions!$H118))</f>
        <v>0</v>
      </c>
      <c r="Q114" s="88">
        <f ca="1">Q77*Assumptions!R$18+IF(COLUMN(Q114)&lt;=6+Assumptions!$H118,0,OFFSET(Q114,,-Assumptions!$H118))</f>
        <v>0</v>
      </c>
      <c r="R114" s="88">
        <f ca="1">R77*Assumptions!S$18+IF(COLUMN(R114)&lt;=6+Assumptions!$H118,0,OFFSET(R114,,-Assumptions!$H118))</f>
        <v>0</v>
      </c>
      <c r="S114" s="88">
        <f ca="1">S77*Assumptions!T$18+IF(COLUMN(S114)&lt;=6+Assumptions!$H118,0,OFFSET(S114,,-Assumptions!$H118))</f>
        <v>0</v>
      </c>
      <c r="T114" s="88">
        <f ca="1">T77*Assumptions!U$18+IF(COLUMN(T114)&lt;=6+Assumptions!$H118,0,OFFSET(T114,,-Assumptions!$H118))</f>
        <v>0</v>
      </c>
      <c r="U114" s="88">
        <f ca="1">U77*Assumptions!V$18+IF(COLUMN(U114)&lt;=6+Assumptions!$H118,0,OFFSET(U114,,-Assumptions!$H118))</f>
        <v>0</v>
      </c>
      <c r="V114" s="88">
        <f ca="1">V77*Assumptions!W$18+IF(COLUMN(V114)&lt;=6+Assumptions!$H118,0,OFFSET(V114,,-Assumptions!$H118))</f>
        <v>0</v>
      </c>
      <c r="W114" s="88">
        <f ca="1">W77*Assumptions!X$18+IF(COLUMN(W114)&lt;=6+Assumptions!$H118,0,OFFSET(W114,,-Assumptions!$H118))</f>
        <v>0</v>
      </c>
      <c r="X114" s="88">
        <f ca="1">X77*Assumptions!Y$18+IF(COLUMN(X114)&lt;=6+Assumptions!$H118,0,OFFSET(X114,,-Assumptions!$H118))</f>
        <v>0</v>
      </c>
      <c r="Y114" s="88">
        <f ca="1">Y77*Assumptions!Z$18+IF(COLUMN(Y114)&lt;=6+Assumptions!$H118,0,OFFSET(Y114,,-Assumptions!$H118))</f>
        <v>0</v>
      </c>
      <c r="Z114" s="88">
        <f ca="1">Z77*Assumptions!AA$18+IF(COLUMN(Z114)&lt;=6+Assumptions!$H118,0,OFFSET(Z114,,-Assumptions!$H118))</f>
        <v>0</v>
      </c>
      <c r="AA114" s="88">
        <f ca="1">AA77*Assumptions!AB$18+IF(COLUMN(AA114)&lt;=6+Assumptions!$H118,0,OFFSET(AA114,,-Assumptions!$H118))</f>
        <v>0</v>
      </c>
    </row>
    <row r="115" spans="1:27" x14ac:dyDescent="0.45">
      <c r="A115" s="32"/>
      <c r="B115" s="4"/>
      <c r="C115" s="2" t="s">
        <v>114</v>
      </c>
      <c r="D115" s="2" t="str">
        <f t="shared" si="4"/>
        <v>Thermal installation</v>
      </c>
      <c r="E115" s="23" t="s">
        <v>806</v>
      </c>
      <c r="F115" s="23"/>
      <c r="G115" s="88">
        <f ca="1">G78*Assumptions!H$18+IF(COLUMN(G115)&lt;=6+Assumptions!$H119,0,OFFSET(G115,,-Assumptions!$H119))</f>
        <v>149048.41402337229</v>
      </c>
      <c r="H115" s="88">
        <f ca="1">H78*Assumptions!I$18+IF(COLUMN(H115)&lt;=6+Assumptions!$H119,0,OFFSET(H115,,-Assumptions!$H119))</f>
        <v>0</v>
      </c>
      <c r="I115" s="88">
        <f ca="1">I78*Assumptions!J$18+IF(COLUMN(I115)&lt;=6+Assumptions!$H119,0,OFFSET(I115,,-Assumptions!$H119))</f>
        <v>0</v>
      </c>
      <c r="J115" s="88">
        <f ca="1">J78*Assumptions!K$18+IF(COLUMN(J115)&lt;=6+Assumptions!$H119,0,OFFSET(J115,,-Assumptions!$H119))</f>
        <v>0</v>
      </c>
      <c r="K115" s="88">
        <f ca="1">K78*Assumptions!L$18+IF(COLUMN(K115)&lt;=6+Assumptions!$H119,0,OFFSET(K115,,-Assumptions!$H119))</f>
        <v>0</v>
      </c>
      <c r="L115" s="88">
        <f ca="1">L78*Assumptions!M$18+IF(COLUMN(L115)&lt;=6+Assumptions!$H119,0,OFFSET(L115,,-Assumptions!$H119))</f>
        <v>0</v>
      </c>
      <c r="M115" s="88">
        <f ca="1">M78*Assumptions!N$18+IF(COLUMN(M115)&lt;=6+Assumptions!$H119,0,OFFSET(M115,,-Assumptions!$H119))</f>
        <v>0</v>
      </c>
      <c r="N115" s="88">
        <f ca="1">N78*Assumptions!O$18+IF(COLUMN(N115)&lt;=6+Assumptions!$H119,0,OFFSET(N115,,-Assumptions!$H119))</f>
        <v>0</v>
      </c>
      <c r="O115" s="88">
        <f ca="1">O78*Assumptions!P$18+IF(COLUMN(O115)&lt;=6+Assumptions!$H119,0,OFFSET(O115,,-Assumptions!$H119))</f>
        <v>0</v>
      </c>
      <c r="P115" s="88">
        <f ca="1">P78*Assumptions!Q$18+IF(COLUMN(P115)&lt;=6+Assumptions!$H119,0,OFFSET(P115,,-Assumptions!$H119))</f>
        <v>0</v>
      </c>
      <c r="Q115" s="88">
        <f ca="1">Q78*Assumptions!R$18+IF(COLUMN(Q115)&lt;=6+Assumptions!$H119,0,OFFSET(Q115,,-Assumptions!$H119))</f>
        <v>0</v>
      </c>
      <c r="R115" s="88">
        <f ca="1">R78*Assumptions!S$18+IF(COLUMN(R115)&lt;=6+Assumptions!$H119,0,OFFSET(R115,,-Assumptions!$H119))</f>
        <v>0</v>
      </c>
      <c r="S115" s="88">
        <f ca="1">S78*Assumptions!T$18+IF(COLUMN(S115)&lt;=6+Assumptions!$H119,0,OFFSET(S115,,-Assumptions!$H119))</f>
        <v>0</v>
      </c>
      <c r="T115" s="88">
        <f ca="1">T78*Assumptions!U$18+IF(COLUMN(T115)&lt;=6+Assumptions!$H119,0,OFFSET(T115,,-Assumptions!$H119))</f>
        <v>0</v>
      </c>
      <c r="U115" s="88">
        <f ca="1">U78*Assumptions!V$18+IF(COLUMN(U115)&lt;=6+Assumptions!$H119,0,OFFSET(U115,,-Assumptions!$H119))</f>
        <v>0</v>
      </c>
      <c r="V115" s="88">
        <f ca="1">V78*Assumptions!W$18+IF(COLUMN(V115)&lt;=6+Assumptions!$H119,0,OFFSET(V115,,-Assumptions!$H119))</f>
        <v>0</v>
      </c>
      <c r="W115" s="88">
        <f ca="1">W78*Assumptions!X$18+IF(COLUMN(W115)&lt;=6+Assumptions!$H119,0,OFFSET(W115,,-Assumptions!$H119))</f>
        <v>0</v>
      </c>
      <c r="X115" s="88">
        <f ca="1">X78*Assumptions!Y$18+IF(COLUMN(X115)&lt;=6+Assumptions!$H119,0,OFFSET(X115,,-Assumptions!$H119))</f>
        <v>0</v>
      </c>
      <c r="Y115" s="88">
        <f ca="1">Y78*Assumptions!Z$18+IF(COLUMN(Y115)&lt;=6+Assumptions!$H119,0,OFFSET(Y115,,-Assumptions!$H119))</f>
        <v>0</v>
      </c>
      <c r="Z115" s="88">
        <f ca="1">Z78*Assumptions!AA$18+IF(COLUMN(Z115)&lt;=6+Assumptions!$H119,0,OFFSET(Z115,,-Assumptions!$H119))</f>
        <v>0</v>
      </c>
      <c r="AA115" s="88">
        <f ca="1">AA78*Assumptions!AB$18+IF(COLUMN(AA115)&lt;=6+Assumptions!$H119,0,OFFSET(AA115,,-Assumptions!$H119))</f>
        <v>0</v>
      </c>
    </row>
    <row r="116" spans="1:27" x14ac:dyDescent="0.45">
      <c r="A116" s="32"/>
      <c r="B116" s="4"/>
      <c r="C116" s="2" t="s">
        <v>114</v>
      </c>
      <c r="D116" s="2" t="str">
        <f t="shared" si="4"/>
        <v>Filter Kinetic</v>
      </c>
      <c r="E116" s="23" t="s">
        <v>806</v>
      </c>
      <c r="F116" s="23"/>
      <c r="G116" s="88">
        <f ca="1">G79*Assumptions!H$18+IF(COLUMN(G116)&lt;=6+Assumptions!$H120,0,OFFSET(G116,,-Assumptions!$H120))</f>
        <v>22104.841402337228</v>
      </c>
      <c r="H116" s="88">
        <f ca="1">H79*Assumptions!I$18+IF(COLUMN(H116)&lt;=6+Assumptions!$H120,0,OFFSET(H116,,-Assumptions!$H120))</f>
        <v>0</v>
      </c>
      <c r="I116" s="88">
        <f ca="1">I79*Assumptions!J$18+IF(COLUMN(I116)&lt;=6+Assumptions!$H120,0,OFFSET(I116,,-Assumptions!$H120))</f>
        <v>0</v>
      </c>
      <c r="J116" s="88">
        <f ca="1">J79*Assumptions!K$18+IF(COLUMN(J116)&lt;=6+Assumptions!$H120,0,OFFSET(J116,,-Assumptions!$H120))</f>
        <v>0</v>
      </c>
      <c r="K116" s="88">
        <f ca="1">K79*Assumptions!L$18+IF(COLUMN(K116)&lt;=6+Assumptions!$H120,0,OFFSET(K116,,-Assumptions!$H120))</f>
        <v>0</v>
      </c>
      <c r="L116" s="88">
        <f ca="1">L79*Assumptions!M$18+IF(COLUMN(L116)&lt;=6+Assumptions!$H120,0,OFFSET(L116,,-Assumptions!$H120))</f>
        <v>0</v>
      </c>
      <c r="M116" s="88">
        <f ca="1">M79*Assumptions!N$18+IF(COLUMN(M116)&lt;=6+Assumptions!$H120,0,OFFSET(M116,,-Assumptions!$H120))</f>
        <v>0</v>
      </c>
      <c r="N116" s="88">
        <f ca="1">N79*Assumptions!O$18+IF(COLUMN(N116)&lt;=6+Assumptions!$H120,0,OFFSET(N116,,-Assumptions!$H120))</f>
        <v>0</v>
      </c>
      <c r="O116" s="88">
        <f ca="1">O79*Assumptions!P$18+IF(COLUMN(O116)&lt;=6+Assumptions!$H120,0,OFFSET(O116,,-Assumptions!$H120))</f>
        <v>0</v>
      </c>
      <c r="P116" s="88">
        <f ca="1">P79*Assumptions!Q$18+IF(COLUMN(P116)&lt;=6+Assumptions!$H120,0,OFFSET(P116,,-Assumptions!$H120))</f>
        <v>0</v>
      </c>
      <c r="Q116" s="88">
        <f ca="1">Q79*Assumptions!R$18+IF(COLUMN(Q116)&lt;=6+Assumptions!$H120,0,OFFSET(Q116,,-Assumptions!$H120))</f>
        <v>0</v>
      </c>
      <c r="R116" s="88">
        <f ca="1">R79*Assumptions!S$18+IF(COLUMN(R116)&lt;=6+Assumptions!$H120,0,OFFSET(R116,,-Assumptions!$H120))</f>
        <v>0</v>
      </c>
      <c r="S116" s="88">
        <f ca="1">S79*Assumptions!T$18+IF(COLUMN(S116)&lt;=6+Assumptions!$H120,0,OFFSET(S116,,-Assumptions!$H120))</f>
        <v>0</v>
      </c>
      <c r="T116" s="88">
        <f ca="1">T79*Assumptions!U$18+IF(COLUMN(T116)&lt;=6+Assumptions!$H120,0,OFFSET(T116,,-Assumptions!$H120))</f>
        <v>0</v>
      </c>
      <c r="U116" s="88">
        <f ca="1">U79*Assumptions!V$18+IF(COLUMN(U116)&lt;=6+Assumptions!$H120,0,OFFSET(U116,,-Assumptions!$H120))</f>
        <v>0</v>
      </c>
      <c r="V116" s="88">
        <f ca="1">V79*Assumptions!W$18+IF(COLUMN(V116)&lt;=6+Assumptions!$H120,0,OFFSET(V116,,-Assumptions!$H120))</f>
        <v>0</v>
      </c>
      <c r="W116" s="88">
        <f ca="1">W79*Assumptions!X$18+IF(COLUMN(W116)&lt;=6+Assumptions!$H120,0,OFFSET(W116,,-Assumptions!$H120))</f>
        <v>0</v>
      </c>
      <c r="X116" s="88">
        <f ca="1">X79*Assumptions!Y$18+IF(COLUMN(X116)&lt;=6+Assumptions!$H120,0,OFFSET(X116,,-Assumptions!$H120))</f>
        <v>0</v>
      </c>
      <c r="Y116" s="88">
        <f ca="1">Y79*Assumptions!Z$18+IF(COLUMN(Y116)&lt;=6+Assumptions!$H120,0,OFFSET(Y116,,-Assumptions!$H120))</f>
        <v>0</v>
      </c>
      <c r="Z116" s="88">
        <f ca="1">Z79*Assumptions!AA$18+IF(COLUMN(Z116)&lt;=6+Assumptions!$H120,0,OFFSET(Z116,,-Assumptions!$H120))</f>
        <v>0</v>
      </c>
      <c r="AA116" s="88">
        <f ca="1">AA79*Assumptions!AB$18+IF(COLUMN(AA116)&lt;=6+Assumptions!$H120,0,OFFSET(AA116,,-Assumptions!$H120))</f>
        <v>0</v>
      </c>
    </row>
    <row r="117" spans="1:27" x14ac:dyDescent="0.45">
      <c r="A117" s="32"/>
      <c r="B117" s="4"/>
      <c r="C117" s="2" t="s">
        <v>114</v>
      </c>
      <c r="D117" s="2" t="str">
        <f t="shared" si="4"/>
        <v>Packaging Filling and labelling machine</v>
      </c>
      <c r="E117" s="23" t="s">
        <v>806</v>
      </c>
      <c r="F117" s="23"/>
      <c r="G117" s="88">
        <f ca="1">G80*Assumptions!H$18+IF(COLUMN(G117)&lt;=6+Assumptions!$H121,0,OFFSET(G117,,-Assumptions!$H121))</f>
        <v>32121.535893155258</v>
      </c>
      <c r="H117" s="88">
        <f ca="1">H80*Assumptions!I$18+IF(COLUMN(H117)&lt;=6+Assumptions!$H121,0,OFFSET(H117,,-Assumptions!$H121))</f>
        <v>0</v>
      </c>
      <c r="I117" s="88">
        <f ca="1">I80*Assumptions!J$18+IF(COLUMN(I117)&lt;=6+Assumptions!$H121,0,OFFSET(I117,,-Assumptions!$H121))</f>
        <v>0</v>
      </c>
      <c r="J117" s="88">
        <f ca="1">J80*Assumptions!K$18+IF(COLUMN(J117)&lt;=6+Assumptions!$H121,0,OFFSET(J117,,-Assumptions!$H121))</f>
        <v>0</v>
      </c>
      <c r="K117" s="88">
        <f ca="1">K80*Assumptions!L$18+IF(COLUMN(K117)&lt;=6+Assumptions!$H121,0,OFFSET(K117,,-Assumptions!$H121))</f>
        <v>0</v>
      </c>
      <c r="L117" s="88">
        <f ca="1">L80*Assumptions!M$18+IF(COLUMN(L117)&lt;=6+Assumptions!$H121,0,OFFSET(L117,,-Assumptions!$H121))</f>
        <v>0</v>
      </c>
      <c r="M117" s="88">
        <f ca="1">M80*Assumptions!N$18+IF(COLUMN(M117)&lt;=6+Assumptions!$H121,0,OFFSET(M117,,-Assumptions!$H121))</f>
        <v>0</v>
      </c>
      <c r="N117" s="88">
        <f ca="1">N80*Assumptions!O$18+IF(COLUMN(N117)&lt;=6+Assumptions!$H121,0,OFFSET(N117,,-Assumptions!$H121))</f>
        <v>0</v>
      </c>
      <c r="O117" s="88">
        <f ca="1">O80*Assumptions!P$18+IF(COLUMN(O117)&lt;=6+Assumptions!$H121,0,OFFSET(O117,,-Assumptions!$H121))</f>
        <v>0</v>
      </c>
      <c r="P117" s="88">
        <f ca="1">P80*Assumptions!Q$18+IF(COLUMN(P117)&lt;=6+Assumptions!$H121,0,OFFSET(P117,,-Assumptions!$H121))</f>
        <v>0</v>
      </c>
      <c r="Q117" s="88">
        <f ca="1">Q80*Assumptions!R$18+IF(COLUMN(Q117)&lt;=6+Assumptions!$H121,0,OFFSET(Q117,,-Assumptions!$H121))</f>
        <v>0</v>
      </c>
      <c r="R117" s="88">
        <f ca="1">R80*Assumptions!S$18+IF(COLUMN(R117)&lt;=6+Assumptions!$H121,0,OFFSET(R117,,-Assumptions!$H121))</f>
        <v>0</v>
      </c>
      <c r="S117" s="88">
        <f ca="1">S80*Assumptions!T$18+IF(COLUMN(S117)&lt;=6+Assumptions!$H121,0,OFFSET(S117,,-Assumptions!$H121))</f>
        <v>0</v>
      </c>
      <c r="T117" s="88">
        <f ca="1">T80*Assumptions!U$18+IF(COLUMN(T117)&lt;=6+Assumptions!$H121,0,OFFSET(T117,,-Assumptions!$H121))</f>
        <v>0</v>
      </c>
      <c r="U117" s="88">
        <f ca="1">U80*Assumptions!V$18+IF(COLUMN(U117)&lt;=6+Assumptions!$H121,0,OFFSET(U117,,-Assumptions!$H121))</f>
        <v>0</v>
      </c>
      <c r="V117" s="88">
        <f ca="1">V80*Assumptions!W$18+IF(COLUMN(V117)&lt;=6+Assumptions!$H121,0,OFFSET(V117,,-Assumptions!$H121))</f>
        <v>0</v>
      </c>
      <c r="W117" s="88">
        <f ca="1">W80*Assumptions!X$18+IF(COLUMN(W117)&lt;=6+Assumptions!$H121,0,OFFSET(W117,,-Assumptions!$H121))</f>
        <v>0</v>
      </c>
      <c r="X117" s="88">
        <f ca="1">X80*Assumptions!Y$18+IF(COLUMN(X117)&lt;=6+Assumptions!$H121,0,OFFSET(X117,,-Assumptions!$H121))</f>
        <v>0</v>
      </c>
      <c r="Y117" s="88">
        <f ca="1">Y80*Assumptions!Z$18+IF(COLUMN(Y117)&lt;=6+Assumptions!$H121,0,OFFSET(Y117,,-Assumptions!$H121))</f>
        <v>0</v>
      </c>
      <c r="Z117" s="88">
        <f ca="1">Z80*Assumptions!AA$18+IF(COLUMN(Z117)&lt;=6+Assumptions!$H121,0,OFFSET(Z117,,-Assumptions!$H121))</f>
        <v>0</v>
      </c>
      <c r="AA117" s="88">
        <f ca="1">AA80*Assumptions!AB$18+IF(COLUMN(AA117)&lt;=6+Assumptions!$H121,0,OFFSET(AA117,,-Assumptions!$H121))</f>
        <v>0</v>
      </c>
    </row>
    <row r="118" spans="1:27" x14ac:dyDescent="0.45">
      <c r="A118" s="32"/>
      <c r="B118" s="4"/>
      <c r="C118" s="2" t="s">
        <v>114</v>
      </c>
      <c r="D118" s="2" t="str">
        <f t="shared" si="4"/>
        <v>Packaging table</v>
      </c>
      <c r="E118" s="23" t="s">
        <v>806</v>
      </c>
      <c r="F118" s="23"/>
      <c r="G118" s="88">
        <f ca="1">G81*Assumptions!H$18+IF(COLUMN(G118)&lt;=6+Assumptions!$H122,0,OFFSET(G118,,-Assumptions!$H122))</f>
        <v>13943.238731218698</v>
      </c>
      <c r="H118" s="88">
        <f ca="1">H81*Assumptions!I$18+IF(COLUMN(H118)&lt;=6+Assumptions!$H122,0,OFFSET(H118,,-Assumptions!$H122))</f>
        <v>0</v>
      </c>
      <c r="I118" s="88">
        <f ca="1">I81*Assumptions!J$18+IF(COLUMN(I118)&lt;=6+Assumptions!$H122,0,OFFSET(I118,,-Assumptions!$H122))</f>
        <v>0</v>
      </c>
      <c r="J118" s="88">
        <f ca="1">J81*Assumptions!K$18+IF(COLUMN(J118)&lt;=6+Assumptions!$H122,0,OFFSET(J118,,-Assumptions!$H122))</f>
        <v>0</v>
      </c>
      <c r="K118" s="88">
        <f ca="1">K81*Assumptions!L$18+IF(COLUMN(K118)&lt;=6+Assumptions!$H122,0,OFFSET(K118,,-Assumptions!$H122))</f>
        <v>0</v>
      </c>
      <c r="L118" s="88">
        <f ca="1">L81*Assumptions!M$18+IF(COLUMN(L118)&lt;=6+Assumptions!$H122,0,OFFSET(L118,,-Assumptions!$H122))</f>
        <v>0</v>
      </c>
      <c r="M118" s="88">
        <f ca="1">M81*Assumptions!N$18+IF(COLUMN(M118)&lt;=6+Assumptions!$H122,0,OFFSET(M118,,-Assumptions!$H122))</f>
        <v>0</v>
      </c>
      <c r="N118" s="88">
        <f ca="1">N81*Assumptions!O$18+IF(COLUMN(N118)&lt;=6+Assumptions!$H122,0,OFFSET(N118,,-Assumptions!$H122))</f>
        <v>0</v>
      </c>
      <c r="O118" s="88">
        <f ca="1">O81*Assumptions!P$18+IF(COLUMN(O118)&lt;=6+Assumptions!$H122,0,OFFSET(O118,,-Assumptions!$H122))</f>
        <v>0</v>
      </c>
      <c r="P118" s="88">
        <f ca="1">P81*Assumptions!Q$18+IF(COLUMN(P118)&lt;=6+Assumptions!$H122,0,OFFSET(P118,,-Assumptions!$H122))</f>
        <v>0</v>
      </c>
      <c r="Q118" s="88">
        <f ca="1">Q81*Assumptions!R$18+IF(COLUMN(Q118)&lt;=6+Assumptions!$H122,0,OFFSET(Q118,,-Assumptions!$H122))</f>
        <v>0</v>
      </c>
      <c r="R118" s="88">
        <f ca="1">R81*Assumptions!S$18+IF(COLUMN(R118)&lt;=6+Assumptions!$H122,0,OFFSET(R118,,-Assumptions!$H122))</f>
        <v>0</v>
      </c>
      <c r="S118" s="88">
        <f ca="1">S81*Assumptions!T$18+IF(COLUMN(S118)&lt;=6+Assumptions!$H122,0,OFFSET(S118,,-Assumptions!$H122))</f>
        <v>0</v>
      </c>
      <c r="T118" s="88">
        <f ca="1">T81*Assumptions!U$18+IF(COLUMN(T118)&lt;=6+Assumptions!$H122,0,OFFSET(T118,,-Assumptions!$H122))</f>
        <v>0</v>
      </c>
      <c r="U118" s="88">
        <f ca="1">U81*Assumptions!V$18+IF(COLUMN(U118)&lt;=6+Assumptions!$H122,0,OFFSET(U118,,-Assumptions!$H122))</f>
        <v>0</v>
      </c>
      <c r="V118" s="88">
        <f ca="1">V81*Assumptions!W$18+IF(COLUMN(V118)&lt;=6+Assumptions!$H122,0,OFFSET(V118,,-Assumptions!$H122))</f>
        <v>0</v>
      </c>
      <c r="W118" s="88">
        <f ca="1">W81*Assumptions!X$18+IF(COLUMN(W118)&lt;=6+Assumptions!$H122,0,OFFSET(W118,,-Assumptions!$H122))</f>
        <v>0</v>
      </c>
      <c r="X118" s="88">
        <f ca="1">X81*Assumptions!Y$18+IF(COLUMN(X118)&lt;=6+Assumptions!$H122,0,OFFSET(X118,,-Assumptions!$H122))</f>
        <v>0</v>
      </c>
      <c r="Y118" s="88">
        <f ca="1">Y81*Assumptions!Z$18+IF(COLUMN(Y118)&lt;=6+Assumptions!$H122,0,OFFSET(Y118,,-Assumptions!$H122))</f>
        <v>0</v>
      </c>
      <c r="Z118" s="88">
        <f ca="1">Z81*Assumptions!AA$18+IF(COLUMN(Z118)&lt;=6+Assumptions!$H122,0,OFFSET(Z118,,-Assumptions!$H122))</f>
        <v>0</v>
      </c>
      <c r="AA118" s="88">
        <f ca="1">AA81*Assumptions!AB$18+IF(COLUMN(AA118)&lt;=6+Assumptions!$H122,0,OFFSET(AA118,,-Assumptions!$H122))</f>
        <v>0</v>
      </c>
    </row>
    <row r="119" spans="1:27" x14ac:dyDescent="0.45">
      <c r="A119" s="32"/>
      <c r="B119" s="4"/>
      <c r="C119" s="2" t="s">
        <v>114</v>
      </c>
      <c r="D119" s="2" t="str">
        <f t="shared" si="4"/>
        <v>Production tools</v>
      </c>
      <c r="E119" s="23" t="s">
        <v>806</v>
      </c>
      <c r="F119" s="23"/>
      <c r="G119" s="88">
        <f ca="1">G82*Assumptions!H$18+IF(COLUMN(G119)&lt;=6+Assumptions!$H123,0,OFFSET(G119,,-Assumptions!$H123))</f>
        <v>32053.422370617696</v>
      </c>
      <c r="H119" s="88">
        <f ca="1">H82*Assumptions!I$18+IF(COLUMN(H119)&lt;=6+Assumptions!$H123,0,OFFSET(H119,,-Assumptions!$H123))</f>
        <v>0</v>
      </c>
      <c r="I119" s="88">
        <f ca="1">I82*Assumptions!J$18+IF(COLUMN(I119)&lt;=6+Assumptions!$H123,0,OFFSET(I119,,-Assumptions!$H123))</f>
        <v>0</v>
      </c>
      <c r="J119" s="88">
        <f ca="1">J82*Assumptions!K$18+IF(COLUMN(J119)&lt;=6+Assumptions!$H123,0,OFFSET(J119,,-Assumptions!$H123))</f>
        <v>0</v>
      </c>
      <c r="K119" s="88">
        <f ca="1">K82*Assumptions!L$18+IF(COLUMN(K119)&lt;=6+Assumptions!$H123,0,OFFSET(K119,,-Assumptions!$H123))</f>
        <v>0</v>
      </c>
      <c r="L119" s="88">
        <f ca="1">L82*Assumptions!M$18+IF(COLUMN(L119)&lt;=6+Assumptions!$H123,0,OFFSET(L119,,-Assumptions!$H123))</f>
        <v>0</v>
      </c>
      <c r="M119" s="88">
        <f ca="1">M82*Assumptions!N$18+IF(COLUMN(M119)&lt;=6+Assumptions!$H123,0,OFFSET(M119,,-Assumptions!$H123))</f>
        <v>0</v>
      </c>
      <c r="N119" s="88">
        <f ca="1">N82*Assumptions!O$18+IF(COLUMN(N119)&lt;=6+Assumptions!$H123,0,OFFSET(N119,,-Assumptions!$H123))</f>
        <v>0</v>
      </c>
      <c r="O119" s="88">
        <f ca="1">O82*Assumptions!P$18+IF(COLUMN(O119)&lt;=6+Assumptions!$H123,0,OFFSET(O119,,-Assumptions!$H123))</f>
        <v>0</v>
      </c>
      <c r="P119" s="88">
        <f ca="1">P82*Assumptions!Q$18+IF(COLUMN(P119)&lt;=6+Assumptions!$H123,0,OFFSET(P119,,-Assumptions!$H123))</f>
        <v>0</v>
      </c>
      <c r="Q119" s="88">
        <f ca="1">Q82*Assumptions!R$18+IF(COLUMN(Q119)&lt;=6+Assumptions!$H123,0,OFFSET(Q119,,-Assumptions!$H123))</f>
        <v>0</v>
      </c>
      <c r="R119" s="88">
        <f ca="1">R82*Assumptions!S$18+IF(COLUMN(R119)&lt;=6+Assumptions!$H123,0,OFFSET(R119,,-Assumptions!$H123))</f>
        <v>0</v>
      </c>
      <c r="S119" s="88">
        <f ca="1">S82*Assumptions!T$18+IF(COLUMN(S119)&lt;=6+Assumptions!$H123,0,OFFSET(S119,,-Assumptions!$H123))</f>
        <v>0</v>
      </c>
      <c r="T119" s="88">
        <f ca="1">T82*Assumptions!U$18+IF(COLUMN(T119)&lt;=6+Assumptions!$H123,0,OFFSET(T119,,-Assumptions!$H123))</f>
        <v>0</v>
      </c>
      <c r="U119" s="88">
        <f ca="1">U82*Assumptions!V$18+IF(COLUMN(U119)&lt;=6+Assumptions!$H123,0,OFFSET(U119,,-Assumptions!$H123))</f>
        <v>0</v>
      </c>
      <c r="V119" s="88">
        <f ca="1">V82*Assumptions!W$18+IF(COLUMN(V119)&lt;=6+Assumptions!$H123,0,OFFSET(V119,,-Assumptions!$H123))</f>
        <v>0</v>
      </c>
      <c r="W119" s="88">
        <f ca="1">W82*Assumptions!X$18+IF(COLUMN(W119)&lt;=6+Assumptions!$H123,0,OFFSET(W119,,-Assumptions!$H123))</f>
        <v>0</v>
      </c>
      <c r="X119" s="88">
        <f ca="1">X82*Assumptions!Y$18+IF(COLUMN(X119)&lt;=6+Assumptions!$H123,0,OFFSET(X119,,-Assumptions!$H123))</f>
        <v>0</v>
      </c>
      <c r="Y119" s="88">
        <f ca="1">Y82*Assumptions!Z$18+IF(COLUMN(Y119)&lt;=6+Assumptions!$H123,0,OFFSET(Y119,,-Assumptions!$H123))</f>
        <v>0</v>
      </c>
      <c r="Z119" s="88">
        <f ca="1">Z82*Assumptions!AA$18+IF(COLUMN(Z119)&lt;=6+Assumptions!$H123,0,OFFSET(Z119,,-Assumptions!$H123))</f>
        <v>0</v>
      </c>
      <c r="AA119" s="88">
        <f ca="1">AA82*Assumptions!AB$18+IF(COLUMN(AA119)&lt;=6+Assumptions!$H123,0,OFFSET(AA119,,-Assumptions!$H123))</f>
        <v>0</v>
      </c>
    </row>
    <row r="120" spans="1:27" x14ac:dyDescent="0.45">
      <c r="A120" s="32"/>
      <c r="B120" s="4"/>
      <c r="C120" s="2" t="s">
        <v>114</v>
      </c>
      <c r="D120" s="2" t="str">
        <f t="shared" si="4"/>
        <v>Transport Installation and Commissioning</v>
      </c>
      <c r="E120" s="23" t="s">
        <v>806</v>
      </c>
      <c r="F120" s="23"/>
      <c r="G120" s="88">
        <f ca="1">G83*Assumptions!H$18+IF(COLUMN(G120)&lt;=6+Assumptions!$H124,0,OFFSET(G120,,-Assumptions!$H124))</f>
        <v>350839.73288814689</v>
      </c>
      <c r="H120" s="88">
        <f ca="1">H83*Assumptions!I$18+IF(COLUMN(H120)&lt;=6+Assumptions!$H124,0,OFFSET(H120,,-Assumptions!$H124))</f>
        <v>0</v>
      </c>
      <c r="I120" s="88">
        <f ca="1">I83*Assumptions!J$18+IF(COLUMN(I120)&lt;=6+Assumptions!$H124,0,OFFSET(I120,,-Assumptions!$H124))</f>
        <v>0</v>
      </c>
      <c r="J120" s="88">
        <f ca="1">J83*Assumptions!K$18+IF(COLUMN(J120)&lt;=6+Assumptions!$H124,0,OFFSET(J120,,-Assumptions!$H124))</f>
        <v>0</v>
      </c>
      <c r="K120" s="88">
        <f ca="1">K83*Assumptions!L$18+IF(COLUMN(K120)&lt;=6+Assumptions!$H124,0,OFFSET(K120,,-Assumptions!$H124))</f>
        <v>0</v>
      </c>
      <c r="L120" s="88">
        <f ca="1">L83*Assumptions!M$18+IF(COLUMN(L120)&lt;=6+Assumptions!$H124,0,OFFSET(L120,,-Assumptions!$H124))</f>
        <v>0</v>
      </c>
      <c r="M120" s="88">
        <f ca="1">M83*Assumptions!N$18+IF(COLUMN(M120)&lt;=6+Assumptions!$H124,0,OFFSET(M120,,-Assumptions!$H124))</f>
        <v>0</v>
      </c>
      <c r="N120" s="88">
        <f ca="1">N83*Assumptions!O$18+IF(COLUMN(N120)&lt;=6+Assumptions!$H124,0,OFFSET(N120,,-Assumptions!$H124))</f>
        <v>0</v>
      </c>
      <c r="O120" s="88">
        <f ca="1">O83*Assumptions!P$18+IF(COLUMN(O120)&lt;=6+Assumptions!$H124,0,OFFSET(O120,,-Assumptions!$H124))</f>
        <v>0</v>
      </c>
      <c r="P120" s="88">
        <f ca="1">P83*Assumptions!Q$18+IF(COLUMN(P120)&lt;=6+Assumptions!$H124,0,OFFSET(P120,,-Assumptions!$H124))</f>
        <v>0</v>
      </c>
      <c r="Q120" s="88">
        <f ca="1">Q83*Assumptions!R$18+IF(COLUMN(Q120)&lt;=6+Assumptions!$H124,0,OFFSET(Q120,,-Assumptions!$H124))</f>
        <v>0</v>
      </c>
      <c r="R120" s="88">
        <f ca="1">R83*Assumptions!S$18+IF(COLUMN(R120)&lt;=6+Assumptions!$H124,0,OFFSET(R120,,-Assumptions!$H124))</f>
        <v>0</v>
      </c>
      <c r="S120" s="88">
        <f ca="1">S83*Assumptions!T$18+IF(COLUMN(S120)&lt;=6+Assumptions!$H124,0,OFFSET(S120,,-Assumptions!$H124))</f>
        <v>0</v>
      </c>
      <c r="T120" s="88">
        <f ca="1">T83*Assumptions!U$18+IF(COLUMN(T120)&lt;=6+Assumptions!$H124,0,OFFSET(T120,,-Assumptions!$H124))</f>
        <v>0</v>
      </c>
      <c r="U120" s="88">
        <f ca="1">U83*Assumptions!V$18+IF(COLUMN(U120)&lt;=6+Assumptions!$H124,0,OFFSET(U120,,-Assumptions!$H124))</f>
        <v>0</v>
      </c>
      <c r="V120" s="88">
        <f ca="1">V83*Assumptions!W$18+IF(COLUMN(V120)&lt;=6+Assumptions!$H124,0,OFFSET(V120,,-Assumptions!$H124))</f>
        <v>0</v>
      </c>
      <c r="W120" s="88">
        <f ca="1">W83*Assumptions!X$18+IF(COLUMN(W120)&lt;=6+Assumptions!$H124,0,OFFSET(W120,,-Assumptions!$H124))</f>
        <v>0</v>
      </c>
      <c r="X120" s="88">
        <f ca="1">X83*Assumptions!Y$18+IF(COLUMN(X120)&lt;=6+Assumptions!$H124,0,OFFSET(X120,,-Assumptions!$H124))</f>
        <v>0</v>
      </c>
      <c r="Y120" s="88">
        <f ca="1">Y83*Assumptions!Z$18+IF(COLUMN(Y120)&lt;=6+Assumptions!$H124,0,OFFSET(Y120,,-Assumptions!$H124))</f>
        <v>0</v>
      </c>
      <c r="Z120" s="88">
        <f ca="1">Z83*Assumptions!AA$18+IF(COLUMN(Z120)&lt;=6+Assumptions!$H124,0,OFFSET(Z120,,-Assumptions!$H124))</f>
        <v>0</v>
      </c>
      <c r="AA120" s="88">
        <f ca="1">AA83*Assumptions!AB$18+IF(COLUMN(AA120)&lt;=6+Assumptions!$H124,0,OFFSET(AA120,,-Assumptions!$H124))</f>
        <v>0</v>
      </c>
    </row>
    <row r="121" spans="1:27" x14ac:dyDescent="0.45">
      <c r="A121" s="32"/>
      <c r="B121" s="4"/>
      <c r="C121" s="2" t="s">
        <v>114</v>
      </c>
      <c r="D121" s="2" t="str">
        <f t="shared" si="4"/>
        <v>Vehicles</v>
      </c>
      <c r="E121" s="23" t="s">
        <v>806</v>
      </c>
      <c r="F121" s="23"/>
      <c r="G121" s="88">
        <f ca="1">G84*Assumptions!H$18+IF(COLUMN(G121)&lt;=6+Assumptions!$H125,0,OFFSET(G121,,-Assumptions!$H125))</f>
        <v>46477.462437395661</v>
      </c>
      <c r="H121" s="88">
        <f ca="1">H84*Assumptions!I$18+IF(COLUMN(H121)&lt;=6+Assumptions!$H125,0,OFFSET(H121,,-Assumptions!$H125))</f>
        <v>0</v>
      </c>
      <c r="I121" s="88">
        <f ca="1">I84*Assumptions!J$18+IF(COLUMN(I121)&lt;=6+Assumptions!$H125,0,OFFSET(I121,,-Assumptions!$H125))</f>
        <v>0</v>
      </c>
      <c r="J121" s="88">
        <f ca="1">J84*Assumptions!K$18+IF(COLUMN(J121)&lt;=6+Assumptions!$H125,0,OFFSET(J121,,-Assumptions!$H125))</f>
        <v>0</v>
      </c>
      <c r="K121" s="88">
        <f ca="1">K84*Assumptions!L$18+IF(COLUMN(K121)&lt;=6+Assumptions!$H125,0,OFFSET(K121,,-Assumptions!$H125))</f>
        <v>0</v>
      </c>
      <c r="L121" s="88">
        <f ca="1">L84*Assumptions!M$18+IF(COLUMN(L121)&lt;=6+Assumptions!$H125,0,OFFSET(L121,,-Assumptions!$H125))</f>
        <v>0</v>
      </c>
      <c r="M121" s="88">
        <f ca="1">M84*Assumptions!N$18+IF(COLUMN(M121)&lt;=6+Assumptions!$H125,0,OFFSET(M121,,-Assumptions!$H125))</f>
        <v>0</v>
      </c>
      <c r="N121" s="88">
        <f ca="1">N84*Assumptions!O$18+IF(COLUMN(N121)&lt;=6+Assumptions!$H125,0,OFFSET(N121,,-Assumptions!$H125))</f>
        <v>0</v>
      </c>
      <c r="O121" s="88">
        <f ca="1">O84*Assumptions!P$18+IF(COLUMN(O121)&lt;=6+Assumptions!$H125,0,OFFSET(O121,,-Assumptions!$H125))</f>
        <v>0</v>
      </c>
      <c r="P121" s="88">
        <f ca="1">P84*Assumptions!Q$18+IF(COLUMN(P121)&lt;=6+Assumptions!$H125,0,OFFSET(P121,,-Assumptions!$H125))</f>
        <v>0</v>
      </c>
      <c r="Q121" s="88">
        <f ca="1">Q84*Assumptions!R$18+IF(COLUMN(Q121)&lt;=6+Assumptions!$H125,0,OFFSET(Q121,,-Assumptions!$H125))</f>
        <v>0</v>
      </c>
      <c r="R121" s="88">
        <f ca="1">R84*Assumptions!S$18+IF(COLUMN(R121)&lt;=6+Assumptions!$H125,0,OFFSET(R121,,-Assumptions!$H125))</f>
        <v>0</v>
      </c>
      <c r="S121" s="88">
        <f ca="1">S84*Assumptions!T$18+IF(COLUMN(S121)&lt;=6+Assumptions!$H125,0,OFFSET(S121,,-Assumptions!$H125))</f>
        <v>0</v>
      </c>
      <c r="T121" s="88">
        <f ca="1">T84*Assumptions!U$18+IF(COLUMN(T121)&lt;=6+Assumptions!$H125,0,OFFSET(T121,,-Assumptions!$H125))</f>
        <v>0</v>
      </c>
      <c r="U121" s="88">
        <f ca="1">U84*Assumptions!V$18+IF(COLUMN(U121)&lt;=6+Assumptions!$H125,0,OFFSET(U121,,-Assumptions!$H125))</f>
        <v>0</v>
      </c>
      <c r="V121" s="88">
        <f ca="1">V84*Assumptions!W$18+IF(COLUMN(V121)&lt;=6+Assumptions!$H125,0,OFFSET(V121,,-Assumptions!$H125))</f>
        <v>0</v>
      </c>
      <c r="W121" s="88">
        <f ca="1">W84*Assumptions!X$18+IF(COLUMN(W121)&lt;=6+Assumptions!$H125,0,OFFSET(W121,,-Assumptions!$H125))</f>
        <v>0</v>
      </c>
      <c r="X121" s="88">
        <f ca="1">X84*Assumptions!Y$18+IF(COLUMN(X121)&lt;=6+Assumptions!$H125,0,OFFSET(X121,,-Assumptions!$H125))</f>
        <v>0</v>
      </c>
      <c r="Y121" s="88">
        <f ca="1">Y84*Assumptions!Z$18+IF(COLUMN(Y121)&lt;=6+Assumptions!$H125,0,OFFSET(Y121,,-Assumptions!$H125))</f>
        <v>0</v>
      </c>
      <c r="Z121" s="88">
        <f ca="1">Z84*Assumptions!AA$18+IF(COLUMN(Z121)&lt;=6+Assumptions!$H125,0,OFFSET(Z121,,-Assumptions!$H125))</f>
        <v>0</v>
      </c>
      <c r="AA121" s="88">
        <f ca="1">AA84*Assumptions!AB$18+IF(COLUMN(AA121)&lt;=6+Assumptions!$H125,0,OFFSET(AA121,,-Assumptions!$H125))</f>
        <v>0</v>
      </c>
    </row>
    <row r="122" spans="1:27" x14ac:dyDescent="0.45">
      <c r="A122" s="32"/>
      <c r="B122" s="4"/>
      <c r="C122" s="2" t="s">
        <v>114</v>
      </c>
      <c r="D122" s="2">
        <f t="shared" si="4"/>
        <v>0</v>
      </c>
      <c r="E122" s="23" t="s">
        <v>806</v>
      </c>
      <c r="F122" s="23"/>
      <c r="G122" s="88">
        <f ca="1">G85*Assumptions!H$18+IF(COLUMN(G122)&lt;=6+Assumptions!$H126,0,OFFSET(G122,,-Assumptions!$H126))</f>
        <v>0</v>
      </c>
      <c r="H122" s="88">
        <f ca="1">H85*Assumptions!I$18+IF(COLUMN(H122)&lt;=6+Assumptions!$H126,0,OFFSET(H122,,-Assumptions!$H126))</f>
        <v>0</v>
      </c>
      <c r="I122" s="88">
        <f ca="1">I85*Assumptions!J$18+IF(COLUMN(I122)&lt;=6+Assumptions!$H126,0,OFFSET(I122,,-Assumptions!$H126))</f>
        <v>0</v>
      </c>
      <c r="J122" s="88">
        <f ca="1">J85*Assumptions!K$18+IF(COLUMN(J122)&lt;=6+Assumptions!$H126,0,OFFSET(J122,,-Assumptions!$H126))</f>
        <v>0</v>
      </c>
      <c r="K122" s="88">
        <f ca="1">K85*Assumptions!L$18+IF(COLUMN(K122)&lt;=6+Assumptions!$H126,0,OFFSET(K122,,-Assumptions!$H126))</f>
        <v>0</v>
      </c>
      <c r="L122" s="88">
        <f ca="1">L85*Assumptions!M$18+IF(COLUMN(L122)&lt;=6+Assumptions!$H126,0,OFFSET(L122,,-Assumptions!$H126))</f>
        <v>0</v>
      </c>
      <c r="M122" s="88">
        <f ca="1">M85*Assumptions!N$18+IF(COLUMN(M122)&lt;=6+Assumptions!$H126,0,OFFSET(M122,,-Assumptions!$H126))</f>
        <v>0</v>
      </c>
      <c r="N122" s="88">
        <f ca="1">N85*Assumptions!O$18+IF(COLUMN(N122)&lt;=6+Assumptions!$H126,0,OFFSET(N122,,-Assumptions!$H126))</f>
        <v>0</v>
      </c>
      <c r="O122" s="88">
        <f ca="1">O85*Assumptions!P$18+IF(COLUMN(O122)&lt;=6+Assumptions!$H126,0,OFFSET(O122,,-Assumptions!$H126))</f>
        <v>0</v>
      </c>
      <c r="P122" s="88">
        <f ca="1">P85*Assumptions!Q$18+IF(COLUMN(P122)&lt;=6+Assumptions!$H126,0,OFFSET(P122,,-Assumptions!$H126))</f>
        <v>0</v>
      </c>
      <c r="Q122" s="88">
        <f ca="1">Q85*Assumptions!R$18+IF(COLUMN(Q122)&lt;=6+Assumptions!$H126,0,OFFSET(Q122,,-Assumptions!$H126))</f>
        <v>0</v>
      </c>
      <c r="R122" s="88">
        <f ca="1">R85*Assumptions!S$18+IF(COLUMN(R122)&lt;=6+Assumptions!$H126,0,OFFSET(R122,,-Assumptions!$H126))</f>
        <v>0</v>
      </c>
      <c r="S122" s="88">
        <f ca="1">S85*Assumptions!T$18+IF(COLUMN(S122)&lt;=6+Assumptions!$H126,0,OFFSET(S122,,-Assumptions!$H126))</f>
        <v>0</v>
      </c>
      <c r="T122" s="88">
        <f ca="1">T85*Assumptions!U$18+IF(COLUMN(T122)&lt;=6+Assumptions!$H126,0,OFFSET(T122,,-Assumptions!$H126))</f>
        <v>0</v>
      </c>
      <c r="U122" s="88">
        <f ca="1">U85*Assumptions!V$18+IF(COLUMN(U122)&lt;=6+Assumptions!$H126,0,OFFSET(U122,,-Assumptions!$H126))</f>
        <v>0</v>
      </c>
      <c r="V122" s="88">
        <f ca="1">V85*Assumptions!W$18+IF(COLUMN(V122)&lt;=6+Assumptions!$H126,0,OFFSET(V122,,-Assumptions!$H126))</f>
        <v>0</v>
      </c>
      <c r="W122" s="88">
        <f ca="1">W85*Assumptions!X$18+IF(COLUMN(W122)&lt;=6+Assumptions!$H126,0,OFFSET(W122,,-Assumptions!$H126))</f>
        <v>0</v>
      </c>
      <c r="X122" s="88">
        <f ca="1">X85*Assumptions!Y$18+IF(COLUMN(X122)&lt;=6+Assumptions!$H126,0,OFFSET(X122,,-Assumptions!$H126))</f>
        <v>0</v>
      </c>
      <c r="Y122" s="88">
        <f ca="1">Y85*Assumptions!Z$18+IF(COLUMN(Y122)&lt;=6+Assumptions!$H126,0,OFFSET(Y122,,-Assumptions!$H126))</f>
        <v>0</v>
      </c>
      <c r="Z122" s="88">
        <f ca="1">Z85*Assumptions!AA$18+IF(COLUMN(Z122)&lt;=6+Assumptions!$H126,0,OFFSET(Z122,,-Assumptions!$H126))</f>
        <v>0</v>
      </c>
      <c r="AA122" s="88">
        <f ca="1">AA85*Assumptions!AB$18+IF(COLUMN(AA122)&lt;=6+Assumptions!$H126,0,OFFSET(AA122,,-Assumptions!$H126))</f>
        <v>0</v>
      </c>
    </row>
    <row r="123" spans="1:27" x14ac:dyDescent="0.45">
      <c r="A123" s="32"/>
      <c r="B123" s="4"/>
      <c r="C123" s="2" t="s">
        <v>114</v>
      </c>
      <c r="D123" s="2" t="str">
        <f t="shared" si="4"/>
        <v>Centralised capex</v>
      </c>
      <c r="E123" s="23" t="s">
        <v>806</v>
      </c>
      <c r="F123" s="23"/>
      <c r="G123" s="88">
        <f ca="1">G86*Assumptions!H$18+IF(COLUMN(G123)&lt;=6+Assumptions!$H127,0,OFFSET(G123,,-Assumptions!$H127))</f>
        <v>480400.66777963273</v>
      </c>
      <c r="H123" s="88">
        <f ca="1">H86*Assumptions!I$18+IF(COLUMN(H123)&lt;=6+Assumptions!$H127,0,OFFSET(H123,,-Assumptions!$H127))</f>
        <v>0</v>
      </c>
      <c r="I123" s="88">
        <f ca="1">I86*Assumptions!J$18+IF(COLUMN(I123)&lt;=6+Assumptions!$H127,0,OFFSET(I123,,-Assumptions!$H127))</f>
        <v>0</v>
      </c>
      <c r="J123" s="88">
        <f ca="1">J86*Assumptions!K$18+IF(COLUMN(J123)&lt;=6+Assumptions!$H127,0,OFFSET(J123,,-Assumptions!$H127))</f>
        <v>0</v>
      </c>
      <c r="K123" s="88">
        <f ca="1">K86*Assumptions!L$18+IF(COLUMN(K123)&lt;=6+Assumptions!$H127,0,OFFSET(K123,,-Assumptions!$H127))</f>
        <v>0</v>
      </c>
      <c r="L123" s="88">
        <f ca="1">L86*Assumptions!M$18+IF(COLUMN(L123)&lt;=6+Assumptions!$H127,0,OFFSET(L123,,-Assumptions!$H127))</f>
        <v>0</v>
      </c>
      <c r="M123" s="88">
        <f ca="1">M86*Assumptions!N$18+IF(COLUMN(M123)&lt;=6+Assumptions!$H127,0,OFFSET(M123,,-Assumptions!$H127))</f>
        <v>0</v>
      </c>
      <c r="N123" s="88">
        <f ca="1">N86*Assumptions!O$18+IF(COLUMN(N123)&lt;=6+Assumptions!$H127,0,OFFSET(N123,,-Assumptions!$H127))</f>
        <v>0</v>
      </c>
      <c r="O123" s="88">
        <f ca="1">O86*Assumptions!P$18+IF(COLUMN(O123)&lt;=6+Assumptions!$H127,0,OFFSET(O123,,-Assumptions!$H127))</f>
        <v>0</v>
      </c>
      <c r="P123" s="88">
        <f ca="1">P86*Assumptions!Q$18+IF(COLUMN(P123)&lt;=6+Assumptions!$H127,0,OFFSET(P123,,-Assumptions!$H127))</f>
        <v>0</v>
      </c>
      <c r="Q123" s="88">
        <f ca="1">Q86*Assumptions!R$18+IF(COLUMN(Q123)&lt;=6+Assumptions!$H127,0,OFFSET(Q123,,-Assumptions!$H127))</f>
        <v>0</v>
      </c>
      <c r="R123" s="88">
        <f ca="1">R86*Assumptions!S$18+IF(COLUMN(R123)&lt;=6+Assumptions!$H127,0,OFFSET(R123,,-Assumptions!$H127))</f>
        <v>0</v>
      </c>
      <c r="S123" s="88">
        <f ca="1">S86*Assumptions!T$18+IF(COLUMN(S123)&lt;=6+Assumptions!$H127,0,OFFSET(S123,,-Assumptions!$H127))</f>
        <v>0</v>
      </c>
      <c r="T123" s="88">
        <f ca="1">T86*Assumptions!U$18+IF(COLUMN(T123)&lt;=6+Assumptions!$H127,0,OFFSET(T123,,-Assumptions!$H127))</f>
        <v>0</v>
      </c>
      <c r="U123" s="88">
        <f ca="1">U86*Assumptions!V$18+IF(COLUMN(U123)&lt;=6+Assumptions!$H127,0,OFFSET(U123,,-Assumptions!$H127))</f>
        <v>0</v>
      </c>
      <c r="V123" s="88">
        <f ca="1">V86*Assumptions!W$18+IF(COLUMN(V123)&lt;=6+Assumptions!$H127,0,OFFSET(V123,,-Assumptions!$H127))</f>
        <v>0</v>
      </c>
      <c r="W123" s="88">
        <f ca="1">W86*Assumptions!X$18+IF(COLUMN(W123)&lt;=6+Assumptions!$H127,0,OFFSET(W123,,-Assumptions!$H127))</f>
        <v>0</v>
      </c>
      <c r="X123" s="88">
        <f ca="1">X86*Assumptions!Y$18+IF(COLUMN(X123)&lt;=6+Assumptions!$H127,0,OFFSET(X123,,-Assumptions!$H127))</f>
        <v>0</v>
      </c>
      <c r="Y123" s="88">
        <f ca="1">Y86*Assumptions!Z$18+IF(COLUMN(Y123)&lt;=6+Assumptions!$H127,0,OFFSET(Y123,,-Assumptions!$H127))</f>
        <v>0</v>
      </c>
      <c r="Z123" s="88">
        <f ca="1">Z86*Assumptions!AA$18+IF(COLUMN(Z123)&lt;=6+Assumptions!$H127,0,OFFSET(Z123,,-Assumptions!$H127))</f>
        <v>0</v>
      </c>
      <c r="AA123" s="88">
        <f ca="1">AA86*Assumptions!AB$18+IF(COLUMN(AA123)&lt;=6+Assumptions!$H127,0,OFFSET(AA123,,-Assumptions!$H127))</f>
        <v>0</v>
      </c>
    </row>
    <row r="124" spans="1:27" x14ac:dyDescent="0.45">
      <c r="A124" s="32"/>
      <c r="B124" s="4"/>
      <c r="C124" s="2" t="s">
        <v>114</v>
      </c>
      <c r="D124" s="2">
        <f t="shared" si="4"/>
        <v>0</v>
      </c>
      <c r="E124" s="23" t="s">
        <v>806</v>
      </c>
      <c r="F124" s="23"/>
      <c r="G124" s="88">
        <f ca="1">G87*Assumptions!H$18+IF(COLUMN(G124)&lt;=6+Assumptions!$H128,0,OFFSET(G124,,-Assumptions!$H128))</f>
        <v>0</v>
      </c>
      <c r="H124" s="88">
        <f ca="1">H87*Assumptions!I$18+IF(COLUMN(H124)&lt;=6+Assumptions!$H128,0,OFFSET(H124,,-Assumptions!$H128))</f>
        <v>0</v>
      </c>
      <c r="I124" s="88">
        <f ca="1">I87*Assumptions!J$18+IF(COLUMN(I124)&lt;=6+Assumptions!$H128,0,OFFSET(I124,,-Assumptions!$H128))</f>
        <v>0</v>
      </c>
      <c r="J124" s="88">
        <f ca="1">J87*Assumptions!K$18+IF(COLUMN(J124)&lt;=6+Assumptions!$H128,0,OFFSET(J124,,-Assumptions!$H128))</f>
        <v>0</v>
      </c>
      <c r="K124" s="88">
        <f ca="1">K87*Assumptions!L$18+IF(COLUMN(K124)&lt;=6+Assumptions!$H128,0,OFFSET(K124,,-Assumptions!$H128))</f>
        <v>0</v>
      </c>
      <c r="L124" s="88">
        <f ca="1">L87*Assumptions!M$18+IF(COLUMN(L124)&lt;=6+Assumptions!$H128,0,OFFSET(L124,,-Assumptions!$H128))</f>
        <v>0</v>
      </c>
      <c r="M124" s="88">
        <f ca="1">M87*Assumptions!N$18+IF(COLUMN(M124)&lt;=6+Assumptions!$H128,0,OFFSET(M124,,-Assumptions!$H128))</f>
        <v>0</v>
      </c>
      <c r="N124" s="88">
        <f ca="1">N87*Assumptions!O$18+IF(COLUMN(N124)&lt;=6+Assumptions!$H128,0,OFFSET(N124,,-Assumptions!$H128))</f>
        <v>0</v>
      </c>
      <c r="O124" s="88">
        <f ca="1">O87*Assumptions!P$18+IF(COLUMN(O124)&lt;=6+Assumptions!$H128,0,OFFSET(O124,,-Assumptions!$H128))</f>
        <v>0</v>
      </c>
      <c r="P124" s="88">
        <f ca="1">P87*Assumptions!Q$18+IF(COLUMN(P124)&lt;=6+Assumptions!$H128,0,OFFSET(P124,,-Assumptions!$H128))</f>
        <v>0</v>
      </c>
      <c r="Q124" s="88">
        <f ca="1">Q87*Assumptions!R$18+IF(COLUMN(Q124)&lt;=6+Assumptions!$H128,0,OFFSET(Q124,,-Assumptions!$H128))</f>
        <v>0</v>
      </c>
      <c r="R124" s="88">
        <f ca="1">R87*Assumptions!S$18+IF(COLUMN(R124)&lt;=6+Assumptions!$H128,0,OFFSET(R124,,-Assumptions!$H128))</f>
        <v>0</v>
      </c>
      <c r="S124" s="88">
        <f ca="1">S87*Assumptions!T$18+IF(COLUMN(S124)&lt;=6+Assumptions!$H128,0,OFFSET(S124,,-Assumptions!$H128))</f>
        <v>0</v>
      </c>
      <c r="T124" s="88">
        <f ca="1">T87*Assumptions!U$18+IF(COLUMN(T124)&lt;=6+Assumptions!$H128,0,OFFSET(T124,,-Assumptions!$H128))</f>
        <v>0</v>
      </c>
      <c r="U124" s="88">
        <f ca="1">U87*Assumptions!V$18+IF(COLUMN(U124)&lt;=6+Assumptions!$H128,0,OFFSET(U124,,-Assumptions!$H128))</f>
        <v>0</v>
      </c>
      <c r="V124" s="88">
        <f ca="1">V87*Assumptions!W$18+IF(COLUMN(V124)&lt;=6+Assumptions!$H128,0,OFFSET(V124,,-Assumptions!$H128))</f>
        <v>0</v>
      </c>
      <c r="W124" s="88">
        <f ca="1">W87*Assumptions!X$18+IF(COLUMN(W124)&lt;=6+Assumptions!$H128,0,OFFSET(W124,,-Assumptions!$H128))</f>
        <v>0</v>
      </c>
      <c r="X124" s="88">
        <f ca="1">X87*Assumptions!Y$18+IF(COLUMN(X124)&lt;=6+Assumptions!$H128,0,OFFSET(X124,,-Assumptions!$H128))</f>
        <v>0</v>
      </c>
      <c r="Y124" s="88">
        <f ca="1">Y87*Assumptions!Z$18+IF(COLUMN(Y124)&lt;=6+Assumptions!$H128,0,OFFSET(Y124,,-Assumptions!$H128))</f>
        <v>0</v>
      </c>
      <c r="Z124" s="88">
        <f ca="1">Z87*Assumptions!AA$18+IF(COLUMN(Z124)&lt;=6+Assumptions!$H128,0,OFFSET(Z124,,-Assumptions!$H128))</f>
        <v>0</v>
      </c>
      <c r="AA124" s="88">
        <f ca="1">AA87*Assumptions!AB$18+IF(COLUMN(AA124)&lt;=6+Assumptions!$H128,0,OFFSET(AA124,,-Assumptions!$H128))</f>
        <v>0</v>
      </c>
    </row>
    <row r="125" spans="1:27" x14ac:dyDescent="0.45">
      <c r="A125" s="32"/>
      <c r="B125" s="4"/>
      <c r="C125" s="2" t="s">
        <v>114</v>
      </c>
      <c r="D125" s="2">
        <f t="shared" si="4"/>
        <v>0</v>
      </c>
      <c r="E125" s="23" t="s">
        <v>806</v>
      </c>
      <c r="F125" s="36"/>
      <c r="G125" s="88">
        <f ca="1">G88*Assumptions!H$18+IF(COLUMN(G125)&lt;=6+Assumptions!$H129,0,OFFSET(G125,,-Assumptions!$H129))</f>
        <v>0</v>
      </c>
      <c r="H125" s="88">
        <f ca="1">H88*Assumptions!I$18+IF(COLUMN(H125)&lt;=6+Assumptions!$H129,0,OFFSET(H125,,-Assumptions!$H129))</f>
        <v>0</v>
      </c>
      <c r="I125" s="88">
        <f ca="1">I88*Assumptions!J$18+IF(COLUMN(I125)&lt;=6+Assumptions!$H129,0,OFFSET(I125,,-Assumptions!$H129))</f>
        <v>0</v>
      </c>
      <c r="J125" s="88">
        <f ca="1">J88*Assumptions!K$18+IF(COLUMN(J125)&lt;=6+Assumptions!$H129,0,OFFSET(J125,,-Assumptions!$H129))</f>
        <v>0</v>
      </c>
      <c r="K125" s="88">
        <f ca="1">K88*Assumptions!L$18+IF(COLUMN(K125)&lt;=6+Assumptions!$H129,0,OFFSET(K125,,-Assumptions!$H129))</f>
        <v>0</v>
      </c>
      <c r="L125" s="88">
        <f ca="1">L88*Assumptions!M$18+IF(COLUMN(L125)&lt;=6+Assumptions!$H129,0,OFFSET(L125,,-Assumptions!$H129))</f>
        <v>0</v>
      </c>
      <c r="M125" s="88">
        <f ca="1">M88*Assumptions!N$18+IF(COLUMN(M125)&lt;=6+Assumptions!$H129,0,OFFSET(M125,,-Assumptions!$H129))</f>
        <v>0</v>
      </c>
      <c r="N125" s="88">
        <f ca="1">N88*Assumptions!O$18+IF(COLUMN(N125)&lt;=6+Assumptions!$H129,0,OFFSET(N125,,-Assumptions!$H129))</f>
        <v>0</v>
      </c>
      <c r="O125" s="88">
        <f ca="1">O88*Assumptions!P$18+IF(COLUMN(O125)&lt;=6+Assumptions!$H129,0,OFFSET(O125,,-Assumptions!$H129))</f>
        <v>0</v>
      </c>
      <c r="P125" s="88">
        <f ca="1">P88*Assumptions!Q$18+IF(COLUMN(P125)&lt;=6+Assumptions!$H129,0,OFFSET(P125,,-Assumptions!$H129))</f>
        <v>0</v>
      </c>
      <c r="Q125" s="88">
        <f ca="1">Q88*Assumptions!R$18+IF(COLUMN(Q125)&lt;=6+Assumptions!$H129,0,OFFSET(Q125,,-Assumptions!$H129))</f>
        <v>0</v>
      </c>
      <c r="R125" s="88">
        <f ca="1">R88*Assumptions!S$18+IF(COLUMN(R125)&lt;=6+Assumptions!$H129,0,OFFSET(R125,,-Assumptions!$H129))</f>
        <v>0</v>
      </c>
      <c r="S125" s="88">
        <f ca="1">S88*Assumptions!T$18+IF(COLUMN(S125)&lt;=6+Assumptions!$H129,0,OFFSET(S125,,-Assumptions!$H129))</f>
        <v>0</v>
      </c>
      <c r="T125" s="88">
        <f ca="1">T88*Assumptions!U$18+IF(COLUMN(T125)&lt;=6+Assumptions!$H129,0,OFFSET(T125,,-Assumptions!$H129))</f>
        <v>0</v>
      </c>
      <c r="U125" s="88">
        <f ca="1">U88*Assumptions!V$18+IF(COLUMN(U125)&lt;=6+Assumptions!$H129,0,OFFSET(U125,,-Assumptions!$H129))</f>
        <v>0</v>
      </c>
      <c r="V125" s="88">
        <f ca="1">V88*Assumptions!W$18+IF(COLUMN(V125)&lt;=6+Assumptions!$H129,0,OFFSET(V125,,-Assumptions!$H129))</f>
        <v>0</v>
      </c>
      <c r="W125" s="88">
        <f ca="1">W88*Assumptions!X$18+IF(COLUMN(W125)&lt;=6+Assumptions!$H129,0,OFFSET(W125,,-Assumptions!$H129))</f>
        <v>0</v>
      </c>
      <c r="X125" s="88">
        <f ca="1">X88*Assumptions!Y$18+IF(COLUMN(X125)&lt;=6+Assumptions!$H129,0,OFFSET(X125,,-Assumptions!$H129))</f>
        <v>0</v>
      </c>
      <c r="Y125" s="88">
        <f ca="1">Y88*Assumptions!Z$18+IF(COLUMN(Y125)&lt;=6+Assumptions!$H129,0,OFFSET(Y125,,-Assumptions!$H129))</f>
        <v>0</v>
      </c>
      <c r="Z125" s="88">
        <f ca="1">Z88*Assumptions!AA$18+IF(COLUMN(Z125)&lt;=6+Assumptions!$H129,0,OFFSET(Z125,,-Assumptions!$H129))</f>
        <v>0</v>
      </c>
      <c r="AA125" s="88">
        <f ca="1">AA88*Assumptions!AB$18+IF(COLUMN(AA125)&lt;=6+Assumptions!$H129,0,OFFSET(AA125,,-Assumptions!$H129))</f>
        <v>0</v>
      </c>
    </row>
    <row r="126" spans="1:27" x14ac:dyDescent="0.45">
      <c r="A126" s="32"/>
      <c r="B126" s="4"/>
      <c r="C126" s="2" t="s">
        <v>114</v>
      </c>
      <c r="D126" s="2">
        <f t="shared" si="4"/>
        <v>0</v>
      </c>
      <c r="E126" s="23" t="s">
        <v>806</v>
      </c>
      <c r="F126" s="36"/>
      <c r="G126" s="88">
        <f ca="1">G89*Assumptions!H$18+IF(COLUMN(G126)&lt;=6+Assumptions!$H130,0,OFFSET(G126,,-Assumptions!$H130))</f>
        <v>0</v>
      </c>
      <c r="H126" s="88">
        <f ca="1">H89*Assumptions!I$18+IF(COLUMN(H126)&lt;=6+Assumptions!$H130,0,OFFSET(H126,,-Assumptions!$H130))</f>
        <v>0</v>
      </c>
      <c r="I126" s="88">
        <f ca="1">I89*Assumptions!J$18+IF(COLUMN(I126)&lt;=6+Assumptions!$H130,0,OFFSET(I126,,-Assumptions!$H130))</f>
        <v>0</v>
      </c>
      <c r="J126" s="88">
        <f ca="1">J89*Assumptions!K$18+IF(COLUMN(J126)&lt;=6+Assumptions!$H130,0,OFFSET(J126,,-Assumptions!$H130))</f>
        <v>0</v>
      </c>
      <c r="K126" s="88">
        <f ca="1">K89*Assumptions!L$18+IF(COLUMN(K126)&lt;=6+Assumptions!$H130,0,OFFSET(K126,,-Assumptions!$H130))</f>
        <v>0</v>
      </c>
      <c r="L126" s="88">
        <f ca="1">L89*Assumptions!M$18+IF(COLUMN(L126)&lt;=6+Assumptions!$H130,0,OFFSET(L126,,-Assumptions!$H130))</f>
        <v>0</v>
      </c>
      <c r="M126" s="88">
        <f ca="1">M89*Assumptions!N$18+IF(COLUMN(M126)&lt;=6+Assumptions!$H130,0,OFFSET(M126,,-Assumptions!$H130))</f>
        <v>0</v>
      </c>
      <c r="N126" s="88">
        <f ca="1">N89*Assumptions!O$18+IF(COLUMN(N126)&lt;=6+Assumptions!$H130,0,OFFSET(N126,,-Assumptions!$H130))</f>
        <v>0</v>
      </c>
      <c r="O126" s="88">
        <f ca="1">O89*Assumptions!P$18+IF(COLUMN(O126)&lt;=6+Assumptions!$H130,0,OFFSET(O126,,-Assumptions!$H130))</f>
        <v>0</v>
      </c>
      <c r="P126" s="88">
        <f ca="1">P89*Assumptions!Q$18+IF(COLUMN(P126)&lt;=6+Assumptions!$H130,0,OFFSET(P126,,-Assumptions!$H130))</f>
        <v>0</v>
      </c>
      <c r="Q126" s="88">
        <f ca="1">Q89*Assumptions!R$18+IF(COLUMN(Q126)&lt;=6+Assumptions!$H130,0,OFFSET(Q126,,-Assumptions!$H130))</f>
        <v>0</v>
      </c>
      <c r="R126" s="88">
        <f ca="1">R89*Assumptions!S$18+IF(COLUMN(R126)&lt;=6+Assumptions!$H130,0,OFFSET(R126,,-Assumptions!$H130))</f>
        <v>0</v>
      </c>
      <c r="S126" s="88">
        <f ca="1">S89*Assumptions!T$18+IF(COLUMN(S126)&lt;=6+Assumptions!$H130,0,OFFSET(S126,,-Assumptions!$H130))</f>
        <v>0</v>
      </c>
      <c r="T126" s="88">
        <f ca="1">T89*Assumptions!U$18+IF(COLUMN(T126)&lt;=6+Assumptions!$H130,0,OFFSET(T126,,-Assumptions!$H130))</f>
        <v>0</v>
      </c>
      <c r="U126" s="88">
        <f ca="1">U89*Assumptions!V$18+IF(COLUMN(U126)&lt;=6+Assumptions!$H130,0,OFFSET(U126,,-Assumptions!$H130))</f>
        <v>0</v>
      </c>
      <c r="V126" s="88">
        <f ca="1">V89*Assumptions!W$18+IF(COLUMN(V126)&lt;=6+Assumptions!$H130,0,OFFSET(V126,,-Assumptions!$H130))</f>
        <v>0</v>
      </c>
      <c r="W126" s="88">
        <f ca="1">W89*Assumptions!X$18+IF(COLUMN(W126)&lt;=6+Assumptions!$H130,0,OFFSET(W126,,-Assumptions!$H130))</f>
        <v>0</v>
      </c>
      <c r="X126" s="88">
        <f ca="1">X89*Assumptions!Y$18+IF(COLUMN(X126)&lt;=6+Assumptions!$H130,0,OFFSET(X126,,-Assumptions!$H130))</f>
        <v>0</v>
      </c>
      <c r="Y126" s="88">
        <f ca="1">Y89*Assumptions!Z$18+IF(COLUMN(Y126)&lt;=6+Assumptions!$H130,0,OFFSET(Y126,,-Assumptions!$H130))</f>
        <v>0</v>
      </c>
      <c r="Z126" s="88">
        <f ca="1">Z89*Assumptions!AA$18+IF(COLUMN(Z126)&lt;=6+Assumptions!$H130,0,OFFSET(Z126,,-Assumptions!$H130))</f>
        <v>0</v>
      </c>
      <c r="AA126" s="88">
        <f ca="1">AA89*Assumptions!AB$18+IF(COLUMN(AA126)&lt;=6+Assumptions!$H130,0,OFFSET(AA126,,-Assumptions!$H130))</f>
        <v>0</v>
      </c>
    </row>
    <row r="127" spans="1:27" x14ac:dyDescent="0.45">
      <c r="A127" s="32"/>
      <c r="B127" s="4"/>
      <c r="C127" s="2" t="s">
        <v>114</v>
      </c>
      <c r="D127" s="2">
        <f t="shared" si="4"/>
        <v>0</v>
      </c>
      <c r="E127" s="23" t="s">
        <v>806</v>
      </c>
      <c r="F127" s="36"/>
      <c r="G127" s="88">
        <f ca="1">G90*Assumptions!H$18+IF(COLUMN(G127)&lt;=6+Assumptions!$H131,0,OFFSET(G127,,-Assumptions!$H131))</f>
        <v>0</v>
      </c>
      <c r="H127" s="88">
        <f ca="1">H90*Assumptions!I$18+IF(COLUMN(H127)&lt;=6+Assumptions!$H131,0,OFFSET(H127,,-Assumptions!$H131))</f>
        <v>0</v>
      </c>
      <c r="I127" s="88">
        <f ca="1">I90*Assumptions!J$18+IF(COLUMN(I127)&lt;=6+Assumptions!$H131,0,OFFSET(I127,,-Assumptions!$H131))</f>
        <v>0</v>
      </c>
      <c r="J127" s="88">
        <f ca="1">J90*Assumptions!K$18+IF(COLUMN(J127)&lt;=6+Assumptions!$H131,0,OFFSET(J127,,-Assumptions!$H131))</f>
        <v>0</v>
      </c>
      <c r="K127" s="88">
        <f ca="1">K90*Assumptions!L$18+IF(COLUMN(K127)&lt;=6+Assumptions!$H131,0,OFFSET(K127,,-Assumptions!$H131))</f>
        <v>0</v>
      </c>
      <c r="L127" s="88">
        <f ca="1">L90*Assumptions!M$18+IF(COLUMN(L127)&lt;=6+Assumptions!$H131,0,OFFSET(L127,,-Assumptions!$H131))</f>
        <v>0</v>
      </c>
      <c r="M127" s="88">
        <f ca="1">M90*Assumptions!N$18+IF(COLUMN(M127)&lt;=6+Assumptions!$H131,0,OFFSET(M127,,-Assumptions!$H131))</f>
        <v>0</v>
      </c>
      <c r="N127" s="88">
        <f ca="1">N90*Assumptions!O$18+IF(COLUMN(N127)&lt;=6+Assumptions!$H131,0,OFFSET(N127,,-Assumptions!$H131))</f>
        <v>0</v>
      </c>
      <c r="O127" s="88">
        <f ca="1">O90*Assumptions!P$18+IF(COLUMN(O127)&lt;=6+Assumptions!$H131,0,OFFSET(O127,,-Assumptions!$H131))</f>
        <v>0</v>
      </c>
      <c r="P127" s="88">
        <f ca="1">P90*Assumptions!Q$18+IF(COLUMN(P127)&lt;=6+Assumptions!$H131,0,OFFSET(P127,,-Assumptions!$H131))</f>
        <v>0</v>
      </c>
      <c r="Q127" s="88">
        <f ca="1">Q90*Assumptions!R$18+IF(COLUMN(Q127)&lt;=6+Assumptions!$H131,0,OFFSET(Q127,,-Assumptions!$H131))</f>
        <v>0</v>
      </c>
      <c r="R127" s="88">
        <f ca="1">R90*Assumptions!S$18+IF(COLUMN(R127)&lt;=6+Assumptions!$H131,0,OFFSET(R127,,-Assumptions!$H131))</f>
        <v>0</v>
      </c>
      <c r="S127" s="88">
        <f ca="1">S90*Assumptions!T$18+IF(COLUMN(S127)&lt;=6+Assumptions!$H131,0,OFFSET(S127,,-Assumptions!$H131))</f>
        <v>0</v>
      </c>
      <c r="T127" s="88">
        <f ca="1">T90*Assumptions!U$18+IF(COLUMN(T127)&lt;=6+Assumptions!$H131,0,OFFSET(T127,,-Assumptions!$H131))</f>
        <v>0</v>
      </c>
      <c r="U127" s="88">
        <f ca="1">U90*Assumptions!V$18+IF(COLUMN(U127)&lt;=6+Assumptions!$H131,0,OFFSET(U127,,-Assumptions!$H131))</f>
        <v>0</v>
      </c>
      <c r="V127" s="88">
        <f ca="1">V90*Assumptions!W$18+IF(COLUMN(V127)&lt;=6+Assumptions!$H131,0,OFFSET(V127,,-Assumptions!$H131))</f>
        <v>0</v>
      </c>
      <c r="W127" s="88">
        <f ca="1">W90*Assumptions!X$18+IF(COLUMN(W127)&lt;=6+Assumptions!$H131,0,OFFSET(W127,,-Assumptions!$H131))</f>
        <v>0</v>
      </c>
      <c r="X127" s="88">
        <f ca="1">X90*Assumptions!Y$18+IF(COLUMN(X127)&lt;=6+Assumptions!$H131,0,OFFSET(X127,,-Assumptions!$H131))</f>
        <v>0</v>
      </c>
      <c r="Y127" s="88">
        <f ca="1">Y90*Assumptions!Z$18+IF(COLUMN(Y127)&lt;=6+Assumptions!$H131,0,OFFSET(Y127,,-Assumptions!$H131))</f>
        <v>0</v>
      </c>
      <c r="Z127" s="88">
        <f ca="1">Z90*Assumptions!AA$18+IF(COLUMN(Z127)&lt;=6+Assumptions!$H131,0,OFFSET(Z127,,-Assumptions!$H131))</f>
        <v>0</v>
      </c>
      <c r="AA127" s="88">
        <f ca="1">AA90*Assumptions!AB$18+IF(COLUMN(AA127)&lt;=6+Assumptions!$H131,0,OFFSET(AA127,,-Assumptions!$H131))</f>
        <v>0</v>
      </c>
    </row>
    <row r="128" spans="1:27" x14ac:dyDescent="0.45">
      <c r="A128" s="32"/>
      <c r="B128" s="4"/>
      <c r="C128" s="2" t="s">
        <v>114</v>
      </c>
      <c r="D128" s="2">
        <f t="shared" si="4"/>
        <v>0</v>
      </c>
      <c r="E128" s="23" t="s">
        <v>806</v>
      </c>
      <c r="F128" s="36"/>
      <c r="G128" s="88">
        <f ca="1">G91*Assumptions!H$18+IF(COLUMN(G128)&lt;=6+Assumptions!$H132,0,OFFSET(G128,,-Assumptions!$H132))</f>
        <v>0</v>
      </c>
      <c r="H128" s="88">
        <f ca="1">H91*Assumptions!I$18+IF(COLUMN(H128)&lt;=6+Assumptions!$H132,0,OFFSET(H128,,-Assumptions!$H132))</f>
        <v>0</v>
      </c>
      <c r="I128" s="88">
        <f ca="1">I91*Assumptions!J$18+IF(COLUMN(I128)&lt;=6+Assumptions!$H132,0,OFFSET(I128,,-Assumptions!$H132))</f>
        <v>0</v>
      </c>
      <c r="J128" s="88">
        <f ca="1">J91*Assumptions!K$18+IF(COLUMN(J128)&lt;=6+Assumptions!$H132,0,OFFSET(J128,,-Assumptions!$H132))</f>
        <v>0</v>
      </c>
      <c r="K128" s="88">
        <f ca="1">K91*Assumptions!L$18+IF(COLUMN(K128)&lt;=6+Assumptions!$H132,0,OFFSET(K128,,-Assumptions!$H132))</f>
        <v>0</v>
      </c>
      <c r="L128" s="88">
        <f ca="1">L91*Assumptions!M$18+IF(COLUMN(L128)&lt;=6+Assumptions!$H132,0,OFFSET(L128,,-Assumptions!$H132))</f>
        <v>0</v>
      </c>
      <c r="M128" s="88">
        <f ca="1">M91*Assumptions!N$18+IF(COLUMN(M128)&lt;=6+Assumptions!$H132,0,OFFSET(M128,,-Assumptions!$H132))</f>
        <v>0</v>
      </c>
      <c r="N128" s="88">
        <f ca="1">N91*Assumptions!O$18+IF(COLUMN(N128)&lt;=6+Assumptions!$H132,0,OFFSET(N128,,-Assumptions!$H132))</f>
        <v>0</v>
      </c>
      <c r="O128" s="88">
        <f ca="1">O91*Assumptions!P$18+IF(COLUMN(O128)&lt;=6+Assumptions!$H132,0,OFFSET(O128,,-Assumptions!$H132))</f>
        <v>0</v>
      </c>
      <c r="P128" s="88">
        <f ca="1">P91*Assumptions!Q$18+IF(COLUMN(P128)&lt;=6+Assumptions!$H132,0,OFFSET(P128,,-Assumptions!$H132))</f>
        <v>0</v>
      </c>
      <c r="Q128" s="88">
        <f ca="1">Q91*Assumptions!R$18+IF(COLUMN(Q128)&lt;=6+Assumptions!$H132,0,OFFSET(Q128,,-Assumptions!$H132))</f>
        <v>0</v>
      </c>
      <c r="R128" s="88">
        <f ca="1">R91*Assumptions!S$18+IF(COLUMN(R128)&lt;=6+Assumptions!$H132,0,OFFSET(R128,,-Assumptions!$H132))</f>
        <v>0</v>
      </c>
      <c r="S128" s="88">
        <f ca="1">S91*Assumptions!T$18+IF(COLUMN(S128)&lt;=6+Assumptions!$H132,0,OFFSET(S128,,-Assumptions!$H132))</f>
        <v>0</v>
      </c>
      <c r="T128" s="88">
        <f ca="1">T91*Assumptions!U$18+IF(COLUMN(T128)&lt;=6+Assumptions!$H132,0,OFFSET(T128,,-Assumptions!$H132))</f>
        <v>0</v>
      </c>
      <c r="U128" s="88">
        <f ca="1">U91*Assumptions!V$18+IF(COLUMN(U128)&lt;=6+Assumptions!$H132,0,OFFSET(U128,,-Assumptions!$H132))</f>
        <v>0</v>
      </c>
      <c r="V128" s="88">
        <f ca="1">V91*Assumptions!W$18+IF(COLUMN(V128)&lt;=6+Assumptions!$H132,0,OFFSET(V128,,-Assumptions!$H132))</f>
        <v>0</v>
      </c>
      <c r="W128" s="88">
        <f ca="1">W91*Assumptions!X$18+IF(COLUMN(W128)&lt;=6+Assumptions!$H132,0,OFFSET(W128,,-Assumptions!$H132))</f>
        <v>0</v>
      </c>
      <c r="X128" s="88">
        <f ca="1">X91*Assumptions!Y$18+IF(COLUMN(X128)&lt;=6+Assumptions!$H132,0,OFFSET(X128,,-Assumptions!$H132))</f>
        <v>0</v>
      </c>
      <c r="Y128" s="88">
        <f ca="1">Y91*Assumptions!Z$18+IF(COLUMN(Y128)&lt;=6+Assumptions!$H132,0,OFFSET(Y128,,-Assumptions!$H132))</f>
        <v>0</v>
      </c>
      <c r="Z128" s="88">
        <f ca="1">Z91*Assumptions!AA$18+IF(COLUMN(Z128)&lt;=6+Assumptions!$H132,0,OFFSET(Z128,,-Assumptions!$H132))</f>
        <v>0</v>
      </c>
      <c r="AA128" s="88">
        <f ca="1">AA91*Assumptions!AB$18+IF(COLUMN(AA128)&lt;=6+Assumptions!$H132,0,OFFSET(AA128,,-Assumptions!$H132))</f>
        <v>0</v>
      </c>
    </row>
    <row r="129" spans="1:27" x14ac:dyDescent="0.45">
      <c r="A129" s="32"/>
      <c r="B129" s="4"/>
      <c r="C129" s="2" t="s">
        <v>114</v>
      </c>
      <c r="D129" s="2">
        <f t="shared" si="4"/>
        <v>0</v>
      </c>
      <c r="E129" s="23" t="s">
        <v>806</v>
      </c>
      <c r="F129" s="36"/>
      <c r="G129" s="88">
        <f ca="1">G92*Assumptions!H$18+IF(COLUMN(G129)&lt;=6+Assumptions!$H133,0,OFFSET(G129,,-Assumptions!$H133))</f>
        <v>0</v>
      </c>
      <c r="H129" s="88">
        <f ca="1">H92*Assumptions!I$18+IF(COLUMN(H129)&lt;=6+Assumptions!$H133,0,OFFSET(H129,,-Assumptions!$H133))</f>
        <v>0</v>
      </c>
      <c r="I129" s="88">
        <f ca="1">I92*Assumptions!J$18+IF(COLUMN(I129)&lt;=6+Assumptions!$H133,0,OFFSET(I129,,-Assumptions!$H133))</f>
        <v>0</v>
      </c>
      <c r="J129" s="88">
        <f ca="1">J92*Assumptions!K$18+IF(COLUMN(J129)&lt;=6+Assumptions!$H133,0,OFFSET(J129,,-Assumptions!$H133))</f>
        <v>0</v>
      </c>
      <c r="K129" s="88">
        <f ca="1">K92*Assumptions!L$18+IF(COLUMN(K129)&lt;=6+Assumptions!$H133,0,OFFSET(K129,,-Assumptions!$H133))</f>
        <v>0</v>
      </c>
      <c r="L129" s="88">
        <f ca="1">L92*Assumptions!M$18+IF(COLUMN(L129)&lt;=6+Assumptions!$H133,0,OFFSET(L129,,-Assumptions!$H133))</f>
        <v>0</v>
      </c>
      <c r="M129" s="88">
        <f ca="1">M92*Assumptions!N$18+IF(COLUMN(M129)&lt;=6+Assumptions!$H133,0,OFFSET(M129,,-Assumptions!$H133))</f>
        <v>0</v>
      </c>
      <c r="N129" s="88">
        <f ca="1">N92*Assumptions!O$18+IF(COLUMN(N129)&lt;=6+Assumptions!$H133,0,OFFSET(N129,,-Assumptions!$H133))</f>
        <v>0</v>
      </c>
      <c r="O129" s="88">
        <f ca="1">O92*Assumptions!P$18+IF(COLUMN(O129)&lt;=6+Assumptions!$H133,0,OFFSET(O129,,-Assumptions!$H133))</f>
        <v>0</v>
      </c>
      <c r="P129" s="88">
        <f ca="1">P92*Assumptions!Q$18+IF(COLUMN(P129)&lt;=6+Assumptions!$H133,0,OFFSET(P129,,-Assumptions!$H133))</f>
        <v>0</v>
      </c>
      <c r="Q129" s="88">
        <f ca="1">Q92*Assumptions!R$18+IF(COLUMN(Q129)&lt;=6+Assumptions!$H133,0,OFFSET(Q129,,-Assumptions!$H133))</f>
        <v>0</v>
      </c>
      <c r="R129" s="88">
        <f ca="1">R92*Assumptions!S$18+IF(COLUMN(R129)&lt;=6+Assumptions!$H133,0,OFFSET(R129,,-Assumptions!$H133))</f>
        <v>0</v>
      </c>
      <c r="S129" s="88">
        <f ca="1">S92*Assumptions!T$18+IF(COLUMN(S129)&lt;=6+Assumptions!$H133,0,OFFSET(S129,,-Assumptions!$H133))</f>
        <v>0</v>
      </c>
      <c r="T129" s="88">
        <f ca="1">T92*Assumptions!U$18+IF(COLUMN(T129)&lt;=6+Assumptions!$H133,0,OFFSET(T129,,-Assumptions!$H133))</f>
        <v>0</v>
      </c>
      <c r="U129" s="88">
        <f ca="1">U92*Assumptions!V$18+IF(COLUMN(U129)&lt;=6+Assumptions!$H133,0,OFFSET(U129,,-Assumptions!$H133))</f>
        <v>0</v>
      </c>
      <c r="V129" s="88">
        <f ca="1">V92*Assumptions!W$18+IF(COLUMN(V129)&lt;=6+Assumptions!$H133,0,OFFSET(V129,,-Assumptions!$H133))</f>
        <v>0</v>
      </c>
      <c r="W129" s="88">
        <f ca="1">W92*Assumptions!X$18+IF(COLUMN(W129)&lt;=6+Assumptions!$H133,0,OFFSET(W129,,-Assumptions!$H133))</f>
        <v>0</v>
      </c>
      <c r="X129" s="88">
        <f ca="1">X92*Assumptions!Y$18+IF(COLUMN(X129)&lt;=6+Assumptions!$H133,0,OFFSET(X129,,-Assumptions!$H133))</f>
        <v>0</v>
      </c>
      <c r="Y129" s="88">
        <f ca="1">Y92*Assumptions!Z$18+IF(COLUMN(Y129)&lt;=6+Assumptions!$H133,0,OFFSET(Y129,,-Assumptions!$H133))</f>
        <v>0</v>
      </c>
      <c r="Z129" s="88">
        <f ca="1">Z92*Assumptions!AA$18+IF(COLUMN(Z129)&lt;=6+Assumptions!$H133,0,OFFSET(Z129,,-Assumptions!$H133))</f>
        <v>0</v>
      </c>
      <c r="AA129" s="88">
        <f ca="1">AA92*Assumptions!AB$18+IF(COLUMN(AA129)&lt;=6+Assumptions!$H133,0,OFFSET(AA129,,-Assumptions!$H133))</f>
        <v>0</v>
      </c>
    </row>
    <row r="130" spans="1:27" x14ac:dyDescent="0.45">
      <c r="A130" s="32"/>
      <c r="B130" s="4"/>
      <c r="C130" s="2" t="s">
        <v>114</v>
      </c>
      <c r="D130" s="2">
        <f t="shared" si="4"/>
        <v>0</v>
      </c>
      <c r="E130" s="23" t="s">
        <v>806</v>
      </c>
      <c r="F130" s="36"/>
      <c r="G130" s="88">
        <f ca="1">G93*Assumptions!H$18+IF(COLUMN(G130)&lt;=6+Assumptions!$H134,0,OFFSET(G130,,-Assumptions!$H134))</f>
        <v>0</v>
      </c>
      <c r="H130" s="88">
        <f ca="1">H93*Assumptions!I$18+IF(COLUMN(H130)&lt;=6+Assumptions!$H134,0,OFFSET(H130,,-Assumptions!$H134))</f>
        <v>0</v>
      </c>
      <c r="I130" s="88">
        <f ca="1">I93*Assumptions!J$18+IF(COLUMN(I130)&lt;=6+Assumptions!$H134,0,OFFSET(I130,,-Assumptions!$H134))</f>
        <v>0</v>
      </c>
      <c r="J130" s="88">
        <f ca="1">J93*Assumptions!K$18+IF(COLUMN(J130)&lt;=6+Assumptions!$H134,0,OFFSET(J130,,-Assumptions!$H134))</f>
        <v>0</v>
      </c>
      <c r="K130" s="88">
        <f ca="1">K93*Assumptions!L$18+IF(COLUMN(K130)&lt;=6+Assumptions!$H134,0,OFFSET(K130,,-Assumptions!$H134))</f>
        <v>0</v>
      </c>
      <c r="L130" s="88">
        <f ca="1">L93*Assumptions!M$18+IF(COLUMN(L130)&lt;=6+Assumptions!$H134,0,OFFSET(L130,,-Assumptions!$H134))</f>
        <v>0</v>
      </c>
      <c r="M130" s="88">
        <f ca="1">M93*Assumptions!N$18+IF(COLUMN(M130)&lt;=6+Assumptions!$H134,0,OFFSET(M130,,-Assumptions!$H134))</f>
        <v>0</v>
      </c>
      <c r="N130" s="88">
        <f ca="1">N93*Assumptions!O$18+IF(COLUMN(N130)&lt;=6+Assumptions!$H134,0,OFFSET(N130,,-Assumptions!$H134))</f>
        <v>0</v>
      </c>
      <c r="O130" s="88">
        <f ca="1">O93*Assumptions!P$18+IF(COLUMN(O130)&lt;=6+Assumptions!$H134,0,OFFSET(O130,,-Assumptions!$H134))</f>
        <v>0</v>
      </c>
      <c r="P130" s="88">
        <f ca="1">P93*Assumptions!Q$18+IF(COLUMN(P130)&lt;=6+Assumptions!$H134,0,OFFSET(P130,,-Assumptions!$H134))</f>
        <v>0</v>
      </c>
      <c r="Q130" s="88">
        <f ca="1">Q93*Assumptions!R$18+IF(COLUMN(Q130)&lt;=6+Assumptions!$H134,0,OFFSET(Q130,,-Assumptions!$H134))</f>
        <v>0</v>
      </c>
      <c r="R130" s="88">
        <f ca="1">R93*Assumptions!S$18+IF(COLUMN(R130)&lt;=6+Assumptions!$H134,0,OFFSET(R130,,-Assumptions!$H134))</f>
        <v>0</v>
      </c>
      <c r="S130" s="88">
        <f ca="1">S93*Assumptions!T$18+IF(COLUMN(S130)&lt;=6+Assumptions!$H134,0,OFFSET(S130,,-Assumptions!$H134))</f>
        <v>0</v>
      </c>
      <c r="T130" s="88">
        <f ca="1">T93*Assumptions!U$18+IF(COLUMN(T130)&lt;=6+Assumptions!$H134,0,OFFSET(T130,,-Assumptions!$H134))</f>
        <v>0</v>
      </c>
      <c r="U130" s="88">
        <f ca="1">U93*Assumptions!V$18+IF(COLUMN(U130)&lt;=6+Assumptions!$H134,0,OFFSET(U130,,-Assumptions!$H134))</f>
        <v>0</v>
      </c>
      <c r="V130" s="88">
        <f ca="1">V93*Assumptions!W$18+IF(COLUMN(V130)&lt;=6+Assumptions!$H134,0,OFFSET(V130,,-Assumptions!$H134))</f>
        <v>0</v>
      </c>
      <c r="W130" s="88">
        <f ca="1">W93*Assumptions!X$18+IF(COLUMN(W130)&lt;=6+Assumptions!$H134,0,OFFSET(W130,,-Assumptions!$H134))</f>
        <v>0</v>
      </c>
      <c r="X130" s="88">
        <f ca="1">X93*Assumptions!Y$18+IF(COLUMN(X130)&lt;=6+Assumptions!$H134,0,OFFSET(X130,,-Assumptions!$H134))</f>
        <v>0</v>
      </c>
      <c r="Y130" s="88">
        <f ca="1">Y93*Assumptions!Z$18+IF(COLUMN(Y130)&lt;=6+Assumptions!$H134,0,OFFSET(Y130,,-Assumptions!$H134))</f>
        <v>0</v>
      </c>
      <c r="Z130" s="88">
        <f ca="1">Z93*Assumptions!AA$18+IF(COLUMN(Z130)&lt;=6+Assumptions!$H134,0,OFFSET(Z130,,-Assumptions!$H134))</f>
        <v>0</v>
      </c>
      <c r="AA130" s="88">
        <f ca="1">AA93*Assumptions!AB$18+IF(COLUMN(AA130)&lt;=6+Assumptions!$H134,0,OFFSET(AA130,,-Assumptions!$H134))</f>
        <v>0</v>
      </c>
    </row>
    <row r="131" spans="1:27" x14ac:dyDescent="0.45">
      <c r="A131" s="32"/>
      <c r="B131" s="4"/>
      <c r="C131" s="2" t="s">
        <v>114</v>
      </c>
      <c r="D131" s="2">
        <f>D94</f>
        <v>0</v>
      </c>
      <c r="E131" s="23" t="s">
        <v>806</v>
      </c>
      <c r="F131" s="36"/>
      <c r="G131" s="88">
        <f ca="1">G94*Assumptions!H$18+IF(COLUMN(G131)&lt;=6+Assumptions!$H135,0,OFFSET(G131,,-Assumptions!$H135))</f>
        <v>0</v>
      </c>
      <c r="H131" s="88">
        <f ca="1">H94*Assumptions!I$18+IF(COLUMN(H131)&lt;=6+Assumptions!$H135,0,OFFSET(H131,,-Assumptions!$H135))</f>
        <v>0</v>
      </c>
      <c r="I131" s="88">
        <f ca="1">I94*Assumptions!J$18+IF(COLUMN(I131)&lt;=6+Assumptions!$H135,0,OFFSET(I131,,-Assumptions!$H135))</f>
        <v>0</v>
      </c>
      <c r="J131" s="88">
        <f ca="1">J94*Assumptions!K$18+IF(COLUMN(J131)&lt;=6+Assumptions!$H135,0,OFFSET(J131,,-Assumptions!$H135))</f>
        <v>0</v>
      </c>
      <c r="K131" s="88">
        <f ca="1">K94*Assumptions!L$18+IF(COLUMN(K131)&lt;=6+Assumptions!$H135,0,OFFSET(K131,,-Assumptions!$H135))</f>
        <v>0</v>
      </c>
      <c r="L131" s="88">
        <f ca="1">L94*Assumptions!M$18+IF(COLUMN(L131)&lt;=6+Assumptions!$H135,0,OFFSET(L131,,-Assumptions!$H135))</f>
        <v>0</v>
      </c>
      <c r="M131" s="88">
        <f ca="1">M94*Assumptions!N$18+IF(COLUMN(M131)&lt;=6+Assumptions!$H135,0,OFFSET(M131,,-Assumptions!$H135))</f>
        <v>0</v>
      </c>
      <c r="N131" s="88">
        <f ca="1">N94*Assumptions!O$18+IF(COLUMN(N131)&lt;=6+Assumptions!$H135,0,OFFSET(N131,,-Assumptions!$H135))</f>
        <v>0</v>
      </c>
      <c r="O131" s="88">
        <f ca="1">O94*Assumptions!P$18+IF(COLUMN(O131)&lt;=6+Assumptions!$H135,0,OFFSET(O131,,-Assumptions!$H135))</f>
        <v>0</v>
      </c>
      <c r="P131" s="88">
        <f ca="1">P94*Assumptions!Q$18+IF(COLUMN(P131)&lt;=6+Assumptions!$H135,0,OFFSET(P131,,-Assumptions!$H135))</f>
        <v>0</v>
      </c>
      <c r="Q131" s="88">
        <f ca="1">Q94*Assumptions!R$18+IF(COLUMN(Q131)&lt;=6+Assumptions!$H135,0,OFFSET(Q131,,-Assumptions!$H135))</f>
        <v>0</v>
      </c>
      <c r="R131" s="88">
        <f ca="1">R94*Assumptions!S$18+IF(COLUMN(R131)&lt;=6+Assumptions!$H135,0,OFFSET(R131,,-Assumptions!$H135))</f>
        <v>0</v>
      </c>
      <c r="S131" s="88">
        <f ca="1">S94*Assumptions!T$18+IF(COLUMN(S131)&lt;=6+Assumptions!$H135,0,OFFSET(S131,,-Assumptions!$H135))</f>
        <v>0</v>
      </c>
      <c r="T131" s="88">
        <f ca="1">T94*Assumptions!U$18+IF(COLUMN(T131)&lt;=6+Assumptions!$H135,0,OFFSET(T131,,-Assumptions!$H135))</f>
        <v>0</v>
      </c>
      <c r="U131" s="88">
        <f ca="1">U94*Assumptions!V$18+IF(COLUMN(U131)&lt;=6+Assumptions!$H135,0,OFFSET(U131,,-Assumptions!$H135))</f>
        <v>0</v>
      </c>
      <c r="V131" s="88">
        <f ca="1">V94*Assumptions!W$18+IF(COLUMN(V131)&lt;=6+Assumptions!$H135,0,OFFSET(V131,,-Assumptions!$H135))</f>
        <v>0</v>
      </c>
      <c r="W131" s="88">
        <f ca="1">W94*Assumptions!X$18+IF(COLUMN(W131)&lt;=6+Assumptions!$H135,0,OFFSET(W131,,-Assumptions!$H135))</f>
        <v>0</v>
      </c>
      <c r="X131" s="88">
        <f ca="1">X94*Assumptions!Y$18+IF(COLUMN(X131)&lt;=6+Assumptions!$H135,0,OFFSET(X131,,-Assumptions!$H135))</f>
        <v>0</v>
      </c>
      <c r="Y131" s="88">
        <f ca="1">Y94*Assumptions!Z$18+IF(COLUMN(Y131)&lt;=6+Assumptions!$H135,0,OFFSET(Y131,,-Assumptions!$H135))</f>
        <v>0</v>
      </c>
      <c r="Z131" s="88">
        <f ca="1">Z94*Assumptions!AA$18+IF(COLUMN(Z131)&lt;=6+Assumptions!$H135,0,OFFSET(Z131,,-Assumptions!$H135))</f>
        <v>0</v>
      </c>
      <c r="AA131" s="88">
        <f ca="1">AA94*Assumptions!AB$18+IF(COLUMN(AA131)&lt;=6+Assumptions!$H135,0,OFFSET(AA131,,-Assumptions!$H135))</f>
        <v>0</v>
      </c>
    </row>
    <row r="132" spans="1:27" x14ac:dyDescent="0.45">
      <c r="A132" s="32"/>
      <c r="B132" s="4"/>
      <c r="C132" s="2" t="s">
        <v>114</v>
      </c>
      <c r="D132" s="2">
        <f t="shared" si="4"/>
        <v>0</v>
      </c>
      <c r="E132" s="23" t="s">
        <v>806</v>
      </c>
      <c r="F132" s="36"/>
      <c r="G132" s="88">
        <f ca="1">G95*Assumptions!H$18+IF(COLUMN(G132)&lt;=6+Assumptions!$H136,0,OFFSET(G132,,-Assumptions!$H136))</f>
        <v>0</v>
      </c>
      <c r="H132" s="88">
        <f ca="1">H95*Assumptions!I$18+IF(COLUMN(H132)&lt;=6+Assumptions!$H136,0,OFFSET(H132,,-Assumptions!$H136))</f>
        <v>0</v>
      </c>
      <c r="I132" s="88">
        <f ca="1">I95*Assumptions!J$18+IF(COLUMN(I132)&lt;=6+Assumptions!$H136,0,OFFSET(I132,,-Assumptions!$H136))</f>
        <v>0</v>
      </c>
      <c r="J132" s="88">
        <f ca="1">J95*Assumptions!K$18+IF(COLUMN(J132)&lt;=6+Assumptions!$H136,0,OFFSET(J132,,-Assumptions!$H136))</f>
        <v>0</v>
      </c>
      <c r="K132" s="88">
        <f ca="1">K95*Assumptions!L$18+IF(COLUMN(K132)&lt;=6+Assumptions!$H136,0,OFFSET(K132,,-Assumptions!$H136))</f>
        <v>0</v>
      </c>
      <c r="L132" s="88">
        <f ca="1">L95*Assumptions!M$18+IF(COLUMN(L132)&lt;=6+Assumptions!$H136,0,OFFSET(L132,,-Assumptions!$H136))</f>
        <v>0</v>
      </c>
      <c r="M132" s="88">
        <f ca="1">M95*Assumptions!N$18+IF(COLUMN(M132)&lt;=6+Assumptions!$H136,0,OFFSET(M132,,-Assumptions!$H136))</f>
        <v>0</v>
      </c>
      <c r="N132" s="88">
        <f ca="1">N95*Assumptions!O$18+IF(COLUMN(N132)&lt;=6+Assumptions!$H136,0,OFFSET(N132,,-Assumptions!$H136))</f>
        <v>0</v>
      </c>
      <c r="O132" s="88">
        <f ca="1">O95*Assumptions!P$18+IF(COLUMN(O132)&lt;=6+Assumptions!$H136,0,OFFSET(O132,,-Assumptions!$H136))</f>
        <v>0</v>
      </c>
      <c r="P132" s="88">
        <f ca="1">P95*Assumptions!Q$18+IF(COLUMN(P132)&lt;=6+Assumptions!$H136,0,OFFSET(P132,,-Assumptions!$H136))</f>
        <v>0</v>
      </c>
      <c r="Q132" s="88">
        <f ca="1">Q95*Assumptions!R$18+IF(COLUMN(Q132)&lt;=6+Assumptions!$H136,0,OFFSET(Q132,,-Assumptions!$H136))</f>
        <v>0</v>
      </c>
      <c r="R132" s="88">
        <f ca="1">R95*Assumptions!S$18+IF(COLUMN(R132)&lt;=6+Assumptions!$H136,0,OFFSET(R132,,-Assumptions!$H136))</f>
        <v>0</v>
      </c>
      <c r="S132" s="88">
        <f ca="1">S95*Assumptions!T$18+IF(COLUMN(S132)&lt;=6+Assumptions!$H136,0,OFFSET(S132,,-Assumptions!$H136))</f>
        <v>0</v>
      </c>
      <c r="T132" s="88">
        <f ca="1">T95*Assumptions!U$18+IF(COLUMN(T132)&lt;=6+Assumptions!$H136,0,OFFSET(T132,,-Assumptions!$H136))</f>
        <v>0</v>
      </c>
      <c r="U132" s="88">
        <f ca="1">U95*Assumptions!V$18+IF(COLUMN(U132)&lt;=6+Assumptions!$H136,0,OFFSET(U132,,-Assumptions!$H136))</f>
        <v>0</v>
      </c>
      <c r="V132" s="88">
        <f ca="1">V95*Assumptions!W$18+IF(COLUMN(V132)&lt;=6+Assumptions!$H136,0,OFFSET(V132,,-Assumptions!$H136))</f>
        <v>0</v>
      </c>
      <c r="W132" s="88">
        <f ca="1">W95*Assumptions!X$18+IF(COLUMN(W132)&lt;=6+Assumptions!$H136,0,OFFSET(W132,,-Assumptions!$H136))</f>
        <v>0</v>
      </c>
      <c r="X132" s="88">
        <f ca="1">X95*Assumptions!Y$18+IF(COLUMN(X132)&lt;=6+Assumptions!$H136,0,OFFSET(X132,,-Assumptions!$H136))</f>
        <v>0</v>
      </c>
      <c r="Y132" s="88">
        <f ca="1">Y95*Assumptions!Z$18+IF(COLUMN(Y132)&lt;=6+Assumptions!$H136,0,OFFSET(Y132,,-Assumptions!$H136))</f>
        <v>0</v>
      </c>
      <c r="Z132" s="88">
        <f ca="1">Z95*Assumptions!AA$18+IF(COLUMN(Z132)&lt;=6+Assumptions!$H136,0,OFFSET(Z132,,-Assumptions!$H136))</f>
        <v>0</v>
      </c>
      <c r="AA132" s="88">
        <f ca="1">AA95*Assumptions!AB$18+IF(COLUMN(AA132)&lt;=6+Assumptions!$H136,0,OFFSET(AA132,,-Assumptions!$H136))</f>
        <v>0</v>
      </c>
    </row>
    <row r="133" spans="1:27" x14ac:dyDescent="0.45">
      <c r="A133" s="32"/>
      <c r="B133" s="4"/>
      <c r="C133" s="2" t="s">
        <v>114</v>
      </c>
      <c r="D133" s="2">
        <f t="shared" si="4"/>
        <v>0</v>
      </c>
      <c r="E133" s="23" t="s">
        <v>806</v>
      </c>
      <c r="F133" s="36"/>
      <c r="G133" s="88">
        <f ca="1">G96*Assumptions!H$18+IF(COLUMN(G133)&lt;=6+Assumptions!$H137,0,OFFSET(G133,,-Assumptions!$H137))</f>
        <v>0</v>
      </c>
      <c r="H133" s="88">
        <f ca="1">H96*Assumptions!I$18+IF(COLUMN(H133)&lt;=6+Assumptions!$H137,0,OFFSET(H133,,-Assumptions!$H137))</f>
        <v>0</v>
      </c>
      <c r="I133" s="88">
        <f ca="1">I96*Assumptions!J$18+IF(COLUMN(I133)&lt;=6+Assumptions!$H137,0,OFFSET(I133,,-Assumptions!$H137))</f>
        <v>0</v>
      </c>
      <c r="J133" s="88">
        <f ca="1">J96*Assumptions!K$18+IF(COLUMN(J133)&lt;=6+Assumptions!$H137,0,OFFSET(J133,,-Assumptions!$H137))</f>
        <v>0</v>
      </c>
      <c r="K133" s="88">
        <f ca="1">K96*Assumptions!L$18+IF(COLUMN(K133)&lt;=6+Assumptions!$H137,0,OFFSET(K133,,-Assumptions!$H137))</f>
        <v>0</v>
      </c>
      <c r="L133" s="88">
        <f ca="1">L96*Assumptions!M$18+IF(COLUMN(L133)&lt;=6+Assumptions!$H137,0,OFFSET(L133,,-Assumptions!$H137))</f>
        <v>0</v>
      </c>
      <c r="M133" s="88">
        <f ca="1">M96*Assumptions!N$18+IF(COLUMN(M133)&lt;=6+Assumptions!$H137,0,OFFSET(M133,,-Assumptions!$H137))</f>
        <v>0</v>
      </c>
      <c r="N133" s="88">
        <f ca="1">N96*Assumptions!O$18+IF(COLUMN(N133)&lt;=6+Assumptions!$H137,0,OFFSET(N133,,-Assumptions!$H137))</f>
        <v>0</v>
      </c>
      <c r="O133" s="88">
        <f ca="1">O96*Assumptions!P$18+IF(COLUMN(O133)&lt;=6+Assumptions!$H137,0,OFFSET(O133,,-Assumptions!$H137))</f>
        <v>0</v>
      </c>
      <c r="P133" s="88">
        <f ca="1">P96*Assumptions!Q$18+IF(COLUMN(P133)&lt;=6+Assumptions!$H137,0,OFFSET(P133,,-Assumptions!$H137))</f>
        <v>0</v>
      </c>
      <c r="Q133" s="88">
        <f ca="1">Q96*Assumptions!R$18+IF(COLUMN(Q133)&lt;=6+Assumptions!$H137,0,OFFSET(Q133,,-Assumptions!$H137))</f>
        <v>0</v>
      </c>
      <c r="R133" s="88">
        <f ca="1">R96*Assumptions!S$18+IF(COLUMN(R133)&lt;=6+Assumptions!$H137,0,OFFSET(R133,,-Assumptions!$H137))</f>
        <v>0</v>
      </c>
      <c r="S133" s="88">
        <f ca="1">S96*Assumptions!T$18+IF(COLUMN(S133)&lt;=6+Assumptions!$H137,0,OFFSET(S133,,-Assumptions!$H137))</f>
        <v>0</v>
      </c>
      <c r="T133" s="88">
        <f ca="1">T96*Assumptions!U$18+IF(COLUMN(T133)&lt;=6+Assumptions!$H137,0,OFFSET(T133,,-Assumptions!$H137))</f>
        <v>0</v>
      </c>
      <c r="U133" s="88">
        <f ca="1">U96*Assumptions!V$18+IF(COLUMN(U133)&lt;=6+Assumptions!$H137,0,OFFSET(U133,,-Assumptions!$H137))</f>
        <v>0</v>
      </c>
      <c r="V133" s="88">
        <f ca="1">V96*Assumptions!W$18+IF(COLUMN(V133)&lt;=6+Assumptions!$H137,0,OFFSET(V133,,-Assumptions!$H137))</f>
        <v>0</v>
      </c>
      <c r="W133" s="88">
        <f ca="1">W96*Assumptions!X$18+IF(COLUMN(W133)&lt;=6+Assumptions!$H137,0,OFFSET(W133,,-Assumptions!$H137))</f>
        <v>0</v>
      </c>
      <c r="X133" s="88">
        <f ca="1">X96*Assumptions!Y$18+IF(COLUMN(X133)&lt;=6+Assumptions!$H137,0,OFFSET(X133,,-Assumptions!$H137))</f>
        <v>0</v>
      </c>
      <c r="Y133" s="88">
        <f ca="1">Y96*Assumptions!Z$18+IF(COLUMN(Y133)&lt;=6+Assumptions!$H137,0,OFFSET(Y133,,-Assumptions!$H137))</f>
        <v>0</v>
      </c>
      <c r="Z133" s="88">
        <f ca="1">Z96*Assumptions!AA$18+IF(COLUMN(Z133)&lt;=6+Assumptions!$H137,0,OFFSET(Z133,,-Assumptions!$H137))</f>
        <v>0</v>
      </c>
      <c r="AA133" s="88">
        <f ca="1">AA96*Assumptions!AB$18+IF(COLUMN(AA133)&lt;=6+Assumptions!$H137,0,OFFSET(AA133,,-Assumptions!$H137))</f>
        <v>0</v>
      </c>
    </row>
    <row r="134" spans="1:27" x14ac:dyDescent="0.45">
      <c r="A134" s="32"/>
      <c r="B134" s="4"/>
      <c r="C134" s="2" t="s">
        <v>114</v>
      </c>
      <c r="D134" s="2">
        <f t="shared" si="4"/>
        <v>0</v>
      </c>
      <c r="E134" s="23" t="s">
        <v>806</v>
      </c>
      <c r="F134" s="36"/>
      <c r="G134" s="88">
        <f ca="1">G97*Assumptions!H$18+IF(COLUMN(G134)&lt;=6+Assumptions!$H138,0,OFFSET(G134,,-Assumptions!$H138))</f>
        <v>0</v>
      </c>
      <c r="H134" s="88">
        <f ca="1">H97*Assumptions!I$18+IF(COLUMN(H134)&lt;=6+Assumptions!$H138,0,OFFSET(H134,,-Assumptions!$H138))</f>
        <v>0</v>
      </c>
      <c r="I134" s="88">
        <f ca="1">I97*Assumptions!J$18+IF(COLUMN(I134)&lt;=6+Assumptions!$H138,0,OFFSET(I134,,-Assumptions!$H138))</f>
        <v>0</v>
      </c>
      <c r="J134" s="88">
        <f ca="1">J97*Assumptions!K$18+IF(COLUMN(J134)&lt;=6+Assumptions!$H138,0,OFFSET(J134,,-Assumptions!$H138))</f>
        <v>0</v>
      </c>
      <c r="K134" s="88">
        <f ca="1">K97*Assumptions!L$18+IF(COLUMN(K134)&lt;=6+Assumptions!$H138,0,OFFSET(K134,,-Assumptions!$H138))</f>
        <v>0</v>
      </c>
      <c r="L134" s="88">
        <f ca="1">L97*Assumptions!M$18+IF(COLUMN(L134)&lt;=6+Assumptions!$H138,0,OFFSET(L134,,-Assumptions!$H138))</f>
        <v>0</v>
      </c>
      <c r="M134" s="88">
        <f ca="1">M97*Assumptions!N$18+IF(COLUMN(M134)&lt;=6+Assumptions!$H138,0,OFFSET(M134,,-Assumptions!$H138))</f>
        <v>0</v>
      </c>
      <c r="N134" s="88">
        <f ca="1">N97*Assumptions!O$18+IF(COLUMN(N134)&lt;=6+Assumptions!$H138,0,OFFSET(N134,,-Assumptions!$H138))</f>
        <v>0</v>
      </c>
      <c r="O134" s="88">
        <f ca="1">O97*Assumptions!P$18+IF(COLUMN(O134)&lt;=6+Assumptions!$H138,0,OFFSET(O134,,-Assumptions!$H138))</f>
        <v>0</v>
      </c>
      <c r="P134" s="88">
        <f ca="1">P97*Assumptions!Q$18+IF(COLUMN(P134)&lt;=6+Assumptions!$H138,0,OFFSET(P134,,-Assumptions!$H138))</f>
        <v>0</v>
      </c>
      <c r="Q134" s="88">
        <f ca="1">Q97*Assumptions!R$18+IF(COLUMN(Q134)&lt;=6+Assumptions!$H138,0,OFFSET(Q134,,-Assumptions!$H138))</f>
        <v>0</v>
      </c>
      <c r="R134" s="88">
        <f ca="1">R97*Assumptions!S$18+IF(COLUMN(R134)&lt;=6+Assumptions!$H138,0,OFFSET(R134,,-Assumptions!$H138))</f>
        <v>0</v>
      </c>
      <c r="S134" s="88">
        <f ca="1">S97*Assumptions!T$18+IF(COLUMN(S134)&lt;=6+Assumptions!$H138,0,OFFSET(S134,,-Assumptions!$H138))</f>
        <v>0</v>
      </c>
      <c r="T134" s="88">
        <f ca="1">T97*Assumptions!U$18+IF(COLUMN(T134)&lt;=6+Assumptions!$H138,0,OFFSET(T134,,-Assumptions!$H138))</f>
        <v>0</v>
      </c>
      <c r="U134" s="88">
        <f ca="1">U97*Assumptions!V$18+IF(COLUMN(U134)&lt;=6+Assumptions!$H138,0,OFFSET(U134,,-Assumptions!$H138))</f>
        <v>0</v>
      </c>
      <c r="V134" s="88">
        <f ca="1">V97*Assumptions!W$18+IF(COLUMN(V134)&lt;=6+Assumptions!$H138,0,OFFSET(V134,,-Assumptions!$H138))</f>
        <v>0</v>
      </c>
      <c r="W134" s="88">
        <f ca="1">W97*Assumptions!X$18+IF(COLUMN(W134)&lt;=6+Assumptions!$H138,0,OFFSET(W134,,-Assumptions!$H138))</f>
        <v>0</v>
      </c>
      <c r="X134" s="88">
        <f ca="1">X97*Assumptions!Y$18+IF(COLUMN(X134)&lt;=6+Assumptions!$H138,0,OFFSET(X134,,-Assumptions!$H138))</f>
        <v>0</v>
      </c>
      <c r="Y134" s="88">
        <f ca="1">Y97*Assumptions!Z$18+IF(COLUMN(Y134)&lt;=6+Assumptions!$H138,0,OFFSET(Y134,,-Assumptions!$H138))</f>
        <v>0</v>
      </c>
      <c r="Z134" s="88">
        <f ca="1">Z97*Assumptions!AA$18+IF(COLUMN(Z134)&lt;=6+Assumptions!$H138,0,OFFSET(Z134,,-Assumptions!$H138))</f>
        <v>0</v>
      </c>
      <c r="AA134" s="88">
        <f ca="1">AA97*Assumptions!AB$18+IF(COLUMN(AA134)&lt;=6+Assumptions!$H138,0,OFFSET(AA134,,-Assumptions!$H138))</f>
        <v>0</v>
      </c>
    </row>
    <row r="135" spans="1:27" x14ac:dyDescent="0.45">
      <c r="A135" s="32"/>
      <c r="B135" s="4"/>
      <c r="C135" s="2" t="s">
        <v>114</v>
      </c>
      <c r="D135" s="2">
        <f t="shared" ref="D135:D140" si="5">D98</f>
        <v>0</v>
      </c>
      <c r="E135" s="23" t="s">
        <v>806</v>
      </c>
      <c r="F135" s="36"/>
      <c r="G135" s="88">
        <f ca="1">G98*Assumptions!H$18+IF(COLUMN(G135)&lt;=6+Assumptions!$H139,0,OFFSET(G135,,-Assumptions!$H139))</f>
        <v>0</v>
      </c>
      <c r="H135" s="88">
        <f ca="1">H98*Assumptions!I$18+IF(COLUMN(H135)&lt;=6+Assumptions!$H139,0,OFFSET(H135,,-Assumptions!$H139))</f>
        <v>0</v>
      </c>
      <c r="I135" s="88">
        <f ca="1">I98*Assumptions!J$18+IF(COLUMN(I135)&lt;=6+Assumptions!$H139,0,OFFSET(I135,,-Assumptions!$H139))</f>
        <v>0</v>
      </c>
      <c r="J135" s="88">
        <f ca="1">J98*Assumptions!K$18+IF(COLUMN(J135)&lt;=6+Assumptions!$H139,0,OFFSET(J135,,-Assumptions!$H139))</f>
        <v>0</v>
      </c>
      <c r="K135" s="88">
        <f ca="1">K98*Assumptions!L$18+IF(COLUMN(K135)&lt;=6+Assumptions!$H139,0,OFFSET(K135,,-Assumptions!$H139))</f>
        <v>0</v>
      </c>
      <c r="L135" s="88">
        <f ca="1">L98*Assumptions!M$18+IF(COLUMN(L135)&lt;=6+Assumptions!$H139,0,OFFSET(L135,,-Assumptions!$H139))</f>
        <v>0</v>
      </c>
      <c r="M135" s="88">
        <f ca="1">M98*Assumptions!N$18+IF(COLUMN(M135)&lt;=6+Assumptions!$H139,0,OFFSET(M135,,-Assumptions!$H139))</f>
        <v>0</v>
      </c>
      <c r="N135" s="88">
        <f ca="1">N98*Assumptions!O$18+IF(COLUMN(N135)&lt;=6+Assumptions!$H139,0,OFFSET(N135,,-Assumptions!$H139))</f>
        <v>0</v>
      </c>
      <c r="O135" s="88">
        <f ca="1">O98*Assumptions!P$18+IF(COLUMN(O135)&lt;=6+Assumptions!$H139,0,OFFSET(O135,,-Assumptions!$H139))</f>
        <v>0</v>
      </c>
      <c r="P135" s="88">
        <f ca="1">P98*Assumptions!Q$18+IF(COLUMN(P135)&lt;=6+Assumptions!$H139,0,OFFSET(P135,,-Assumptions!$H139))</f>
        <v>0</v>
      </c>
      <c r="Q135" s="88">
        <f ca="1">Q98*Assumptions!R$18+IF(COLUMN(Q135)&lt;=6+Assumptions!$H139,0,OFFSET(Q135,,-Assumptions!$H139))</f>
        <v>0</v>
      </c>
      <c r="R135" s="88">
        <f ca="1">R98*Assumptions!S$18+IF(COLUMN(R135)&lt;=6+Assumptions!$H139,0,OFFSET(R135,,-Assumptions!$H139))</f>
        <v>0</v>
      </c>
      <c r="S135" s="88">
        <f ca="1">S98*Assumptions!T$18+IF(COLUMN(S135)&lt;=6+Assumptions!$H139,0,OFFSET(S135,,-Assumptions!$H139))</f>
        <v>0</v>
      </c>
      <c r="T135" s="88">
        <f ca="1">T98*Assumptions!U$18+IF(COLUMN(T135)&lt;=6+Assumptions!$H139,0,OFFSET(T135,,-Assumptions!$H139))</f>
        <v>0</v>
      </c>
      <c r="U135" s="88">
        <f ca="1">U98*Assumptions!V$18+IF(COLUMN(U135)&lt;=6+Assumptions!$H139,0,OFFSET(U135,,-Assumptions!$H139))</f>
        <v>0</v>
      </c>
      <c r="V135" s="88">
        <f ca="1">V98*Assumptions!W$18+IF(COLUMN(V135)&lt;=6+Assumptions!$H139,0,OFFSET(V135,,-Assumptions!$H139))</f>
        <v>0</v>
      </c>
      <c r="W135" s="88">
        <f ca="1">W98*Assumptions!X$18+IF(COLUMN(W135)&lt;=6+Assumptions!$H139,0,OFFSET(W135,,-Assumptions!$H139))</f>
        <v>0</v>
      </c>
      <c r="X135" s="88">
        <f ca="1">X98*Assumptions!Y$18+IF(COLUMN(X135)&lt;=6+Assumptions!$H139,0,OFFSET(X135,,-Assumptions!$H139))</f>
        <v>0</v>
      </c>
      <c r="Y135" s="88">
        <f ca="1">Y98*Assumptions!Z$18+IF(COLUMN(Y135)&lt;=6+Assumptions!$H139,0,OFFSET(Y135,,-Assumptions!$H139))</f>
        <v>0</v>
      </c>
      <c r="Z135" s="88">
        <f ca="1">Z98*Assumptions!AA$18+IF(COLUMN(Z135)&lt;=6+Assumptions!$H139,0,OFFSET(Z135,,-Assumptions!$H139))</f>
        <v>0</v>
      </c>
      <c r="AA135" s="88">
        <f ca="1">AA98*Assumptions!AB$18+IF(COLUMN(AA135)&lt;=6+Assumptions!$H139,0,OFFSET(AA135,,-Assumptions!$H139))</f>
        <v>0</v>
      </c>
    </row>
    <row r="136" spans="1:27" x14ac:dyDescent="0.45">
      <c r="A136" s="32"/>
      <c r="B136" s="4"/>
      <c r="C136" s="2" t="s">
        <v>114</v>
      </c>
      <c r="D136" s="2">
        <f t="shared" si="5"/>
        <v>0</v>
      </c>
      <c r="E136" s="23" t="s">
        <v>806</v>
      </c>
      <c r="F136" s="36"/>
      <c r="G136" s="88">
        <f ca="1">G99*Assumptions!H$18+IF(COLUMN(G136)&lt;=6+Assumptions!$H140,0,OFFSET(G136,,-Assumptions!$H140))</f>
        <v>0</v>
      </c>
      <c r="H136" s="88">
        <f ca="1">H99*Assumptions!I$18+IF(COLUMN(H136)&lt;=6+Assumptions!$H140,0,OFFSET(H136,,-Assumptions!$H140))</f>
        <v>0</v>
      </c>
      <c r="I136" s="88">
        <f ca="1">I99*Assumptions!J$18+IF(COLUMN(I136)&lt;=6+Assumptions!$H140,0,OFFSET(I136,,-Assumptions!$H140))</f>
        <v>0</v>
      </c>
      <c r="J136" s="88">
        <f ca="1">J99*Assumptions!K$18+IF(COLUMN(J136)&lt;=6+Assumptions!$H140,0,OFFSET(J136,,-Assumptions!$H140))</f>
        <v>0</v>
      </c>
      <c r="K136" s="88">
        <f ca="1">K99*Assumptions!L$18+IF(COLUMN(K136)&lt;=6+Assumptions!$H140,0,OFFSET(K136,,-Assumptions!$H140))</f>
        <v>0</v>
      </c>
      <c r="L136" s="88">
        <f ca="1">L99*Assumptions!M$18+IF(COLUMN(L136)&lt;=6+Assumptions!$H140,0,OFFSET(L136,,-Assumptions!$H140))</f>
        <v>0</v>
      </c>
      <c r="M136" s="88">
        <f ca="1">M99*Assumptions!N$18+IF(COLUMN(M136)&lt;=6+Assumptions!$H140,0,OFFSET(M136,,-Assumptions!$H140))</f>
        <v>0</v>
      </c>
      <c r="N136" s="88">
        <f ca="1">N99*Assumptions!O$18+IF(COLUMN(N136)&lt;=6+Assumptions!$H140,0,OFFSET(N136,,-Assumptions!$H140))</f>
        <v>0</v>
      </c>
      <c r="O136" s="88">
        <f ca="1">O99*Assumptions!P$18+IF(COLUMN(O136)&lt;=6+Assumptions!$H140,0,OFFSET(O136,,-Assumptions!$H140))</f>
        <v>0</v>
      </c>
      <c r="P136" s="88">
        <f ca="1">P99*Assumptions!Q$18+IF(COLUMN(P136)&lt;=6+Assumptions!$H140,0,OFFSET(P136,,-Assumptions!$H140))</f>
        <v>0</v>
      </c>
      <c r="Q136" s="88">
        <f ca="1">Q99*Assumptions!R$18+IF(COLUMN(Q136)&lt;=6+Assumptions!$H140,0,OFFSET(Q136,,-Assumptions!$H140))</f>
        <v>0</v>
      </c>
      <c r="R136" s="88">
        <f ca="1">R99*Assumptions!S$18+IF(COLUMN(R136)&lt;=6+Assumptions!$H140,0,OFFSET(R136,,-Assumptions!$H140))</f>
        <v>0</v>
      </c>
      <c r="S136" s="88">
        <f ca="1">S99*Assumptions!T$18+IF(COLUMN(S136)&lt;=6+Assumptions!$H140,0,OFFSET(S136,,-Assumptions!$H140))</f>
        <v>0</v>
      </c>
      <c r="T136" s="88">
        <f ca="1">T99*Assumptions!U$18+IF(COLUMN(T136)&lt;=6+Assumptions!$H140,0,OFFSET(T136,,-Assumptions!$H140))</f>
        <v>0</v>
      </c>
      <c r="U136" s="88">
        <f ca="1">U99*Assumptions!V$18+IF(COLUMN(U136)&lt;=6+Assumptions!$H140,0,OFFSET(U136,,-Assumptions!$H140))</f>
        <v>0</v>
      </c>
      <c r="V136" s="88">
        <f ca="1">V99*Assumptions!W$18+IF(COLUMN(V136)&lt;=6+Assumptions!$H140,0,OFFSET(V136,,-Assumptions!$H140))</f>
        <v>0</v>
      </c>
      <c r="W136" s="88">
        <f ca="1">W99*Assumptions!X$18+IF(COLUMN(W136)&lt;=6+Assumptions!$H140,0,OFFSET(W136,,-Assumptions!$H140))</f>
        <v>0</v>
      </c>
      <c r="X136" s="88">
        <f ca="1">X99*Assumptions!Y$18+IF(COLUMN(X136)&lt;=6+Assumptions!$H140,0,OFFSET(X136,,-Assumptions!$H140))</f>
        <v>0</v>
      </c>
      <c r="Y136" s="88">
        <f ca="1">Y99*Assumptions!Z$18+IF(COLUMN(Y136)&lt;=6+Assumptions!$H140,0,OFFSET(Y136,,-Assumptions!$H140))</f>
        <v>0</v>
      </c>
      <c r="Z136" s="88">
        <f ca="1">Z99*Assumptions!AA$18+IF(COLUMN(Z136)&lt;=6+Assumptions!$H140,0,OFFSET(Z136,,-Assumptions!$H140))</f>
        <v>0</v>
      </c>
      <c r="AA136" s="88">
        <f ca="1">AA99*Assumptions!AB$18+IF(COLUMN(AA136)&lt;=6+Assumptions!$H140,0,OFFSET(AA136,,-Assumptions!$H140))</f>
        <v>0</v>
      </c>
    </row>
    <row r="137" spans="1:27" x14ac:dyDescent="0.45">
      <c r="A137" s="32"/>
      <c r="B137" s="4"/>
      <c r="C137" s="2" t="s">
        <v>114</v>
      </c>
      <c r="D137" s="2">
        <f t="shared" si="5"/>
        <v>0</v>
      </c>
      <c r="E137" s="23" t="s">
        <v>806</v>
      </c>
      <c r="F137" s="36"/>
      <c r="G137" s="88">
        <f ca="1">G100*Assumptions!H$18+IF(COLUMN(G137)&lt;=6+Assumptions!$H141,0,OFFSET(G137,,-Assumptions!$H141))</f>
        <v>0</v>
      </c>
      <c r="H137" s="88">
        <f ca="1">H100*Assumptions!I$18+IF(COLUMN(H137)&lt;=6+Assumptions!$H141,0,OFFSET(H137,,-Assumptions!$H141))</f>
        <v>0</v>
      </c>
      <c r="I137" s="88">
        <f ca="1">I100*Assumptions!J$18+IF(COLUMN(I137)&lt;=6+Assumptions!$H141,0,OFFSET(I137,,-Assumptions!$H141))</f>
        <v>0</v>
      </c>
      <c r="J137" s="88">
        <f ca="1">J100*Assumptions!K$18+IF(COLUMN(J137)&lt;=6+Assumptions!$H141,0,OFFSET(J137,,-Assumptions!$H141))</f>
        <v>0</v>
      </c>
      <c r="K137" s="88">
        <f ca="1">K100*Assumptions!L$18+IF(COLUMN(K137)&lt;=6+Assumptions!$H141,0,OFFSET(K137,,-Assumptions!$H141))</f>
        <v>0</v>
      </c>
      <c r="L137" s="88">
        <f ca="1">L100*Assumptions!M$18+IF(COLUMN(L137)&lt;=6+Assumptions!$H141,0,OFFSET(L137,,-Assumptions!$H141))</f>
        <v>0</v>
      </c>
      <c r="M137" s="88">
        <f ca="1">M100*Assumptions!N$18+IF(COLUMN(M137)&lt;=6+Assumptions!$H141,0,OFFSET(M137,,-Assumptions!$H141))</f>
        <v>0</v>
      </c>
      <c r="N137" s="88">
        <f ca="1">N100*Assumptions!O$18+IF(COLUMN(N137)&lt;=6+Assumptions!$H141,0,OFFSET(N137,,-Assumptions!$H141))</f>
        <v>0</v>
      </c>
      <c r="O137" s="88">
        <f ca="1">O100*Assumptions!P$18+IF(COLUMN(O137)&lt;=6+Assumptions!$H141,0,OFFSET(O137,,-Assumptions!$H141))</f>
        <v>0</v>
      </c>
      <c r="P137" s="88">
        <f ca="1">P100*Assumptions!Q$18+IF(COLUMN(P137)&lt;=6+Assumptions!$H141,0,OFFSET(P137,,-Assumptions!$H141))</f>
        <v>0</v>
      </c>
      <c r="Q137" s="88">
        <f ca="1">Q100*Assumptions!R$18+IF(COLUMN(Q137)&lt;=6+Assumptions!$H141,0,OFFSET(Q137,,-Assumptions!$H141))</f>
        <v>0</v>
      </c>
      <c r="R137" s="88">
        <f ca="1">R100*Assumptions!S$18+IF(COLUMN(R137)&lt;=6+Assumptions!$H141,0,OFFSET(R137,,-Assumptions!$H141))</f>
        <v>0</v>
      </c>
      <c r="S137" s="88">
        <f ca="1">S100*Assumptions!T$18+IF(COLUMN(S137)&lt;=6+Assumptions!$H141,0,OFFSET(S137,,-Assumptions!$H141))</f>
        <v>0</v>
      </c>
      <c r="T137" s="88">
        <f ca="1">T100*Assumptions!U$18+IF(COLUMN(T137)&lt;=6+Assumptions!$H141,0,OFFSET(T137,,-Assumptions!$H141))</f>
        <v>0</v>
      </c>
      <c r="U137" s="88">
        <f ca="1">U100*Assumptions!V$18+IF(COLUMN(U137)&lt;=6+Assumptions!$H141,0,OFFSET(U137,,-Assumptions!$H141))</f>
        <v>0</v>
      </c>
      <c r="V137" s="88">
        <f ca="1">V100*Assumptions!W$18+IF(COLUMN(V137)&lt;=6+Assumptions!$H141,0,OFFSET(V137,,-Assumptions!$H141))</f>
        <v>0</v>
      </c>
      <c r="W137" s="88">
        <f ca="1">W100*Assumptions!X$18+IF(COLUMN(W137)&lt;=6+Assumptions!$H141,0,OFFSET(W137,,-Assumptions!$H141))</f>
        <v>0</v>
      </c>
      <c r="X137" s="88">
        <f ca="1">X100*Assumptions!Y$18+IF(COLUMN(X137)&lt;=6+Assumptions!$H141,0,OFFSET(X137,,-Assumptions!$H141))</f>
        <v>0</v>
      </c>
      <c r="Y137" s="88">
        <f ca="1">Y100*Assumptions!Z$18+IF(COLUMN(Y137)&lt;=6+Assumptions!$H141,0,OFFSET(Y137,,-Assumptions!$H141))</f>
        <v>0</v>
      </c>
      <c r="Z137" s="88">
        <f ca="1">Z100*Assumptions!AA$18+IF(COLUMN(Z137)&lt;=6+Assumptions!$H141,0,OFFSET(Z137,,-Assumptions!$H141))</f>
        <v>0</v>
      </c>
      <c r="AA137" s="88">
        <f ca="1">AA100*Assumptions!AB$18+IF(COLUMN(AA137)&lt;=6+Assumptions!$H141,0,OFFSET(AA137,,-Assumptions!$H141))</f>
        <v>0</v>
      </c>
    </row>
    <row r="138" spans="1:27" x14ac:dyDescent="0.45">
      <c r="A138" s="32"/>
      <c r="B138" s="4"/>
      <c r="C138" s="2" t="s">
        <v>114</v>
      </c>
      <c r="D138" s="2">
        <f t="shared" si="5"/>
        <v>0</v>
      </c>
      <c r="E138" s="23" t="s">
        <v>806</v>
      </c>
      <c r="F138" s="36"/>
      <c r="G138" s="88">
        <f ca="1">G101*Assumptions!H$18+IF(COLUMN(G138)&lt;=6+Assumptions!$H142,0,OFFSET(G138,,-Assumptions!$H142))</f>
        <v>0</v>
      </c>
      <c r="H138" s="88">
        <f ca="1">H101*Assumptions!I$18+IF(COLUMN(H138)&lt;=6+Assumptions!$H142,0,OFFSET(H138,,-Assumptions!$H142))</f>
        <v>0</v>
      </c>
      <c r="I138" s="88">
        <f ca="1">I101*Assumptions!J$18+IF(COLUMN(I138)&lt;=6+Assumptions!$H142,0,OFFSET(I138,,-Assumptions!$H142))</f>
        <v>0</v>
      </c>
      <c r="J138" s="88">
        <f ca="1">J101*Assumptions!K$18+IF(COLUMN(J138)&lt;=6+Assumptions!$H142,0,OFFSET(J138,,-Assumptions!$H142))</f>
        <v>0</v>
      </c>
      <c r="K138" s="88">
        <f ca="1">K101*Assumptions!L$18+IF(COLUMN(K138)&lt;=6+Assumptions!$H142,0,OFFSET(K138,,-Assumptions!$H142))</f>
        <v>0</v>
      </c>
      <c r="L138" s="88">
        <f ca="1">L101*Assumptions!M$18+IF(COLUMN(L138)&lt;=6+Assumptions!$H142,0,OFFSET(L138,,-Assumptions!$H142))</f>
        <v>0</v>
      </c>
      <c r="M138" s="88">
        <f ca="1">M101*Assumptions!N$18+IF(COLUMN(M138)&lt;=6+Assumptions!$H142,0,OFFSET(M138,,-Assumptions!$H142))</f>
        <v>0</v>
      </c>
      <c r="N138" s="88">
        <f ca="1">N101*Assumptions!O$18+IF(COLUMN(N138)&lt;=6+Assumptions!$H142,0,OFFSET(N138,,-Assumptions!$H142))</f>
        <v>0</v>
      </c>
      <c r="O138" s="88">
        <f ca="1">O101*Assumptions!P$18+IF(COLUMN(O138)&lt;=6+Assumptions!$H142,0,OFFSET(O138,,-Assumptions!$H142))</f>
        <v>0</v>
      </c>
      <c r="P138" s="88">
        <f ca="1">P101*Assumptions!Q$18+IF(COLUMN(P138)&lt;=6+Assumptions!$H142,0,OFFSET(P138,,-Assumptions!$H142))</f>
        <v>0</v>
      </c>
      <c r="Q138" s="88">
        <f ca="1">Q101*Assumptions!R$18+IF(COLUMN(Q138)&lt;=6+Assumptions!$H142,0,OFFSET(Q138,,-Assumptions!$H142))</f>
        <v>0</v>
      </c>
      <c r="R138" s="88">
        <f ca="1">R101*Assumptions!S$18+IF(COLUMN(R138)&lt;=6+Assumptions!$H142,0,OFFSET(R138,,-Assumptions!$H142))</f>
        <v>0</v>
      </c>
      <c r="S138" s="88">
        <f ca="1">S101*Assumptions!T$18+IF(COLUMN(S138)&lt;=6+Assumptions!$H142,0,OFFSET(S138,,-Assumptions!$H142))</f>
        <v>0</v>
      </c>
      <c r="T138" s="88">
        <f ca="1">T101*Assumptions!U$18+IF(COLUMN(T138)&lt;=6+Assumptions!$H142,0,OFFSET(T138,,-Assumptions!$H142))</f>
        <v>0</v>
      </c>
      <c r="U138" s="88">
        <f ca="1">U101*Assumptions!V$18+IF(COLUMN(U138)&lt;=6+Assumptions!$H142,0,OFFSET(U138,,-Assumptions!$H142))</f>
        <v>0</v>
      </c>
      <c r="V138" s="88">
        <f ca="1">V101*Assumptions!W$18+IF(COLUMN(V138)&lt;=6+Assumptions!$H142,0,OFFSET(V138,,-Assumptions!$H142))</f>
        <v>0</v>
      </c>
      <c r="W138" s="88">
        <f ca="1">W101*Assumptions!X$18+IF(COLUMN(W138)&lt;=6+Assumptions!$H142,0,OFFSET(W138,,-Assumptions!$H142))</f>
        <v>0</v>
      </c>
      <c r="X138" s="88">
        <f ca="1">X101*Assumptions!Y$18+IF(COLUMN(X138)&lt;=6+Assumptions!$H142,0,OFFSET(X138,,-Assumptions!$H142))</f>
        <v>0</v>
      </c>
      <c r="Y138" s="88">
        <f ca="1">Y101*Assumptions!Z$18+IF(COLUMN(Y138)&lt;=6+Assumptions!$H142,0,OFFSET(Y138,,-Assumptions!$H142))</f>
        <v>0</v>
      </c>
      <c r="Z138" s="88">
        <f ca="1">Z101*Assumptions!AA$18+IF(COLUMN(Z138)&lt;=6+Assumptions!$H142,0,OFFSET(Z138,,-Assumptions!$H142))</f>
        <v>0</v>
      </c>
      <c r="AA138" s="88">
        <f ca="1">AA101*Assumptions!AB$18+IF(COLUMN(AA138)&lt;=6+Assumptions!$H142,0,OFFSET(AA138,,-Assumptions!$H142))</f>
        <v>0</v>
      </c>
    </row>
    <row r="139" spans="1:27" x14ac:dyDescent="0.45">
      <c r="A139" s="32"/>
      <c r="B139" s="4"/>
      <c r="C139" s="2" t="s">
        <v>114</v>
      </c>
      <c r="D139" s="2">
        <f t="shared" si="5"/>
        <v>0</v>
      </c>
      <c r="E139" s="23" t="s">
        <v>806</v>
      </c>
      <c r="F139" s="36"/>
      <c r="G139" s="88">
        <f ca="1">G102*Assumptions!H$18+IF(COLUMN(G139)&lt;=6+Assumptions!$H143,0,OFFSET(G139,,-Assumptions!$H143))</f>
        <v>0</v>
      </c>
      <c r="H139" s="88">
        <f ca="1">H102*Assumptions!I$18+IF(COLUMN(H139)&lt;=6+Assumptions!$H143,0,OFFSET(H139,,-Assumptions!$H143))</f>
        <v>0</v>
      </c>
      <c r="I139" s="88">
        <f ca="1">I102*Assumptions!J$18+IF(COLUMN(I139)&lt;=6+Assumptions!$H143,0,OFFSET(I139,,-Assumptions!$H143))</f>
        <v>0</v>
      </c>
      <c r="J139" s="88">
        <f ca="1">J102*Assumptions!K$18+IF(COLUMN(J139)&lt;=6+Assumptions!$H143,0,OFFSET(J139,,-Assumptions!$H143))</f>
        <v>0</v>
      </c>
      <c r="K139" s="88">
        <f ca="1">K102*Assumptions!L$18+IF(COLUMN(K139)&lt;=6+Assumptions!$H143,0,OFFSET(K139,,-Assumptions!$H143))</f>
        <v>0</v>
      </c>
      <c r="L139" s="88">
        <f ca="1">L102*Assumptions!M$18+IF(COLUMN(L139)&lt;=6+Assumptions!$H143,0,OFFSET(L139,,-Assumptions!$H143))</f>
        <v>0</v>
      </c>
      <c r="M139" s="88">
        <f ca="1">M102*Assumptions!N$18+IF(COLUMN(M139)&lt;=6+Assumptions!$H143,0,OFFSET(M139,,-Assumptions!$H143))</f>
        <v>0</v>
      </c>
      <c r="N139" s="88">
        <f ca="1">N102*Assumptions!O$18+IF(COLUMN(N139)&lt;=6+Assumptions!$H143,0,OFFSET(N139,,-Assumptions!$H143))</f>
        <v>0</v>
      </c>
      <c r="O139" s="88">
        <f ca="1">O102*Assumptions!P$18+IF(COLUMN(O139)&lt;=6+Assumptions!$H143,0,OFFSET(O139,,-Assumptions!$H143))</f>
        <v>0</v>
      </c>
      <c r="P139" s="88">
        <f ca="1">P102*Assumptions!Q$18+IF(COLUMN(P139)&lt;=6+Assumptions!$H143,0,OFFSET(P139,,-Assumptions!$H143))</f>
        <v>0</v>
      </c>
      <c r="Q139" s="88">
        <f ca="1">Q102*Assumptions!R$18+IF(COLUMN(Q139)&lt;=6+Assumptions!$H143,0,OFFSET(Q139,,-Assumptions!$H143))</f>
        <v>0</v>
      </c>
      <c r="R139" s="88">
        <f ca="1">R102*Assumptions!S$18+IF(COLUMN(R139)&lt;=6+Assumptions!$H143,0,OFFSET(R139,,-Assumptions!$H143))</f>
        <v>0</v>
      </c>
      <c r="S139" s="88">
        <f ca="1">S102*Assumptions!T$18+IF(COLUMN(S139)&lt;=6+Assumptions!$H143,0,OFFSET(S139,,-Assumptions!$H143))</f>
        <v>0</v>
      </c>
      <c r="T139" s="88">
        <f ca="1">T102*Assumptions!U$18+IF(COLUMN(T139)&lt;=6+Assumptions!$H143,0,OFFSET(T139,,-Assumptions!$H143))</f>
        <v>0</v>
      </c>
      <c r="U139" s="88">
        <f ca="1">U102*Assumptions!V$18+IF(COLUMN(U139)&lt;=6+Assumptions!$H143,0,OFFSET(U139,,-Assumptions!$H143))</f>
        <v>0</v>
      </c>
      <c r="V139" s="88">
        <f ca="1">V102*Assumptions!W$18+IF(COLUMN(V139)&lt;=6+Assumptions!$H143,0,OFFSET(V139,,-Assumptions!$H143))</f>
        <v>0</v>
      </c>
      <c r="W139" s="88">
        <f ca="1">W102*Assumptions!X$18+IF(COLUMN(W139)&lt;=6+Assumptions!$H143,0,OFFSET(W139,,-Assumptions!$H143))</f>
        <v>0</v>
      </c>
      <c r="X139" s="88">
        <f ca="1">X102*Assumptions!Y$18+IF(COLUMN(X139)&lt;=6+Assumptions!$H143,0,OFFSET(X139,,-Assumptions!$H143))</f>
        <v>0</v>
      </c>
      <c r="Y139" s="88">
        <f ca="1">Y102*Assumptions!Z$18+IF(COLUMN(Y139)&lt;=6+Assumptions!$H143,0,OFFSET(Y139,,-Assumptions!$H143))</f>
        <v>0</v>
      </c>
      <c r="Z139" s="88">
        <f ca="1">Z102*Assumptions!AA$18+IF(COLUMN(Z139)&lt;=6+Assumptions!$H143,0,OFFSET(Z139,,-Assumptions!$H143))</f>
        <v>0</v>
      </c>
      <c r="AA139" s="88">
        <f ca="1">AA102*Assumptions!AB$18+IF(COLUMN(AA139)&lt;=6+Assumptions!$H143,0,OFFSET(AA139,,-Assumptions!$H143))</f>
        <v>0</v>
      </c>
    </row>
    <row r="140" spans="1:27" x14ac:dyDescent="0.45">
      <c r="A140" s="32"/>
      <c r="B140" s="4"/>
      <c r="C140" s="2" t="s">
        <v>114</v>
      </c>
      <c r="D140" s="2">
        <f t="shared" si="5"/>
        <v>0</v>
      </c>
      <c r="E140" s="23" t="s">
        <v>806</v>
      </c>
      <c r="F140" s="36"/>
      <c r="G140" s="88">
        <f ca="1">G103*Assumptions!H$18+IF(COLUMN(G140)&lt;=6+Assumptions!$H144,0,OFFSET(G140,,-Assumptions!$H144))</f>
        <v>0</v>
      </c>
      <c r="H140" s="88">
        <f ca="1">H103*Assumptions!I$18+IF(COLUMN(H140)&lt;=6+Assumptions!$H144,0,OFFSET(H140,,-Assumptions!$H144))</f>
        <v>0</v>
      </c>
      <c r="I140" s="88">
        <f ca="1">I103*Assumptions!J$18+IF(COLUMN(I140)&lt;=6+Assumptions!$H144,0,OFFSET(I140,,-Assumptions!$H144))</f>
        <v>0</v>
      </c>
      <c r="J140" s="88">
        <f ca="1">J103*Assumptions!K$18+IF(COLUMN(J140)&lt;=6+Assumptions!$H144,0,OFFSET(J140,,-Assumptions!$H144))</f>
        <v>0</v>
      </c>
      <c r="K140" s="88">
        <f ca="1">K103*Assumptions!L$18+IF(COLUMN(K140)&lt;=6+Assumptions!$H144,0,OFFSET(K140,,-Assumptions!$H144))</f>
        <v>0</v>
      </c>
      <c r="L140" s="88">
        <f ca="1">L103*Assumptions!M$18+IF(COLUMN(L140)&lt;=6+Assumptions!$H144,0,OFFSET(L140,,-Assumptions!$H144))</f>
        <v>0</v>
      </c>
      <c r="M140" s="88">
        <f ca="1">M103*Assumptions!N$18+IF(COLUMN(M140)&lt;=6+Assumptions!$H144,0,OFFSET(M140,,-Assumptions!$H144))</f>
        <v>0</v>
      </c>
      <c r="N140" s="88">
        <f ca="1">N103*Assumptions!O$18+IF(COLUMN(N140)&lt;=6+Assumptions!$H144,0,OFFSET(N140,,-Assumptions!$H144))</f>
        <v>0</v>
      </c>
      <c r="O140" s="88">
        <f ca="1">O103*Assumptions!P$18+IF(COLUMN(O140)&lt;=6+Assumptions!$H144,0,OFFSET(O140,,-Assumptions!$H144))</f>
        <v>0</v>
      </c>
      <c r="P140" s="88">
        <f ca="1">P103*Assumptions!Q$18+IF(COLUMN(P140)&lt;=6+Assumptions!$H144,0,OFFSET(P140,,-Assumptions!$H144))</f>
        <v>0</v>
      </c>
      <c r="Q140" s="88">
        <f ca="1">Q103*Assumptions!R$18+IF(COLUMN(Q140)&lt;=6+Assumptions!$H144,0,OFFSET(Q140,,-Assumptions!$H144))</f>
        <v>0</v>
      </c>
      <c r="R140" s="88">
        <f ca="1">R103*Assumptions!S$18+IF(COLUMN(R140)&lt;=6+Assumptions!$H144,0,OFFSET(R140,,-Assumptions!$H144))</f>
        <v>0</v>
      </c>
      <c r="S140" s="88">
        <f ca="1">S103*Assumptions!T$18+IF(COLUMN(S140)&lt;=6+Assumptions!$H144,0,OFFSET(S140,,-Assumptions!$H144))</f>
        <v>0</v>
      </c>
      <c r="T140" s="88">
        <f ca="1">T103*Assumptions!U$18+IF(COLUMN(T140)&lt;=6+Assumptions!$H144,0,OFFSET(T140,,-Assumptions!$H144))</f>
        <v>0</v>
      </c>
      <c r="U140" s="88">
        <f ca="1">U103*Assumptions!V$18+IF(COLUMN(U140)&lt;=6+Assumptions!$H144,0,OFFSET(U140,,-Assumptions!$H144))</f>
        <v>0</v>
      </c>
      <c r="V140" s="88">
        <f ca="1">V103*Assumptions!W$18+IF(COLUMN(V140)&lt;=6+Assumptions!$H144,0,OFFSET(V140,,-Assumptions!$H144))</f>
        <v>0</v>
      </c>
      <c r="W140" s="88">
        <f ca="1">W103*Assumptions!X$18+IF(COLUMN(W140)&lt;=6+Assumptions!$H144,0,OFFSET(W140,,-Assumptions!$H144))</f>
        <v>0</v>
      </c>
      <c r="X140" s="88">
        <f ca="1">X103*Assumptions!Y$18+IF(COLUMN(X140)&lt;=6+Assumptions!$H144,0,OFFSET(X140,,-Assumptions!$H144))</f>
        <v>0</v>
      </c>
      <c r="Y140" s="88">
        <f ca="1">Y103*Assumptions!Z$18+IF(COLUMN(Y140)&lt;=6+Assumptions!$H144,0,OFFSET(Y140,,-Assumptions!$H144))</f>
        <v>0</v>
      </c>
      <c r="Z140" s="88">
        <f ca="1">Z103*Assumptions!AA$18+IF(COLUMN(Z140)&lt;=6+Assumptions!$H144,0,OFFSET(Z140,,-Assumptions!$H144))</f>
        <v>0</v>
      </c>
      <c r="AA140" s="88">
        <f ca="1">AA103*Assumptions!AB$18+IF(COLUMN(AA140)&lt;=6+Assumptions!$H144,0,OFFSET(AA140,,-Assumptions!$H144))</f>
        <v>0</v>
      </c>
    </row>
    <row r="141" spans="1:27" x14ac:dyDescent="0.45">
      <c r="A141" s="37"/>
      <c r="B141" s="4"/>
      <c r="C141" s="4"/>
      <c r="E141" s="3"/>
      <c r="F141" s="38"/>
      <c r="G141" s="40" t="s">
        <v>22</v>
      </c>
      <c r="H141" s="40" t="s">
        <v>22</v>
      </c>
      <c r="I141" s="40" t="s">
        <v>22</v>
      </c>
      <c r="J141" s="40" t="s">
        <v>22</v>
      </c>
      <c r="K141" s="40" t="s">
        <v>22</v>
      </c>
      <c r="L141" s="40" t="s">
        <v>22</v>
      </c>
      <c r="M141" s="40" t="s">
        <v>22</v>
      </c>
      <c r="N141" s="40" t="s">
        <v>22</v>
      </c>
      <c r="O141" s="40" t="s">
        <v>22</v>
      </c>
      <c r="P141" s="40" t="s">
        <v>22</v>
      </c>
      <c r="Q141" s="40" t="s">
        <v>22</v>
      </c>
      <c r="R141" s="40" t="s">
        <v>22</v>
      </c>
      <c r="S141" s="40" t="s">
        <v>22</v>
      </c>
      <c r="T141" s="40" t="s">
        <v>22</v>
      </c>
      <c r="U141" s="40" t="s">
        <v>22</v>
      </c>
      <c r="V141" s="40" t="s">
        <v>22</v>
      </c>
      <c r="W141" s="40" t="s">
        <v>22</v>
      </c>
      <c r="X141" s="40" t="s">
        <v>22</v>
      </c>
      <c r="Y141" s="40" t="s">
        <v>22</v>
      </c>
      <c r="Z141" s="40" t="s">
        <v>22</v>
      </c>
      <c r="AA141" s="40" t="s">
        <v>22</v>
      </c>
    </row>
    <row r="142" spans="1:27" s="4" customFormat="1" x14ac:dyDescent="0.45">
      <c r="A142" s="92"/>
      <c r="D142" s="4" t="s">
        <v>515</v>
      </c>
      <c r="E142" s="70" t="s">
        <v>806</v>
      </c>
      <c r="F142" s="93"/>
      <c r="G142" s="94">
        <f ca="1">SUM(G105:G141)</f>
        <v>2316095.1585976626</v>
      </c>
      <c r="H142" s="94">
        <f t="shared" ref="H142:AA142" ca="1" si="6">SUM(H105:H141)</f>
        <v>0</v>
      </c>
      <c r="I142" s="94">
        <f t="shared" ca="1" si="6"/>
        <v>0</v>
      </c>
      <c r="J142" s="94">
        <f t="shared" ca="1" si="6"/>
        <v>0</v>
      </c>
      <c r="K142" s="94">
        <f t="shared" ca="1" si="6"/>
        <v>0</v>
      </c>
      <c r="L142" s="94">
        <f t="shared" ca="1" si="6"/>
        <v>0</v>
      </c>
      <c r="M142" s="94">
        <f t="shared" ca="1" si="6"/>
        <v>0</v>
      </c>
      <c r="N142" s="94">
        <f t="shared" ca="1" si="6"/>
        <v>0</v>
      </c>
      <c r="O142" s="94">
        <f t="shared" ca="1" si="6"/>
        <v>0</v>
      </c>
      <c r="P142" s="94">
        <f t="shared" ca="1" si="6"/>
        <v>0</v>
      </c>
      <c r="Q142" s="94">
        <f t="shared" ca="1" si="6"/>
        <v>0</v>
      </c>
      <c r="R142" s="94">
        <f t="shared" ca="1" si="6"/>
        <v>0</v>
      </c>
      <c r="S142" s="94">
        <f t="shared" ca="1" si="6"/>
        <v>0</v>
      </c>
      <c r="T142" s="94">
        <f t="shared" ca="1" si="6"/>
        <v>0</v>
      </c>
      <c r="U142" s="94">
        <f t="shared" ca="1" si="6"/>
        <v>0</v>
      </c>
      <c r="V142" s="94">
        <f t="shared" ca="1" si="6"/>
        <v>0</v>
      </c>
      <c r="W142" s="94">
        <f t="shared" ca="1" si="6"/>
        <v>0</v>
      </c>
      <c r="X142" s="94">
        <f t="shared" ca="1" si="6"/>
        <v>0</v>
      </c>
      <c r="Y142" s="94">
        <f t="shared" ca="1" si="6"/>
        <v>0</v>
      </c>
      <c r="Z142" s="94">
        <f t="shared" ca="1" si="6"/>
        <v>0</v>
      </c>
      <c r="AA142" s="94">
        <f t="shared" ca="1" si="6"/>
        <v>0</v>
      </c>
    </row>
    <row r="143" spans="1:27" x14ac:dyDescent="0.45">
      <c r="A143" s="37"/>
      <c r="B143" s="4"/>
      <c r="C143" s="4"/>
      <c r="E143" s="3"/>
      <c r="F143" s="38"/>
      <c r="G143" s="40" t="s">
        <v>22</v>
      </c>
      <c r="H143" s="40" t="s">
        <v>22</v>
      </c>
      <c r="I143" s="40" t="s">
        <v>22</v>
      </c>
      <c r="J143" s="40" t="s">
        <v>22</v>
      </c>
      <c r="K143" s="40" t="s">
        <v>22</v>
      </c>
      <c r="L143" s="40" t="s">
        <v>22</v>
      </c>
      <c r="M143" s="40" t="s">
        <v>22</v>
      </c>
      <c r="N143" s="40" t="s">
        <v>22</v>
      </c>
      <c r="O143" s="40" t="s">
        <v>22</v>
      </c>
      <c r="P143" s="40" t="s">
        <v>22</v>
      </c>
      <c r="Q143" s="40" t="s">
        <v>22</v>
      </c>
      <c r="R143" s="40" t="s">
        <v>22</v>
      </c>
      <c r="S143" s="40" t="s">
        <v>22</v>
      </c>
      <c r="T143" s="40" t="s">
        <v>22</v>
      </c>
      <c r="U143" s="40" t="s">
        <v>22</v>
      </c>
      <c r="V143" s="40" t="s">
        <v>22</v>
      </c>
      <c r="W143" s="40" t="s">
        <v>22</v>
      </c>
      <c r="X143" s="40" t="s">
        <v>22</v>
      </c>
      <c r="Y143" s="40" t="s">
        <v>22</v>
      </c>
      <c r="Z143" s="40" t="s">
        <v>22</v>
      </c>
      <c r="AA143" s="40" t="s">
        <v>22</v>
      </c>
    </row>
    <row r="144" spans="1:27" s="4" customFormat="1" x14ac:dyDescent="0.45">
      <c r="A144" s="92"/>
      <c r="D144" s="4" t="s">
        <v>110</v>
      </c>
      <c r="E144" s="70" t="s">
        <v>806</v>
      </c>
      <c r="F144" s="93"/>
      <c r="G144" s="94">
        <f ca="1">G142+G65</f>
        <v>5717078.3639399</v>
      </c>
      <c r="H144" s="94">
        <f t="shared" ref="H144:AA144" ca="1" si="7">H142+H65</f>
        <v>0</v>
      </c>
      <c r="I144" s="94">
        <f t="shared" ca="1" si="7"/>
        <v>0</v>
      </c>
      <c r="J144" s="94">
        <f t="shared" ca="1" si="7"/>
        <v>0</v>
      </c>
      <c r="K144" s="94">
        <f t="shared" ca="1" si="7"/>
        <v>0</v>
      </c>
      <c r="L144" s="94">
        <f t="shared" ca="1" si="7"/>
        <v>0</v>
      </c>
      <c r="M144" s="94">
        <f t="shared" ca="1" si="7"/>
        <v>0</v>
      </c>
      <c r="N144" s="94">
        <f t="shared" ca="1" si="7"/>
        <v>0</v>
      </c>
      <c r="O144" s="94">
        <f t="shared" ca="1" si="7"/>
        <v>0</v>
      </c>
      <c r="P144" s="94">
        <f t="shared" ca="1" si="7"/>
        <v>0</v>
      </c>
      <c r="Q144" s="94">
        <f t="shared" ca="1" si="7"/>
        <v>0</v>
      </c>
      <c r="R144" s="94">
        <f t="shared" ca="1" si="7"/>
        <v>0</v>
      </c>
      <c r="S144" s="94">
        <f t="shared" ca="1" si="7"/>
        <v>0</v>
      </c>
      <c r="T144" s="94">
        <f t="shared" ca="1" si="7"/>
        <v>0</v>
      </c>
      <c r="U144" s="94">
        <f t="shared" ca="1" si="7"/>
        <v>0</v>
      </c>
      <c r="V144" s="94">
        <f t="shared" ca="1" si="7"/>
        <v>0</v>
      </c>
      <c r="W144" s="94">
        <f t="shared" ca="1" si="7"/>
        <v>0</v>
      </c>
      <c r="X144" s="94">
        <f t="shared" ca="1" si="7"/>
        <v>0</v>
      </c>
      <c r="Y144" s="94">
        <f t="shared" ca="1" si="7"/>
        <v>0</v>
      </c>
      <c r="Z144" s="94">
        <f t="shared" ca="1" si="7"/>
        <v>0</v>
      </c>
      <c r="AA144" s="94">
        <f t="shared" ca="1" si="7"/>
        <v>0</v>
      </c>
    </row>
    <row r="145" spans="1:27" customFormat="1" x14ac:dyDescent="0.45">
      <c r="H145" s="401"/>
    </row>
    <row r="146" spans="1:27" x14ac:dyDescent="0.45">
      <c r="A146" s="32"/>
      <c r="B146" s="4" t="s">
        <v>539</v>
      </c>
      <c r="C146" s="4"/>
      <c r="E146" s="2"/>
      <c r="F146" s="36"/>
    </row>
    <row r="147" spans="1:27" x14ac:dyDescent="0.45">
      <c r="A147" s="32"/>
      <c r="B147" s="4"/>
      <c r="C147" s="2" t="s">
        <v>114</v>
      </c>
      <c r="D147" s="2" t="s">
        <v>510</v>
      </c>
      <c r="E147" s="23" t="s">
        <v>812</v>
      </c>
      <c r="F147" s="36"/>
      <c r="G147" s="83">
        <f>Assumptions!I187</f>
        <v>8502.4580133555937</v>
      </c>
      <c r="H147" s="83">
        <f>G147*(1+Assumptions!$H$189)</f>
        <v>8672.5071736227055</v>
      </c>
      <c r="I147" s="83">
        <f>H147*(1+Assumptions!$H$189)</f>
        <v>8845.9573170951589</v>
      </c>
      <c r="J147" s="83">
        <f>I147*(1+Assumptions!$H$189)</f>
        <v>9022.8764634370618</v>
      </c>
      <c r="K147" s="83">
        <f>J147*(1+Assumptions!$H$189)</f>
        <v>9203.3339927058041</v>
      </c>
      <c r="L147" s="83">
        <f>K147*(1+Assumptions!$H$189)</f>
        <v>9387.4006725599211</v>
      </c>
      <c r="M147" s="83">
        <f>L147*(1+Assumptions!$H$189)</f>
        <v>9575.1486860111199</v>
      </c>
      <c r="N147" s="83">
        <f>M147*(1+Assumptions!$H$189)</f>
        <v>9766.6516597313421</v>
      </c>
      <c r="O147" s="83">
        <f>N147*(1+Assumptions!$H$189)</f>
        <v>9961.9846929259693</v>
      </c>
      <c r="P147" s="83">
        <f>O147*(1+Assumptions!$H$189)</f>
        <v>10161.224386784488</v>
      </c>
      <c r="Q147" s="83">
        <f>P147*(1+Assumptions!$H$189)</f>
        <v>10364.448874520178</v>
      </c>
      <c r="R147" s="83">
        <f>Q147*(1+Assumptions!$H$189)</f>
        <v>10571.737852010581</v>
      </c>
      <c r="S147" s="83">
        <f>R147*(1+Assumptions!$H$189)</f>
        <v>10783.172609050793</v>
      </c>
      <c r="T147" s="83">
        <f>S147*(1+Assumptions!$H$189)</f>
        <v>10998.836061231808</v>
      </c>
      <c r="U147" s="83">
        <f>T147*(1+Assumptions!$H$189)</f>
        <v>11218.812782456445</v>
      </c>
      <c r="V147" s="83">
        <f>U147*(1+Assumptions!$H$189)</f>
        <v>11443.189038105575</v>
      </c>
      <c r="W147" s="83">
        <f>V147*(1+Assumptions!$H$189)</f>
        <v>11672.052818867687</v>
      </c>
      <c r="X147" s="83">
        <f>W147*(1+Assumptions!$H$189)</f>
        <v>11905.493875245042</v>
      </c>
      <c r="Y147" s="83">
        <f>X147*(1+Assumptions!$H$189)</f>
        <v>12143.603752749943</v>
      </c>
      <c r="Z147" s="83">
        <f>Y147*(1+Assumptions!$H$189)</f>
        <v>12386.475827804941</v>
      </c>
      <c r="AA147" s="83">
        <f>Z147*(1+Assumptions!$H$189)</f>
        <v>12634.20534436104</v>
      </c>
    </row>
    <row r="148" spans="1:27" x14ac:dyDescent="0.45">
      <c r="A148" s="32"/>
      <c r="B148" s="4"/>
      <c r="C148" s="2" t="s">
        <v>114</v>
      </c>
      <c r="D148" s="2" t="s">
        <v>511</v>
      </c>
      <c r="E148" s="23" t="s">
        <v>806</v>
      </c>
      <c r="F148" s="36"/>
      <c r="G148" s="89">
        <f>G147*G210</f>
        <v>0</v>
      </c>
      <c r="H148" s="89">
        <f t="shared" ref="H148:AA148" si="8">H147*H210</f>
        <v>69380.057388981644</v>
      </c>
      <c r="I148" s="89">
        <f t="shared" si="8"/>
        <v>70767.658536761272</v>
      </c>
      <c r="J148" s="89">
        <f t="shared" si="8"/>
        <v>72183.011707496495</v>
      </c>
      <c r="K148" s="89">
        <f t="shared" si="8"/>
        <v>73626.671941646433</v>
      </c>
      <c r="L148" s="89">
        <f t="shared" si="8"/>
        <v>75099.205380479369</v>
      </c>
      <c r="M148" s="89">
        <f t="shared" si="8"/>
        <v>76601.189488088959</v>
      </c>
      <c r="N148" s="89">
        <f t="shared" si="8"/>
        <v>78133.213277850737</v>
      </c>
      <c r="O148" s="89">
        <f t="shared" si="8"/>
        <v>79695.877543407754</v>
      </c>
      <c r="P148" s="89">
        <f t="shared" si="8"/>
        <v>81289.795094275905</v>
      </c>
      <c r="Q148" s="89">
        <f t="shared" si="8"/>
        <v>82915.590996161423</v>
      </c>
      <c r="R148" s="89">
        <f t="shared" si="8"/>
        <v>84573.90281608465</v>
      </c>
      <c r="S148" s="89">
        <f t="shared" si="8"/>
        <v>86265.380872406342</v>
      </c>
      <c r="T148" s="89">
        <f t="shared" si="8"/>
        <v>87990.688489854467</v>
      </c>
      <c r="U148" s="89">
        <f t="shared" si="8"/>
        <v>89750.502259651563</v>
      </c>
      <c r="V148" s="89">
        <f t="shared" si="8"/>
        <v>91545.512304844597</v>
      </c>
      <c r="W148" s="89">
        <f t="shared" si="8"/>
        <v>93376.422550941497</v>
      </c>
      <c r="X148" s="89">
        <f t="shared" si="8"/>
        <v>95243.951001960333</v>
      </c>
      <c r="Y148" s="89">
        <f t="shared" si="8"/>
        <v>97148.830021999544</v>
      </c>
      <c r="Z148" s="89">
        <f t="shared" si="8"/>
        <v>99091.80662243953</v>
      </c>
      <c r="AA148" s="89">
        <f t="shared" si="8"/>
        <v>101073.64275488832</v>
      </c>
    </row>
    <row r="149" spans="1:27" x14ac:dyDescent="0.45">
      <c r="A149" s="32"/>
      <c r="B149" s="4"/>
      <c r="C149" s="4"/>
      <c r="F149" s="36"/>
    </row>
    <row r="150" spans="1:27" x14ac:dyDescent="0.45">
      <c r="A150" s="32"/>
      <c r="B150" s="4"/>
      <c r="C150" s="2" t="s">
        <v>114</v>
      </c>
      <c r="D150" s="2" t="s">
        <v>512</v>
      </c>
      <c r="E150" s="23" t="s">
        <v>813</v>
      </c>
      <c r="F150" s="36"/>
      <c r="G150" s="83">
        <f>Assumptions!I188</f>
        <v>11580.475792988313</v>
      </c>
      <c r="H150" s="83">
        <f>G150*(1+Assumptions!$H$189)</f>
        <v>11812.08530884808</v>
      </c>
      <c r="I150" s="83">
        <f>H150*(1+Assumptions!$H$189)</f>
        <v>12048.327015025041</v>
      </c>
      <c r="J150" s="83">
        <f>I150*(1+Assumptions!$H$189)</f>
        <v>12289.293555325541</v>
      </c>
      <c r="K150" s="83">
        <f>J150*(1+Assumptions!$H$189)</f>
        <v>12535.079426432052</v>
      </c>
      <c r="L150" s="83">
        <f>K150*(1+Assumptions!$H$189)</f>
        <v>12785.781014960694</v>
      </c>
      <c r="M150" s="83">
        <f>L150*(1+Assumptions!$H$189)</f>
        <v>13041.496635259908</v>
      </c>
      <c r="N150" s="83">
        <f>M150*(1+Assumptions!$H$189)</f>
        <v>13302.326567965107</v>
      </c>
      <c r="O150" s="83">
        <f>N150*(1+Assumptions!$H$189)</f>
        <v>13568.37309932441</v>
      </c>
      <c r="P150" s="83">
        <f>O150*(1+Assumptions!$H$189)</f>
        <v>13839.740561310899</v>
      </c>
      <c r="Q150" s="83">
        <f>P150*(1+Assumptions!$H$189)</f>
        <v>14116.535372537117</v>
      </c>
      <c r="R150" s="83">
        <f>Q150*(1+Assumptions!$H$189)</f>
        <v>14398.86607998786</v>
      </c>
      <c r="S150" s="83">
        <f>R150*(1+Assumptions!$H$189)</f>
        <v>14686.843401587617</v>
      </c>
      <c r="T150" s="83">
        <f>S150*(1+Assumptions!$H$189)</f>
        <v>14980.58026961937</v>
      </c>
      <c r="U150" s="83">
        <f>T150*(1+Assumptions!$H$189)</f>
        <v>15280.191875011757</v>
      </c>
      <c r="V150" s="83">
        <f>U150*(1+Assumptions!$H$189)</f>
        <v>15585.795712511992</v>
      </c>
      <c r="W150" s="83">
        <f>V150*(1+Assumptions!$H$189)</f>
        <v>15897.511626762232</v>
      </c>
      <c r="X150" s="83">
        <f>W150*(1+Assumptions!$H$189)</f>
        <v>16215.461859297477</v>
      </c>
      <c r="Y150" s="83">
        <f>X150*(1+Assumptions!$H$189)</f>
        <v>16539.771096483426</v>
      </c>
      <c r="Z150" s="83">
        <f>Y150*(1+Assumptions!$H$189)</f>
        <v>16870.566518413096</v>
      </c>
      <c r="AA150" s="83">
        <f>Z150*(1+Assumptions!$H$189)</f>
        <v>17207.977848781356</v>
      </c>
    </row>
    <row r="151" spans="1:27" x14ac:dyDescent="0.45">
      <c r="A151" s="32"/>
      <c r="B151" s="4"/>
      <c r="C151" s="2" t="s">
        <v>114</v>
      </c>
      <c r="D151" s="2" t="s">
        <v>513</v>
      </c>
      <c r="E151" s="23" t="s">
        <v>806</v>
      </c>
      <c r="F151" s="36"/>
      <c r="G151" s="89">
        <f t="shared" ref="G151:AA151" si="9">G150*G213</f>
        <v>0</v>
      </c>
      <c r="H151" s="89">
        <f t="shared" si="9"/>
        <v>47248.34123539232</v>
      </c>
      <c r="I151" s="89">
        <f t="shared" si="9"/>
        <v>48193.308060100164</v>
      </c>
      <c r="J151" s="89">
        <f t="shared" si="9"/>
        <v>49157.174221302164</v>
      </c>
      <c r="K151" s="89">
        <f t="shared" si="9"/>
        <v>50140.317705728208</v>
      </c>
      <c r="L151" s="89">
        <f t="shared" si="9"/>
        <v>51143.124059842776</v>
      </c>
      <c r="M151" s="89">
        <f t="shared" si="9"/>
        <v>52165.986541039631</v>
      </c>
      <c r="N151" s="89">
        <f t="shared" si="9"/>
        <v>53209.306271860427</v>
      </c>
      <c r="O151" s="89">
        <f t="shared" si="9"/>
        <v>54273.492397297639</v>
      </c>
      <c r="P151" s="89">
        <f t="shared" si="9"/>
        <v>55358.962245243594</v>
      </c>
      <c r="Q151" s="89">
        <f t="shared" si="9"/>
        <v>56466.141490148468</v>
      </c>
      <c r="R151" s="89">
        <f t="shared" si="9"/>
        <v>57595.464319951439</v>
      </c>
      <c r="S151" s="89">
        <f t="shared" si="9"/>
        <v>58747.373606350469</v>
      </c>
      <c r="T151" s="89">
        <f t="shared" si="9"/>
        <v>59922.321078477478</v>
      </c>
      <c r="U151" s="89">
        <f t="shared" si="9"/>
        <v>61120.767500047026</v>
      </c>
      <c r="V151" s="89">
        <f t="shared" si="9"/>
        <v>62343.182850047968</v>
      </c>
      <c r="W151" s="89">
        <f t="shared" si="9"/>
        <v>63590.04650704893</v>
      </c>
      <c r="X151" s="89">
        <f t="shared" si="9"/>
        <v>64861.847437189906</v>
      </c>
      <c r="Y151" s="89">
        <f t="shared" si="9"/>
        <v>66159.084385933704</v>
      </c>
      <c r="Z151" s="89">
        <f t="shared" si="9"/>
        <v>67482.266073652383</v>
      </c>
      <c r="AA151" s="89">
        <f t="shared" si="9"/>
        <v>68831.911395125426</v>
      </c>
    </row>
    <row r="152" spans="1:27" customFormat="1" x14ac:dyDescent="0.45"/>
    <row r="153" spans="1:27" s="4" customFormat="1" x14ac:dyDescent="0.45">
      <c r="A153" s="92"/>
      <c r="C153" s="4" t="s">
        <v>114</v>
      </c>
      <c r="D153" s="4" t="s">
        <v>146</v>
      </c>
      <c r="E153" s="70" t="s">
        <v>806</v>
      </c>
      <c r="F153" s="93"/>
      <c r="G153" s="137">
        <f t="shared" ref="G153:AA153" si="10">G148</f>
        <v>0</v>
      </c>
      <c r="H153" s="137">
        <f t="shared" si="10"/>
        <v>69380.057388981644</v>
      </c>
      <c r="I153" s="137">
        <f t="shared" si="10"/>
        <v>70767.658536761272</v>
      </c>
      <c r="J153" s="137">
        <f t="shared" si="10"/>
        <v>72183.011707496495</v>
      </c>
      <c r="K153" s="137">
        <f t="shared" si="10"/>
        <v>73626.671941646433</v>
      </c>
      <c r="L153" s="137">
        <f t="shared" si="10"/>
        <v>75099.205380479369</v>
      </c>
      <c r="M153" s="137">
        <f t="shared" si="10"/>
        <v>76601.189488088959</v>
      </c>
      <c r="N153" s="137">
        <f t="shared" si="10"/>
        <v>78133.213277850737</v>
      </c>
      <c r="O153" s="137">
        <f t="shared" si="10"/>
        <v>79695.877543407754</v>
      </c>
      <c r="P153" s="137">
        <f t="shared" si="10"/>
        <v>81289.795094275905</v>
      </c>
      <c r="Q153" s="137">
        <f t="shared" si="10"/>
        <v>82915.590996161423</v>
      </c>
      <c r="R153" s="137">
        <f t="shared" si="10"/>
        <v>84573.90281608465</v>
      </c>
      <c r="S153" s="137">
        <f t="shared" si="10"/>
        <v>86265.380872406342</v>
      </c>
      <c r="T153" s="137">
        <f t="shared" si="10"/>
        <v>87990.688489854467</v>
      </c>
      <c r="U153" s="137">
        <f t="shared" si="10"/>
        <v>89750.502259651563</v>
      </c>
      <c r="V153" s="137">
        <f t="shared" si="10"/>
        <v>91545.512304844597</v>
      </c>
      <c r="W153" s="137">
        <f t="shared" si="10"/>
        <v>93376.422550941497</v>
      </c>
      <c r="X153" s="137">
        <f t="shared" si="10"/>
        <v>95243.951001960333</v>
      </c>
      <c r="Y153" s="137">
        <f t="shared" si="10"/>
        <v>97148.830021999544</v>
      </c>
      <c r="Z153" s="137">
        <f t="shared" si="10"/>
        <v>99091.80662243953</v>
      </c>
      <c r="AA153" s="137">
        <f t="shared" si="10"/>
        <v>101073.64275488832</v>
      </c>
    </row>
    <row r="154" spans="1:27" x14ac:dyDescent="0.45">
      <c r="A154" s="37"/>
      <c r="B154" s="4"/>
      <c r="E154" s="3"/>
      <c r="F154" s="38"/>
      <c r="G154" s="40" t="s">
        <v>22</v>
      </c>
      <c r="H154" s="40" t="s">
        <v>22</v>
      </c>
      <c r="I154" s="40" t="s">
        <v>22</v>
      </c>
      <c r="J154" s="40" t="s">
        <v>22</v>
      </c>
      <c r="K154" s="40" t="s">
        <v>22</v>
      </c>
      <c r="L154" s="40" t="s">
        <v>22</v>
      </c>
      <c r="M154" s="40" t="s">
        <v>22</v>
      </c>
      <c r="N154" s="40" t="s">
        <v>22</v>
      </c>
      <c r="O154" s="40" t="s">
        <v>22</v>
      </c>
      <c r="P154" s="40" t="s">
        <v>22</v>
      </c>
      <c r="Q154" s="40" t="s">
        <v>22</v>
      </c>
      <c r="R154" s="40" t="s">
        <v>22</v>
      </c>
      <c r="S154" s="40" t="s">
        <v>22</v>
      </c>
      <c r="T154" s="40" t="s">
        <v>22</v>
      </c>
      <c r="U154" s="40" t="s">
        <v>22</v>
      </c>
      <c r="V154" s="40" t="s">
        <v>22</v>
      </c>
      <c r="W154" s="40" t="s">
        <v>22</v>
      </c>
      <c r="X154" s="40" t="s">
        <v>22</v>
      </c>
      <c r="Y154" s="40" t="s">
        <v>22</v>
      </c>
      <c r="Z154" s="40" t="s">
        <v>22</v>
      </c>
      <c r="AA154" s="40" t="s">
        <v>22</v>
      </c>
    </row>
    <row r="155" spans="1:27" x14ac:dyDescent="0.45">
      <c r="A155" s="37"/>
      <c r="B155" s="4"/>
      <c r="C155" s="4"/>
      <c r="D155" s="4" t="s">
        <v>539</v>
      </c>
      <c r="E155" s="42" t="s">
        <v>806</v>
      </c>
      <c r="F155" s="38"/>
      <c r="G155" s="91">
        <f>SUM(G153:G153)</f>
        <v>0</v>
      </c>
      <c r="H155" s="91">
        <f t="shared" ref="H155:AA155" si="11">SUM(H153:H153)</f>
        <v>69380.057388981644</v>
      </c>
      <c r="I155" s="91">
        <f t="shared" si="11"/>
        <v>70767.658536761272</v>
      </c>
      <c r="J155" s="91">
        <f t="shared" si="11"/>
        <v>72183.011707496495</v>
      </c>
      <c r="K155" s="91">
        <f t="shared" si="11"/>
        <v>73626.671941646433</v>
      </c>
      <c r="L155" s="91">
        <f t="shared" si="11"/>
        <v>75099.205380479369</v>
      </c>
      <c r="M155" s="91">
        <f t="shared" si="11"/>
        <v>76601.189488088959</v>
      </c>
      <c r="N155" s="91">
        <f t="shared" si="11"/>
        <v>78133.213277850737</v>
      </c>
      <c r="O155" s="91">
        <f t="shared" si="11"/>
        <v>79695.877543407754</v>
      </c>
      <c r="P155" s="91">
        <f t="shared" si="11"/>
        <v>81289.795094275905</v>
      </c>
      <c r="Q155" s="91">
        <f t="shared" si="11"/>
        <v>82915.590996161423</v>
      </c>
      <c r="R155" s="91">
        <f t="shared" si="11"/>
        <v>84573.90281608465</v>
      </c>
      <c r="S155" s="91">
        <f t="shared" si="11"/>
        <v>86265.380872406342</v>
      </c>
      <c r="T155" s="91">
        <f t="shared" si="11"/>
        <v>87990.688489854467</v>
      </c>
      <c r="U155" s="91">
        <f t="shared" si="11"/>
        <v>89750.502259651563</v>
      </c>
      <c r="V155" s="91">
        <f t="shared" si="11"/>
        <v>91545.512304844597</v>
      </c>
      <c r="W155" s="91">
        <f t="shared" si="11"/>
        <v>93376.422550941497</v>
      </c>
      <c r="X155" s="91">
        <f t="shared" si="11"/>
        <v>95243.951001960333</v>
      </c>
      <c r="Y155" s="91">
        <f t="shared" si="11"/>
        <v>97148.830021999544</v>
      </c>
      <c r="Z155" s="91">
        <f t="shared" si="11"/>
        <v>99091.80662243953</v>
      </c>
      <c r="AA155" s="91">
        <f t="shared" si="11"/>
        <v>101073.64275488832</v>
      </c>
    </row>
    <row r="156" spans="1:27" x14ac:dyDescent="0.45">
      <c r="A156" s="37"/>
      <c r="B156" s="4"/>
      <c r="C156" s="4"/>
      <c r="E156" s="3"/>
      <c r="F156" s="38"/>
      <c r="G156" s="40" t="s">
        <v>22</v>
      </c>
      <c r="H156" s="40" t="s">
        <v>22</v>
      </c>
      <c r="I156" s="40" t="s">
        <v>22</v>
      </c>
      <c r="J156" s="40" t="s">
        <v>22</v>
      </c>
      <c r="K156" s="40" t="s">
        <v>22</v>
      </c>
      <c r="L156" s="40" t="s">
        <v>22</v>
      </c>
      <c r="M156" s="40" t="s">
        <v>22</v>
      </c>
      <c r="N156" s="40" t="s">
        <v>22</v>
      </c>
      <c r="O156" s="40" t="s">
        <v>22</v>
      </c>
      <c r="P156" s="40" t="s">
        <v>22</v>
      </c>
      <c r="Q156" s="40" t="s">
        <v>22</v>
      </c>
      <c r="R156" s="40" t="s">
        <v>22</v>
      </c>
      <c r="S156" s="40" t="s">
        <v>22</v>
      </c>
      <c r="T156" s="40" t="s">
        <v>22</v>
      </c>
      <c r="U156" s="40" t="s">
        <v>22</v>
      </c>
      <c r="V156" s="40" t="s">
        <v>22</v>
      </c>
      <c r="W156" s="40" t="s">
        <v>22</v>
      </c>
      <c r="X156" s="40" t="s">
        <v>22</v>
      </c>
      <c r="Y156" s="40" t="s">
        <v>22</v>
      </c>
      <c r="Z156" s="40" t="s">
        <v>22</v>
      </c>
      <c r="AA156" s="40" t="s">
        <v>22</v>
      </c>
    </row>
    <row r="157" spans="1:27" s="4" customFormat="1" x14ac:dyDescent="0.45">
      <c r="A157" s="41"/>
      <c r="D157" s="4" t="s">
        <v>23</v>
      </c>
      <c r="E157" s="42" t="s">
        <v>806</v>
      </c>
      <c r="F157" s="43"/>
      <c r="G157" s="678">
        <f ca="1">G155+G144</f>
        <v>5717078.3639399</v>
      </c>
      <c r="H157" s="90">
        <f t="shared" ref="H157:AA157" ca="1" si="12">H155+H144</f>
        <v>69380.057388981644</v>
      </c>
      <c r="I157" s="90">
        <f t="shared" ca="1" si="12"/>
        <v>70767.658536761272</v>
      </c>
      <c r="J157" s="90">
        <f t="shared" ca="1" si="12"/>
        <v>72183.011707496495</v>
      </c>
      <c r="K157" s="90">
        <f t="shared" ca="1" si="12"/>
        <v>73626.671941646433</v>
      </c>
      <c r="L157" s="90">
        <f t="shared" ca="1" si="12"/>
        <v>75099.205380479369</v>
      </c>
      <c r="M157" s="90">
        <f t="shared" ca="1" si="12"/>
        <v>76601.189488088959</v>
      </c>
      <c r="N157" s="90">
        <f t="shared" ca="1" si="12"/>
        <v>78133.213277850737</v>
      </c>
      <c r="O157" s="90">
        <f t="shared" ca="1" si="12"/>
        <v>79695.877543407754</v>
      </c>
      <c r="P157" s="90">
        <f t="shared" ca="1" si="12"/>
        <v>81289.795094275905</v>
      </c>
      <c r="Q157" s="90">
        <f t="shared" ca="1" si="12"/>
        <v>82915.590996161423</v>
      </c>
      <c r="R157" s="90">
        <f t="shared" ca="1" si="12"/>
        <v>84573.90281608465</v>
      </c>
      <c r="S157" s="90">
        <f t="shared" ca="1" si="12"/>
        <v>86265.380872406342</v>
      </c>
      <c r="T157" s="90">
        <f t="shared" ca="1" si="12"/>
        <v>87990.688489854467</v>
      </c>
      <c r="U157" s="90">
        <f t="shared" ca="1" si="12"/>
        <v>89750.502259651563</v>
      </c>
      <c r="V157" s="90">
        <f t="shared" ca="1" si="12"/>
        <v>91545.512304844597</v>
      </c>
      <c r="W157" s="90">
        <f t="shared" ca="1" si="12"/>
        <v>93376.422550941497</v>
      </c>
      <c r="X157" s="90">
        <f t="shared" ca="1" si="12"/>
        <v>95243.951001960333</v>
      </c>
      <c r="Y157" s="90">
        <f t="shared" ca="1" si="12"/>
        <v>97148.830021999544</v>
      </c>
      <c r="Z157" s="90">
        <f t="shared" ca="1" si="12"/>
        <v>99091.80662243953</v>
      </c>
      <c r="AA157" s="90">
        <f t="shared" ca="1" si="12"/>
        <v>101073.64275488832</v>
      </c>
    </row>
    <row r="158" spans="1:27" x14ac:dyDescent="0.45">
      <c r="A158" s="37"/>
      <c r="B158" s="4"/>
      <c r="C158" s="4"/>
      <c r="F158" s="45"/>
      <c r="G158" s="46"/>
      <c r="H158" s="46"/>
      <c r="I158" s="46"/>
      <c r="J158" s="46"/>
      <c r="K158" s="46"/>
      <c r="L158" s="46"/>
      <c r="M158" s="46"/>
      <c r="N158" s="46"/>
      <c r="O158" s="46"/>
      <c r="P158" s="46"/>
      <c r="Q158" s="46"/>
      <c r="R158" s="46"/>
      <c r="S158" s="46"/>
      <c r="T158" s="46"/>
      <c r="U158" s="46"/>
      <c r="V158" s="46"/>
      <c r="W158" s="46"/>
      <c r="X158" s="46"/>
      <c r="Y158" s="46"/>
      <c r="Z158" s="46"/>
      <c r="AA158" s="46"/>
    </row>
    <row r="159" spans="1:27" x14ac:dyDescent="0.45">
      <c r="A159" s="37"/>
      <c r="B159" s="4" t="s">
        <v>1</v>
      </c>
      <c r="C159" s="4"/>
      <c r="F159" s="45"/>
    </row>
    <row r="160" spans="1:27" x14ac:dyDescent="0.45">
      <c r="A160" s="37"/>
      <c r="B160" s="4"/>
      <c r="C160" s="2" t="s">
        <v>114</v>
      </c>
      <c r="D160" s="2" t="s">
        <v>504</v>
      </c>
      <c r="E160" s="3" t="s">
        <v>806</v>
      </c>
      <c r="F160" s="45"/>
      <c r="G160" s="88">
        <f ca="1">IF(COUNT($F160:F160)&lt;Assumptions!$H59,SUM($G65:G65)/(Assumptions!$H59+1),SUM(OFFSET(G65,0,-Assumptions!$H59):G65)/(Assumptions!$H59+1))</f>
        <v>154590.14569737442</v>
      </c>
      <c r="H160" s="88">
        <f ca="1">IF(COUNT($F160:G160)&lt;Assumptions!$H59,SUM($G65:H65)/(Assumptions!$H59+1),SUM(OFFSET(H65,0,-Assumptions!$H59):H65)/(Assumptions!$H59+1))</f>
        <v>154590.14569737442</v>
      </c>
      <c r="I160" s="88">
        <f ca="1">IF(COUNT($F160:H160)&lt;Assumptions!$H59,SUM($G65:I65)/(Assumptions!$H59+1),SUM(OFFSET(I65,0,-Assumptions!$H59):I65)/(Assumptions!$H59+1))</f>
        <v>154590.14569737442</v>
      </c>
      <c r="J160" s="88">
        <f ca="1">IF(COUNT($F160:I160)&lt;Assumptions!$H59,SUM($G65:J65)/(Assumptions!$H59+1),SUM(OFFSET(J65,0,-Assumptions!$H59):J65)/(Assumptions!$H59+1))</f>
        <v>154590.14569737442</v>
      </c>
      <c r="K160" s="88">
        <f ca="1">IF(COUNT($F160:J160)&lt;Assumptions!$H59,SUM($G65:K65)/(Assumptions!$H59+1),SUM(OFFSET(K65,0,-Assumptions!$H59):K65)/(Assumptions!$H59+1))</f>
        <v>154590.14569737442</v>
      </c>
      <c r="L160" s="88">
        <f ca="1">IF(COUNT($F160:K160)&lt;Assumptions!$H59,SUM($G65:L65)/(Assumptions!$H59+1),SUM(OFFSET(L65,0,-Assumptions!$H59):L65)/(Assumptions!$H59+1))</f>
        <v>154590.14569737442</v>
      </c>
      <c r="M160" s="88">
        <f ca="1">IF(COUNT($F160:L160)&lt;Assumptions!$H59,SUM($G65:M65)/(Assumptions!$H59+1),SUM(OFFSET(M65,0,-Assumptions!$H59):M65)/(Assumptions!$H59+1))</f>
        <v>154590.14569737442</v>
      </c>
      <c r="N160" s="88">
        <f ca="1">IF(COUNT($F160:M160)&lt;Assumptions!$H59,SUM($G65:N65)/(Assumptions!$H59+1),SUM(OFFSET(N65,0,-Assumptions!$H59):N65)/(Assumptions!$H59+1))</f>
        <v>154590.14569737442</v>
      </c>
      <c r="O160" s="88">
        <f ca="1">IF(COUNT($F160:N160)&lt;Assumptions!$H59,SUM($G65:O65)/(Assumptions!$H59+1),SUM(OFFSET(O65,0,-Assumptions!$H59):O65)/(Assumptions!$H59+1))</f>
        <v>154590.14569737442</v>
      </c>
      <c r="P160" s="88">
        <f ca="1">IF(COUNT($F160:O160)&lt;Assumptions!$H59,SUM($G65:P65)/(Assumptions!$H59+1),SUM(OFFSET(P65,0,-Assumptions!$H59):P65)/(Assumptions!$H59+1))</f>
        <v>154590.14569737442</v>
      </c>
      <c r="Q160" s="88">
        <f ca="1">IF(COUNT($F160:P160)&lt;Assumptions!$H59,SUM($G65:Q65)/(Assumptions!$H59+1),SUM(OFFSET(Q65,0,-Assumptions!$H59):Q65)/(Assumptions!$H59+1))</f>
        <v>154590.14569737442</v>
      </c>
      <c r="R160" s="88">
        <f ca="1">IF(COUNT($F160:Q160)&lt;Assumptions!$H59,SUM($G65:R65)/(Assumptions!$H59+1),SUM(OFFSET(R65,0,-Assumptions!$H59):R65)/(Assumptions!$H59+1))</f>
        <v>154590.14569737442</v>
      </c>
      <c r="S160" s="88">
        <f ca="1">IF(COUNT($F160:R160)&lt;Assumptions!$H59,SUM($G65:S65)/(Assumptions!$H59+1),SUM(OFFSET(S65,0,-Assumptions!$H59):S65)/(Assumptions!$H59+1))</f>
        <v>154590.14569737442</v>
      </c>
      <c r="T160" s="88">
        <f ca="1">IF(COUNT($F160:S160)&lt;Assumptions!$H59,SUM($G65:T65)/(Assumptions!$H59+1),SUM(OFFSET(T65,0,-Assumptions!$H59):T65)/(Assumptions!$H59+1))</f>
        <v>154590.14569737442</v>
      </c>
      <c r="U160" s="88">
        <f ca="1">IF(COUNT($F160:T160)&lt;Assumptions!$H59,SUM($G65:U65)/(Assumptions!$H59+1),SUM(OFFSET(U65,0,-Assumptions!$H59):U65)/(Assumptions!$H59+1))</f>
        <v>154590.14569737442</v>
      </c>
      <c r="V160" s="88">
        <f ca="1">IF(COUNT($F160:U160)&lt;Assumptions!$H59,SUM($G65:V65)/(Assumptions!$H59+1),SUM(OFFSET(V65,0,-Assumptions!$H59):V65)/(Assumptions!$H59+1))</f>
        <v>154590.14569737442</v>
      </c>
      <c r="W160" s="88">
        <f ca="1">IF(COUNT($F160:V160)&lt;Assumptions!$H59,SUM($G65:W65)/(Assumptions!$H59+1),SUM(OFFSET(W65,0,-Assumptions!$H59):W65)/(Assumptions!$H59+1))</f>
        <v>154590.14569737442</v>
      </c>
      <c r="X160" s="88">
        <f ca="1">IF(COUNT($F160:W160)&lt;Assumptions!$H59,SUM($G65:X65)/(Assumptions!$H59+1),SUM(OFFSET(X65,0,-Assumptions!$H59):X65)/(Assumptions!$H59+1))</f>
        <v>154590.14569737442</v>
      </c>
      <c r="Y160" s="88">
        <f ca="1">IF(COUNT($F160:X160)&lt;Assumptions!$H59,SUM($G65:Y65)/(Assumptions!$H59+1),SUM(OFFSET(Y65,0,-Assumptions!$H59):Y65)/(Assumptions!$H59+1))</f>
        <v>154590.14569737442</v>
      </c>
      <c r="Z160" s="88">
        <f ca="1">IF(COUNT($F160:Y160)&lt;Assumptions!$H59,SUM($G65:Z65)/(Assumptions!$H59+1),SUM(OFFSET(Z65,0,-Assumptions!$H59):Z65)/(Assumptions!$H59+1))</f>
        <v>154590.14569737442</v>
      </c>
      <c r="AA160" s="88">
        <f ca="1">IF(COUNT($F160:Z160)&lt;Assumptions!$H59,SUM($G65:AA65)/(Assumptions!$H59+1),SUM(OFFSET(AA65,0,-Assumptions!$H59):AA65)/(Assumptions!$H59+1))</f>
        <v>154590.14569737442</v>
      </c>
    </row>
    <row r="161" spans="1:38" x14ac:dyDescent="0.45">
      <c r="A161" s="37"/>
      <c r="B161" s="4"/>
      <c r="C161" s="2" t="s">
        <v>114</v>
      </c>
      <c r="D161" s="2" t="s">
        <v>505</v>
      </c>
      <c r="E161" s="3" t="s">
        <v>806</v>
      </c>
      <c r="F161" s="45"/>
      <c r="G161" s="88">
        <f ca="1">IF(COUNT($F161:F161)&lt;Assumptions!$H108,SUM($G142:G142)/(Assumptions!$H108+1),SUM(OFFSET(G142,0,-Assumptions!$H108):G142)/(Assumptions!$H108+1))</f>
        <v>105277.05266353012</v>
      </c>
      <c r="H161" s="88">
        <f ca="1">IF(COUNT($F161:G161)&lt;Assumptions!$H108,SUM($G142:H142)/(Assumptions!$H108+1),SUM(OFFSET(H142,0,-Assumptions!$H108):H142)/(Assumptions!$H108+1))</f>
        <v>105277.05266353012</v>
      </c>
      <c r="I161" s="88">
        <f ca="1">IF(COUNT($F161:H161)&lt;Assumptions!$H108,SUM($G142:I142)/(Assumptions!$H108+1),SUM(OFFSET(I142,0,-Assumptions!$H108):I142)/(Assumptions!$H108+1))</f>
        <v>105277.05266353012</v>
      </c>
      <c r="J161" s="88">
        <f ca="1">IF(COUNT($F161:I161)&lt;Assumptions!$H108,SUM($G142:J142)/(Assumptions!$H108+1),SUM(OFFSET(J142,0,-Assumptions!$H108):J142)/(Assumptions!$H108+1))</f>
        <v>105277.05266353012</v>
      </c>
      <c r="K161" s="88">
        <f ca="1">IF(COUNT($F161:J161)&lt;Assumptions!$H108,SUM($G142:K142)/(Assumptions!$H108+1),SUM(OFFSET(K142,0,-Assumptions!$H108):K142)/(Assumptions!$H108+1))</f>
        <v>105277.05266353012</v>
      </c>
      <c r="L161" s="88">
        <f ca="1">IF(COUNT($F161:K161)&lt;Assumptions!$H108,SUM($G142:L142)/(Assumptions!$H108+1),SUM(OFFSET(L142,0,-Assumptions!$H108):L142)/(Assumptions!$H108+1))</f>
        <v>105277.05266353012</v>
      </c>
      <c r="M161" s="88">
        <f ca="1">IF(COUNT($F161:L161)&lt;Assumptions!$H108,SUM($G142:M142)/(Assumptions!$H108+1),SUM(OFFSET(M142,0,-Assumptions!$H108):M142)/(Assumptions!$H108+1))</f>
        <v>105277.05266353012</v>
      </c>
      <c r="N161" s="88">
        <f ca="1">IF(COUNT($F161:M161)&lt;Assumptions!$H108,SUM($G142:N142)/(Assumptions!$H108+1),SUM(OFFSET(N142,0,-Assumptions!$H108):N142)/(Assumptions!$H108+1))</f>
        <v>105277.05266353012</v>
      </c>
      <c r="O161" s="88">
        <f ca="1">IF(COUNT($F161:N161)&lt;Assumptions!$H108,SUM($G142:O142)/(Assumptions!$H108+1),SUM(OFFSET(O142,0,-Assumptions!$H108):O142)/(Assumptions!$H108+1))</f>
        <v>105277.05266353012</v>
      </c>
      <c r="P161" s="88">
        <f ca="1">IF(COUNT($F161:O161)&lt;Assumptions!$H108,SUM($G142:P142)/(Assumptions!$H108+1),SUM(OFFSET(P142,0,-Assumptions!$H108):P142)/(Assumptions!$H108+1))</f>
        <v>105277.05266353012</v>
      </c>
      <c r="Q161" s="88">
        <f ca="1">IF(COUNT($F161:P161)&lt;Assumptions!$H108,SUM($G142:Q142)/(Assumptions!$H108+1),SUM(OFFSET(Q142,0,-Assumptions!$H108):Q142)/(Assumptions!$H108+1))</f>
        <v>105277.05266353012</v>
      </c>
      <c r="R161" s="88">
        <f ca="1">IF(COUNT($F161:Q161)&lt;Assumptions!$H108,SUM($G142:R142)/(Assumptions!$H108+1),SUM(OFFSET(R142,0,-Assumptions!$H108):R142)/(Assumptions!$H108+1))</f>
        <v>105277.05266353012</v>
      </c>
      <c r="S161" s="88">
        <f ca="1">IF(COUNT($F161:R161)&lt;Assumptions!$H108,SUM($G142:S142)/(Assumptions!$H108+1),SUM(OFFSET(S142,0,-Assumptions!$H108):S142)/(Assumptions!$H108+1))</f>
        <v>105277.05266353012</v>
      </c>
      <c r="T161" s="88">
        <f ca="1">IF(COUNT($F161:S161)&lt;Assumptions!$H108,SUM($G142:T142)/(Assumptions!$H108+1),SUM(OFFSET(T142,0,-Assumptions!$H108):T142)/(Assumptions!$H108+1))</f>
        <v>105277.05266353012</v>
      </c>
      <c r="U161" s="88">
        <f ca="1">IF(COUNT($F161:T161)&lt;Assumptions!$H108,SUM($G142:U142)/(Assumptions!$H108+1),SUM(OFFSET(U142,0,-Assumptions!$H108):U142)/(Assumptions!$H108+1))</f>
        <v>105277.05266353012</v>
      </c>
      <c r="V161" s="88">
        <f ca="1">IF(COUNT($F161:U161)&lt;Assumptions!$H108,SUM($G142:V142)/(Assumptions!$H108+1),SUM(OFFSET(V142,0,-Assumptions!$H108):V142)/(Assumptions!$H108+1))</f>
        <v>105277.05266353012</v>
      </c>
      <c r="W161" s="88">
        <f ca="1">IF(COUNT($F161:V161)&lt;Assumptions!$H108,SUM($G142:W142)/(Assumptions!$H108+1),SUM(OFFSET(W142,0,-Assumptions!$H108):W142)/(Assumptions!$H108+1))</f>
        <v>105277.05266353012</v>
      </c>
      <c r="X161" s="88">
        <f ca="1">IF(COUNT($F161:W161)&lt;Assumptions!$H108,SUM($G142:X142)/(Assumptions!$H108+1),SUM(OFFSET(X142,0,-Assumptions!$H108):X142)/(Assumptions!$H108+1))</f>
        <v>105277.05266353012</v>
      </c>
      <c r="Y161" s="88">
        <f ca="1">IF(COUNT($F161:X161)&lt;Assumptions!$H108,SUM($G142:Y142)/(Assumptions!$H108+1),SUM(OFFSET(Y142,0,-Assumptions!$H108):Y142)/(Assumptions!$H108+1))</f>
        <v>105277.05266353012</v>
      </c>
      <c r="Z161" s="88">
        <f ca="1">IF(COUNT($F161:Y161)&lt;Assumptions!$H108,SUM($G142:Z142)/(Assumptions!$H108+1),SUM(OFFSET(Z142,0,-Assumptions!$H108):Z142)/(Assumptions!$H108+1))</f>
        <v>105277.05266353012</v>
      </c>
      <c r="AA161" s="88">
        <f ca="1">IF(COUNT($F161:Z161)&lt;Assumptions!$H108,SUM($G142:AA142)/(Assumptions!$H108+1),SUM(OFFSET(AA142,0,-Assumptions!$H108):AA142)/(Assumptions!$H108+1))</f>
        <v>105277.05266353012</v>
      </c>
    </row>
    <row r="162" spans="1:38" x14ac:dyDescent="0.45">
      <c r="A162" s="37"/>
      <c r="B162" s="4"/>
      <c r="C162" s="4"/>
      <c r="G162" s="47" t="s">
        <v>22</v>
      </c>
      <c r="H162" s="47" t="s">
        <v>22</v>
      </c>
      <c r="I162" s="47" t="s">
        <v>22</v>
      </c>
      <c r="J162" s="47" t="s">
        <v>22</v>
      </c>
      <c r="K162" s="47" t="s">
        <v>22</v>
      </c>
      <c r="L162" s="47" t="s">
        <v>22</v>
      </c>
      <c r="M162" s="47" t="s">
        <v>22</v>
      </c>
      <c r="N162" s="47" t="s">
        <v>22</v>
      </c>
      <c r="O162" s="47" t="s">
        <v>22</v>
      </c>
      <c r="P162" s="47" t="s">
        <v>22</v>
      </c>
      <c r="Q162" s="47" t="s">
        <v>22</v>
      </c>
      <c r="R162" s="47" t="s">
        <v>22</v>
      </c>
      <c r="S162" s="47" t="s">
        <v>22</v>
      </c>
      <c r="T162" s="47" t="s">
        <v>22</v>
      </c>
      <c r="U162" s="47" t="s">
        <v>22</v>
      </c>
      <c r="V162" s="47" t="s">
        <v>22</v>
      </c>
      <c r="W162" s="47" t="s">
        <v>22</v>
      </c>
      <c r="X162" s="47" t="s">
        <v>22</v>
      </c>
      <c r="Y162" s="47" t="s">
        <v>22</v>
      </c>
      <c r="Z162" s="47" t="s">
        <v>22</v>
      </c>
      <c r="AA162" s="47" t="s">
        <v>22</v>
      </c>
    </row>
    <row r="163" spans="1:38" s="4" customFormat="1" x14ac:dyDescent="0.45">
      <c r="A163" s="41"/>
      <c r="D163" s="4" t="s">
        <v>24</v>
      </c>
      <c r="E163" s="42" t="s">
        <v>806</v>
      </c>
      <c r="F163" s="43"/>
      <c r="G163" s="44">
        <f t="shared" ref="G163:AA163" ca="1" si="13">SUM(G160:G161)</f>
        <v>259867.19836090453</v>
      </c>
      <c r="H163" s="44">
        <f t="shared" ca="1" si="13"/>
        <v>259867.19836090453</v>
      </c>
      <c r="I163" s="44">
        <f t="shared" ca="1" si="13"/>
        <v>259867.19836090453</v>
      </c>
      <c r="J163" s="44">
        <f t="shared" ca="1" si="13"/>
        <v>259867.19836090453</v>
      </c>
      <c r="K163" s="44">
        <f t="shared" ca="1" si="13"/>
        <v>259867.19836090453</v>
      </c>
      <c r="L163" s="44">
        <f t="shared" ca="1" si="13"/>
        <v>259867.19836090453</v>
      </c>
      <c r="M163" s="44">
        <f t="shared" ca="1" si="13"/>
        <v>259867.19836090453</v>
      </c>
      <c r="N163" s="44">
        <f t="shared" ca="1" si="13"/>
        <v>259867.19836090453</v>
      </c>
      <c r="O163" s="44">
        <f t="shared" ca="1" si="13"/>
        <v>259867.19836090453</v>
      </c>
      <c r="P163" s="44">
        <f t="shared" ca="1" si="13"/>
        <v>259867.19836090453</v>
      </c>
      <c r="Q163" s="44">
        <f t="shared" ca="1" si="13"/>
        <v>259867.19836090453</v>
      </c>
      <c r="R163" s="44">
        <f t="shared" ca="1" si="13"/>
        <v>259867.19836090453</v>
      </c>
      <c r="S163" s="44">
        <f t="shared" ca="1" si="13"/>
        <v>259867.19836090453</v>
      </c>
      <c r="T163" s="44">
        <f t="shared" ca="1" si="13"/>
        <v>259867.19836090453</v>
      </c>
      <c r="U163" s="44">
        <f t="shared" ca="1" si="13"/>
        <v>259867.19836090453</v>
      </c>
      <c r="V163" s="44">
        <f t="shared" ca="1" si="13"/>
        <v>259867.19836090453</v>
      </c>
      <c r="W163" s="44">
        <f t="shared" ca="1" si="13"/>
        <v>259867.19836090453</v>
      </c>
      <c r="X163" s="44">
        <f t="shared" ca="1" si="13"/>
        <v>259867.19836090453</v>
      </c>
      <c r="Y163" s="44">
        <f t="shared" ca="1" si="13"/>
        <v>259867.19836090453</v>
      </c>
      <c r="Z163" s="44">
        <f t="shared" ca="1" si="13"/>
        <v>259867.19836090453</v>
      </c>
      <c r="AA163" s="44">
        <f t="shared" ca="1" si="13"/>
        <v>259867.19836090453</v>
      </c>
    </row>
    <row r="164" spans="1:38" x14ac:dyDescent="0.45">
      <c r="A164" s="37"/>
      <c r="B164" s="4"/>
      <c r="C164" s="4"/>
      <c r="F164" s="36"/>
      <c r="G164" s="46"/>
      <c r="H164" s="46"/>
      <c r="I164" s="46"/>
      <c r="J164" s="46"/>
      <c r="K164" s="46"/>
      <c r="L164" s="46"/>
      <c r="M164" s="46"/>
      <c r="N164" s="46"/>
      <c r="O164" s="46"/>
      <c r="P164" s="46"/>
      <c r="Q164" s="46"/>
      <c r="R164" s="46"/>
      <c r="S164" s="46"/>
      <c r="T164" s="46"/>
      <c r="U164" s="46"/>
      <c r="V164" s="46"/>
      <c r="W164" s="46"/>
      <c r="X164" s="46"/>
      <c r="Y164" s="46"/>
      <c r="Z164" s="46"/>
      <c r="AA164" s="46"/>
    </row>
    <row r="165" spans="1:38" customFormat="1" x14ac:dyDescent="0.45">
      <c r="B165" s="4" t="s">
        <v>202</v>
      </c>
      <c r="D165" s="2"/>
      <c r="G165" s="130"/>
      <c r="H165" s="131"/>
      <c r="I165" s="131"/>
      <c r="J165" s="131"/>
      <c r="K165" s="131"/>
      <c r="L165" s="131"/>
      <c r="M165" s="131"/>
      <c r="N165" s="131"/>
      <c r="O165" s="131"/>
      <c r="P165" s="131"/>
      <c r="Q165" s="131"/>
      <c r="R165" s="131"/>
      <c r="S165" s="131"/>
      <c r="T165" s="131"/>
      <c r="U165" s="131"/>
      <c r="V165" s="131"/>
      <c r="W165" s="131"/>
      <c r="X165" s="131"/>
      <c r="Y165" s="131"/>
      <c r="Z165" s="131"/>
      <c r="AA165" s="131"/>
      <c r="AL165" s="2"/>
    </row>
    <row r="166" spans="1:38" customFormat="1" x14ac:dyDescent="0.45">
      <c r="B166" s="4"/>
      <c r="D166" s="2" t="s">
        <v>876</v>
      </c>
      <c r="E166" s="136" t="s">
        <v>806</v>
      </c>
      <c r="G166" s="82">
        <f>Assumptions!I216</f>
        <v>190000</v>
      </c>
      <c r="H166" s="82">
        <f>G166*(1+Assumptions!$H$234)</f>
        <v>193800</v>
      </c>
      <c r="I166" s="82">
        <f>H166*(1+Assumptions!$H$234)</f>
        <v>197676</v>
      </c>
      <c r="J166" s="82">
        <f>I166*(1+Assumptions!$H$234)</f>
        <v>201629.52</v>
      </c>
      <c r="K166" s="82">
        <f>J166*(1+Assumptions!$H$234)</f>
        <v>205662.11040000001</v>
      </c>
      <c r="L166" s="82">
        <f>K166*(1+Assumptions!$H$234)</f>
        <v>209775.35260800002</v>
      </c>
      <c r="M166" s="82">
        <f>L166*(1+Assumptions!$H$234)</f>
        <v>213970.85966016003</v>
      </c>
      <c r="N166" s="82">
        <f>M166*(1+Assumptions!$H$234)</f>
        <v>218250.27685336323</v>
      </c>
      <c r="O166" s="82">
        <f>N166*(1+Assumptions!$H$234)</f>
        <v>222615.28239043051</v>
      </c>
      <c r="P166" s="82">
        <f>O166*(1+Assumptions!$H$234)</f>
        <v>227067.58803823913</v>
      </c>
      <c r="Q166" s="82">
        <f>P166*(1+Assumptions!$H$234)</f>
        <v>231608.93979900391</v>
      </c>
      <c r="R166" s="82">
        <f>Q166*(1+Assumptions!$H$234)</f>
        <v>236241.118594984</v>
      </c>
      <c r="S166" s="82">
        <f>R166*(1+Assumptions!$H$234)</f>
        <v>240965.94096688367</v>
      </c>
      <c r="T166" s="82">
        <f>S166*(1+Assumptions!$H$234)</f>
        <v>245785.25978622134</v>
      </c>
      <c r="U166" s="82">
        <f>T166*(1+Assumptions!$H$234)</f>
        <v>250700.96498194578</v>
      </c>
      <c r="V166" s="82">
        <f>U166*(1+Assumptions!$H$234)</f>
        <v>255714.98428158471</v>
      </c>
      <c r="W166" s="82">
        <f>V166*(1+Assumptions!$H$234)</f>
        <v>260829.28396721641</v>
      </c>
      <c r="X166" s="82">
        <f>W166*(1+Assumptions!$H$234)</f>
        <v>266045.86964656075</v>
      </c>
      <c r="Y166" s="82">
        <f>X166*(1+Assumptions!$H$234)</f>
        <v>271366.78703949199</v>
      </c>
      <c r="Z166" s="82">
        <f>Y166*(1+Assumptions!$H$234)</f>
        <v>276794.12278028182</v>
      </c>
      <c r="AA166" s="82">
        <f>Z166*(1+Assumptions!$H$234)</f>
        <v>282330.00523588748</v>
      </c>
      <c r="AL166" s="2"/>
    </row>
    <row r="167" spans="1:38" customFormat="1" x14ac:dyDescent="0.45">
      <c r="D167" s="2" t="s">
        <v>203</v>
      </c>
      <c r="E167" s="136" t="s">
        <v>806</v>
      </c>
      <c r="G167" s="82">
        <f>Extracts!G235</f>
        <v>76000</v>
      </c>
      <c r="H167" s="82">
        <f>Extracts!H235</f>
        <v>77520</v>
      </c>
      <c r="I167" s="82">
        <f>Extracts!I235</f>
        <v>79070.399999999994</v>
      </c>
      <c r="J167" s="82">
        <f>Extracts!J235</f>
        <v>80651.80799999999</v>
      </c>
      <c r="K167" s="82">
        <f>Extracts!K235</f>
        <v>82264.844160000008</v>
      </c>
      <c r="L167" s="82">
        <f>Extracts!L235</f>
        <v>83910.141043200012</v>
      </c>
      <c r="M167" s="82">
        <f>Extracts!M235</f>
        <v>85588.343864064009</v>
      </c>
      <c r="N167" s="82">
        <f>Extracts!N235</f>
        <v>87300.110741345299</v>
      </c>
      <c r="O167" s="82">
        <f>Extracts!O235</f>
        <v>89046.112956172205</v>
      </c>
      <c r="P167" s="82">
        <f>Extracts!P235</f>
        <v>90827.035215295648</v>
      </c>
      <c r="Q167" s="82">
        <f>Extracts!Q235</f>
        <v>92643.575919601572</v>
      </c>
      <c r="R167" s="82">
        <f>Extracts!R235</f>
        <v>94496.4474379936</v>
      </c>
      <c r="S167" s="82">
        <f>Extracts!S235</f>
        <v>96386.376386753473</v>
      </c>
      <c r="T167" s="82">
        <f>Extracts!T235</f>
        <v>98314.103914488544</v>
      </c>
      <c r="U167" s="82">
        <f>Extracts!U235</f>
        <v>100280.38599277832</v>
      </c>
      <c r="V167" s="82">
        <f>Extracts!V235</f>
        <v>102285.99371263388</v>
      </c>
      <c r="W167" s="82">
        <f>Extracts!W235</f>
        <v>104331.71358688656</v>
      </c>
      <c r="X167" s="82">
        <f>Extracts!X235</f>
        <v>106418.3478586243</v>
      </c>
      <c r="Y167" s="82">
        <f>Extracts!Y235</f>
        <v>108546.71481579679</v>
      </c>
      <c r="Z167" s="82">
        <f>Extracts!Z235</f>
        <v>110717.64911211273</v>
      </c>
      <c r="AA167" s="82">
        <f>Extracts!AA235</f>
        <v>112932.00209435499</v>
      </c>
      <c r="AL167" s="2"/>
    </row>
    <row r="168" spans="1:38" x14ac:dyDescent="0.45">
      <c r="A168" s="37"/>
      <c r="B168" s="4"/>
      <c r="C168" s="4"/>
      <c r="G168" s="47" t="s">
        <v>22</v>
      </c>
      <c r="H168" s="47" t="s">
        <v>22</v>
      </c>
      <c r="I168" s="47" t="s">
        <v>22</v>
      </c>
      <c r="J168" s="47" t="s">
        <v>22</v>
      </c>
      <c r="K168" s="47" t="s">
        <v>22</v>
      </c>
      <c r="L168" s="47" t="s">
        <v>22</v>
      </c>
      <c r="M168" s="47" t="s">
        <v>22</v>
      </c>
      <c r="N168" s="47" t="s">
        <v>22</v>
      </c>
      <c r="O168" s="47" t="s">
        <v>22</v>
      </c>
      <c r="P168" s="47" t="s">
        <v>22</v>
      </c>
      <c r="Q168" s="47" t="s">
        <v>22</v>
      </c>
      <c r="R168" s="47" t="s">
        <v>22</v>
      </c>
      <c r="S168" s="47" t="s">
        <v>22</v>
      </c>
      <c r="T168" s="47" t="s">
        <v>22</v>
      </c>
      <c r="U168" s="47" t="s">
        <v>22</v>
      </c>
      <c r="V168" s="47" t="s">
        <v>22</v>
      </c>
      <c r="W168" s="47" t="s">
        <v>22</v>
      </c>
      <c r="X168" s="47" t="s">
        <v>22</v>
      </c>
      <c r="Y168" s="47" t="s">
        <v>22</v>
      </c>
      <c r="Z168" s="47" t="s">
        <v>22</v>
      </c>
      <c r="AA168" s="47" t="s">
        <v>22</v>
      </c>
    </row>
    <row r="169" spans="1:38" s="4" customFormat="1" x14ac:dyDescent="0.45">
      <c r="A169" s="41"/>
      <c r="D169" s="4" t="s">
        <v>203</v>
      </c>
      <c r="E169" s="42" t="s">
        <v>806</v>
      </c>
      <c r="F169" s="43"/>
      <c r="G169" s="679">
        <f>SUM(G167:G168)</f>
        <v>76000</v>
      </c>
      <c r="H169" s="679">
        <f t="shared" ref="H169:AA169" si="14">SUM(H167:H168)</f>
        <v>77520</v>
      </c>
      <c r="I169" s="44">
        <f t="shared" si="14"/>
        <v>79070.399999999994</v>
      </c>
      <c r="J169" s="44">
        <f t="shared" si="14"/>
        <v>80651.80799999999</v>
      </c>
      <c r="K169" s="44">
        <f t="shared" si="14"/>
        <v>82264.844160000008</v>
      </c>
      <c r="L169" s="44">
        <f t="shared" si="14"/>
        <v>83910.141043200012</v>
      </c>
      <c r="M169" s="44">
        <f t="shared" si="14"/>
        <v>85588.343864064009</v>
      </c>
      <c r="N169" s="44">
        <f t="shared" si="14"/>
        <v>87300.110741345299</v>
      </c>
      <c r="O169" s="44">
        <f t="shared" si="14"/>
        <v>89046.112956172205</v>
      </c>
      <c r="P169" s="44">
        <f t="shared" si="14"/>
        <v>90827.035215295648</v>
      </c>
      <c r="Q169" s="44">
        <f t="shared" si="14"/>
        <v>92643.575919601572</v>
      </c>
      <c r="R169" s="44">
        <f t="shared" si="14"/>
        <v>94496.4474379936</v>
      </c>
      <c r="S169" s="44">
        <f t="shared" si="14"/>
        <v>96386.376386753473</v>
      </c>
      <c r="T169" s="44">
        <f t="shared" si="14"/>
        <v>98314.103914488544</v>
      </c>
      <c r="U169" s="44">
        <f t="shared" si="14"/>
        <v>100280.38599277832</v>
      </c>
      <c r="V169" s="44">
        <f t="shared" si="14"/>
        <v>102285.99371263388</v>
      </c>
      <c r="W169" s="44">
        <f t="shared" si="14"/>
        <v>104331.71358688656</v>
      </c>
      <c r="X169" s="44">
        <f t="shared" si="14"/>
        <v>106418.3478586243</v>
      </c>
      <c r="Y169" s="44">
        <f t="shared" si="14"/>
        <v>108546.71481579679</v>
      </c>
      <c r="Z169" s="44">
        <f t="shared" si="14"/>
        <v>110717.64911211273</v>
      </c>
      <c r="AA169" s="44">
        <f t="shared" si="14"/>
        <v>112932.00209435499</v>
      </c>
    </row>
    <row r="170" spans="1:38" s="4" customFormat="1" x14ac:dyDescent="0.45">
      <c r="A170" s="41"/>
      <c r="E170" s="42"/>
      <c r="F170" s="43"/>
      <c r="G170" s="44"/>
      <c r="H170" s="44"/>
      <c r="I170" s="44"/>
      <c r="J170" s="44"/>
      <c r="K170" s="44"/>
      <c r="L170" s="44"/>
      <c r="M170" s="44"/>
      <c r="N170" s="44"/>
      <c r="O170" s="44"/>
      <c r="P170" s="44"/>
      <c r="Q170" s="44"/>
      <c r="R170" s="44"/>
      <c r="S170" s="44"/>
      <c r="T170" s="44"/>
      <c r="U170" s="44"/>
      <c r="V170" s="44"/>
      <c r="W170" s="44"/>
      <c r="X170" s="44"/>
      <c r="Y170" s="44"/>
      <c r="Z170" s="44"/>
      <c r="AA170" s="44"/>
    </row>
    <row r="171" spans="1:38" x14ac:dyDescent="0.45">
      <c r="A171" s="37"/>
      <c r="B171" s="4" t="s">
        <v>517</v>
      </c>
      <c r="C171" s="4"/>
      <c r="G171" s="46"/>
      <c r="H171" s="46"/>
      <c r="I171" s="46"/>
      <c r="J171" s="46"/>
      <c r="K171" s="46"/>
      <c r="L171" s="46"/>
      <c r="M171" s="46"/>
      <c r="N171" s="46"/>
      <c r="O171" s="46"/>
      <c r="P171" s="46"/>
      <c r="Q171" s="46"/>
      <c r="R171" s="46"/>
      <c r="S171" s="46"/>
      <c r="T171" s="46"/>
      <c r="U171" s="46"/>
      <c r="V171" s="46"/>
      <c r="W171" s="46"/>
      <c r="X171" s="46"/>
      <c r="Y171" s="46"/>
      <c r="Z171" s="46"/>
      <c r="AA171" s="46"/>
    </row>
    <row r="172" spans="1:38" x14ac:dyDescent="0.45">
      <c r="A172" s="37"/>
      <c r="B172" s="4"/>
      <c r="C172" s="2" t="s">
        <v>114</v>
      </c>
      <c r="D172" s="2" t="str">
        <f>Assumptions!D219</f>
        <v>Collection site management costs</v>
      </c>
      <c r="E172" s="23" t="s">
        <v>812</v>
      </c>
      <c r="G172" s="83">
        <f>Assumptions!I219</f>
        <v>20000</v>
      </c>
      <c r="H172" s="83">
        <f>G172*(1+Assumptions!$H$234)</f>
        <v>20400</v>
      </c>
      <c r="I172" s="83">
        <f>H172*(1+Assumptions!$H$234)</f>
        <v>20808</v>
      </c>
      <c r="J172" s="83">
        <f>I172*(1+Assumptions!$H$234)</f>
        <v>21224.16</v>
      </c>
      <c r="K172" s="83">
        <f>J172*(1+Assumptions!$H$234)</f>
        <v>21648.643199999999</v>
      </c>
      <c r="L172" s="83">
        <f>K172*(1+Assumptions!$H$234)</f>
        <v>22081.616063999998</v>
      </c>
      <c r="M172" s="83">
        <f>L172*(1+Assumptions!$H$234)</f>
        <v>22523.24838528</v>
      </c>
      <c r="N172" s="83">
        <f>M172*(1+Assumptions!$H$234)</f>
        <v>22973.7133529856</v>
      </c>
      <c r="O172" s="83">
        <f>N172*(1+Assumptions!$H$234)</f>
        <v>23433.187620045312</v>
      </c>
      <c r="P172" s="83">
        <f>O172*(1+Assumptions!$H$234)</f>
        <v>23901.851372446217</v>
      </c>
      <c r="Q172" s="83">
        <f>P172*(1+Assumptions!$H$234)</f>
        <v>24379.888399895142</v>
      </c>
      <c r="R172" s="83">
        <f>Q172*(1+Assumptions!$H$234)</f>
        <v>24867.486167893047</v>
      </c>
      <c r="S172" s="83">
        <f>R172*(1+Assumptions!$H$234)</f>
        <v>25364.835891250907</v>
      </c>
      <c r="T172" s="83">
        <f>S172*(1+Assumptions!$H$234)</f>
        <v>25872.132609075925</v>
      </c>
      <c r="U172" s="83">
        <f>T172*(1+Assumptions!$H$234)</f>
        <v>26389.575261257443</v>
      </c>
      <c r="V172" s="83">
        <f>U172*(1+Assumptions!$H$234)</f>
        <v>26917.366766482592</v>
      </c>
      <c r="W172" s="83">
        <f>V172*(1+Assumptions!$H$234)</f>
        <v>27455.714101812246</v>
      </c>
      <c r="X172" s="83">
        <f>W172*(1+Assumptions!$H$234)</f>
        <v>28004.828383848489</v>
      </c>
      <c r="Y172" s="83">
        <f>X172*(1+Assumptions!$H$234)</f>
        <v>28564.92495152546</v>
      </c>
      <c r="Z172" s="83">
        <f>Y172*(1+Assumptions!$H$234)</f>
        <v>29136.223450555968</v>
      </c>
      <c r="AA172" s="83">
        <f>Z172*(1+Assumptions!$H$234)</f>
        <v>29718.947919567087</v>
      </c>
    </row>
    <row r="173" spans="1:38" x14ac:dyDescent="0.45">
      <c r="A173" s="37"/>
      <c r="B173" s="4"/>
      <c r="C173" s="2" t="s">
        <v>114</v>
      </c>
      <c r="D173" s="2" t="str">
        <f>Assumptions!D221</f>
        <v>Collection site security and technical staff</v>
      </c>
      <c r="E173" s="23" t="s">
        <v>812</v>
      </c>
      <c r="G173" s="83">
        <f>Assumptions!I221</f>
        <v>24000</v>
      </c>
      <c r="H173" s="83">
        <f>G173*(1+Assumptions!$H$234)</f>
        <v>24480</v>
      </c>
      <c r="I173" s="83">
        <f>H173*(1+Assumptions!$H$234)</f>
        <v>24969.600000000002</v>
      </c>
      <c r="J173" s="83">
        <f>I173*(1+Assumptions!$H$234)</f>
        <v>25468.992000000002</v>
      </c>
      <c r="K173" s="83">
        <f>J173*(1+Assumptions!$H$234)</f>
        <v>25978.371840000003</v>
      </c>
      <c r="L173" s="83">
        <f>K173*(1+Assumptions!$H$234)</f>
        <v>26497.939276800003</v>
      </c>
      <c r="M173" s="83">
        <f>L173*(1+Assumptions!$H$234)</f>
        <v>27027.898062336004</v>
      </c>
      <c r="N173" s="83">
        <f>M173*(1+Assumptions!$H$234)</f>
        <v>27568.456023582723</v>
      </c>
      <c r="O173" s="83">
        <f>N173*(1+Assumptions!$H$234)</f>
        <v>28119.825144054379</v>
      </c>
      <c r="P173" s="83">
        <f>O173*(1+Assumptions!$H$234)</f>
        <v>28682.221646935468</v>
      </c>
      <c r="Q173" s="83">
        <f>P173*(1+Assumptions!$H$234)</f>
        <v>29255.866079874177</v>
      </c>
      <c r="R173" s="83">
        <f>Q173*(1+Assumptions!$H$234)</f>
        <v>29840.983401471662</v>
      </c>
      <c r="S173" s="83">
        <f>R173*(1+Assumptions!$H$234)</f>
        <v>30437.803069501097</v>
      </c>
      <c r="T173" s="83">
        <f>S173*(1+Assumptions!$H$234)</f>
        <v>31046.559130891121</v>
      </c>
      <c r="U173" s="83">
        <f>T173*(1+Assumptions!$H$234)</f>
        <v>31667.490313508944</v>
      </c>
      <c r="V173" s="83">
        <f>U173*(1+Assumptions!$H$234)</f>
        <v>32300.840119779125</v>
      </c>
      <c r="W173" s="83">
        <f>V173*(1+Assumptions!$H$234)</f>
        <v>32946.856922174709</v>
      </c>
      <c r="X173" s="83">
        <f>W173*(1+Assumptions!$H$234)</f>
        <v>33605.794060618202</v>
      </c>
      <c r="Y173" s="83">
        <f>X173*(1+Assumptions!$H$234)</f>
        <v>34277.909941830563</v>
      </c>
      <c r="Z173" s="83">
        <f>Y173*(1+Assumptions!$H$234)</f>
        <v>34963.468140667173</v>
      </c>
      <c r="AA173" s="83">
        <f>Z173*(1+Assumptions!$H$234)</f>
        <v>35662.737503480515</v>
      </c>
    </row>
    <row r="174" spans="1:38" x14ac:dyDescent="0.45">
      <c r="A174" s="37"/>
      <c r="B174" s="4"/>
      <c r="C174" s="2" t="s">
        <v>114</v>
      </c>
      <c r="D174" s="2" t="str">
        <f>Assumptions!D222</f>
        <v>Collection site supervision &amp; monitoring staff</v>
      </c>
      <c r="E174" s="23" t="s">
        <v>812</v>
      </c>
      <c r="G174" s="83">
        <f>Assumptions!I222</f>
        <v>159600</v>
      </c>
      <c r="H174" s="83">
        <f>G174*(1+Assumptions!$H$234)</f>
        <v>162792</v>
      </c>
      <c r="I174" s="83">
        <f>H174*(1+Assumptions!$H$234)</f>
        <v>166047.84</v>
      </c>
      <c r="J174" s="83">
        <f>I174*(1+Assumptions!$H$234)</f>
        <v>169368.79680000001</v>
      </c>
      <c r="K174" s="83">
        <f>J174*(1+Assumptions!$H$234)</f>
        <v>172756.17273600001</v>
      </c>
      <c r="L174" s="83">
        <f>K174*(1+Assumptions!$H$234)</f>
        <v>176211.29619072002</v>
      </c>
      <c r="M174" s="83">
        <f>L174*(1+Assumptions!$H$234)</f>
        <v>179735.52211453443</v>
      </c>
      <c r="N174" s="83">
        <f>M174*(1+Assumptions!$H$234)</f>
        <v>183330.23255682513</v>
      </c>
      <c r="O174" s="83">
        <f>N174*(1+Assumptions!$H$234)</f>
        <v>186996.83720796162</v>
      </c>
      <c r="P174" s="83">
        <f>O174*(1+Assumptions!$H$234)</f>
        <v>190736.77395212086</v>
      </c>
      <c r="Q174" s="83">
        <f>P174*(1+Assumptions!$H$234)</f>
        <v>194551.50943116329</v>
      </c>
      <c r="R174" s="83">
        <f>Q174*(1+Assumptions!$H$234)</f>
        <v>198442.53961978655</v>
      </c>
      <c r="S174" s="83">
        <f>R174*(1+Assumptions!$H$234)</f>
        <v>202411.39041218229</v>
      </c>
      <c r="T174" s="83">
        <f>S174*(1+Assumptions!$H$234)</f>
        <v>206459.61822042594</v>
      </c>
      <c r="U174" s="83">
        <f>T174*(1+Assumptions!$H$234)</f>
        <v>210588.81058483446</v>
      </c>
      <c r="V174" s="83">
        <f>U174*(1+Assumptions!$H$234)</f>
        <v>214800.58679653116</v>
      </c>
      <c r="W174" s="83">
        <f>V174*(1+Assumptions!$H$234)</f>
        <v>219096.59853246179</v>
      </c>
      <c r="X174" s="83">
        <f>W174*(1+Assumptions!$H$234)</f>
        <v>223478.53050311105</v>
      </c>
      <c r="Y174" s="83">
        <f>X174*(1+Assumptions!$H$234)</f>
        <v>227948.10111317327</v>
      </c>
      <c r="Z174" s="83">
        <f>Y174*(1+Assumptions!$H$234)</f>
        <v>232507.06313543674</v>
      </c>
      <c r="AA174" s="83">
        <f>Z174*(1+Assumptions!$H$234)</f>
        <v>237157.20439814546</v>
      </c>
    </row>
    <row r="175" spans="1:38" x14ac:dyDescent="0.45">
      <c r="A175" s="37"/>
      <c r="B175" s="4"/>
      <c r="C175" s="2" t="s">
        <v>114</v>
      </c>
      <c r="D175" s="2" t="str">
        <f>Assumptions!D223</f>
        <v>Collection site transport costs</v>
      </c>
      <c r="E175" s="23" t="s">
        <v>812</v>
      </c>
      <c r="G175" s="83">
        <f>Assumptions!I223</f>
        <v>24000</v>
      </c>
      <c r="H175" s="83">
        <f>G175*(1+Assumptions!$H$234)</f>
        <v>24480</v>
      </c>
      <c r="I175" s="83">
        <f>H175*(1+Assumptions!$H$234)</f>
        <v>24969.600000000002</v>
      </c>
      <c r="J175" s="83">
        <f>I175*(1+Assumptions!$H$234)</f>
        <v>25468.992000000002</v>
      </c>
      <c r="K175" s="83">
        <f>J175*(1+Assumptions!$H$234)</f>
        <v>25978.371840000003</v>
      </c>
      <c r="L175" s="83">
        <f>K175*(1+Assumptions!$H$234)</f>
        <v>26497.939276800003</v>
      </c>
      <c r="M175" s="83">
        <f>L175*(1+Assumptions!$H$234)</f>
        <v>27027.898062336004</v>
      </c>
      <c r="N175" s="83">
        <f>M175*(1+Assumptions!$H$234)</f>
        <v>27568.456023582723</v>
      </c>
      <c r="O175" s="83">
        <f>N175*(1+Assumptions!$H$234)</f>
        <v>28119.825144054379</v>
      </c>
      <c r="P175" s="83">
        <f>O175*(1+Assumptions!$H$234)</f>
        <v>28682.221646935468</v>
      </c>
      <c r="Q175" s="83">
        <f>P175*(1+Assumptions!$H$234)</f>
        <v>29255.866079874177</v>
      </c>
      <c r="R175" s="83">
        <f>Q175*(1+Assumptions!$H$234)</f>
        <v>29840.983401471662</v>
      </c>
      <c r="S175" s="83">
        <f>R175*(1+Assumptions!$H$234)</f>
        <v>30437.803069501097</v>
      </c>
      <c r="T175" s="83">
        <f>S175*(1+Assumptions!$H$234)</f>
        <v>31046.559130891121</v>
      </c>
      <c r="U175" s="83">
        <f>T175*(1+Assumptions!$H$234)</f>
        <v>31667.490313508944</v>
      </c>
      <c r="V175" s="83">
        <f>U175*(1+Assumptions!$H$234)</f>
        <v>32300.840119779125</v>
      </c>
      <c r="W175" s="83">
        <f>V175*(1+Assumptions!$H$234)</f>
        <v>32946.856922174709</v>
      </c>
      <c r="X175" s="83">
        <f>W175*(1+Assumptions!$H$234)</f>
        <v>33605.794060618202</v>
      </c>
      <c r="Y175" s="83">
        <f>X175*(1+Assumptions!$H$234)</f>
        <v>34277.909941830563</v>
      </c>
      <c r="Z175" s="83">
        <f>Y175*(1+Assumptions!$H$234)</f>
        <v>34963.468140667173</v>
      </c>
      <c r="AA175" s="83">
        <f>Z175*(1+Assumptions!$H$234)</f>
        <v>35662.737503480515</v>
      </c>
    </row>
    <row r="176" spans="1:38" x14ac:dyDescent="0.45">
      <c r="A176" s="37"/>
      <c r="B176" s="4"/>
      <c r="C176" s="2" t="s">
        <v>114</v>
      </c>
      <c r="D176" s="2" t="str">
        <f>Assumptions!D220</f>
        <v>Collection site annual training</v>
      </c>
      <c r="E176" s="23" t="s">
        <v>812</v>
      </c>
      <c r="G176" s="83">
        <f>Assumptions!I220</f>
        <v>3502.938230383973</v>
      </c>
      <c r="H176" s="83">
        <f>G176*(1+Assumptions!$H$234)</f>
        <v>3572.9969949916526</v>
      </c>
      <c r="I176" s="83">
        <f>H176*(1+Assumptions!$H$234)</f>
        <v>3644.4569348914856</v>
      </c>
      <c r="J176" s="83">
        <f>I176*(1+Assumptions!$H$234)</f>
        <v>3717.3460735893154</v>
      </c>
      <c r="K176" s="83">
        <f>J176*(1+Assumptions!$H$234)</f>
        <v>3791.692995061102</v>
      </c>
      <c r="L176" s="83">
        <f>K176*(1+Assumptions!$H$234)</f>
        <v>3867.5268549623243</v>
      </c>
      <c r="M176" s="83">
        <f>L176*(1+Assumptions!$H$234)</f>
        <v>3944.8773920615708</v>
      </c>
      <c r="N176" s="83">
        <f>M176*(1+Assumptions!$H$234)</f>
        <v>4023.7749399028025</v>
      </c>
      <c r="O176" s="83">
        <f>N176*(1+Assumptions!$H$234)</f>
        <v>4104.2504387008585</v>
      </c>
      <c r="P176" s="83">
        <f>O176*(1+Assumptions!$H$234)</f>
        <v>4186.3354474748758</v>
      </c>
      <c r="Q176" s="83">
        <f>P176*(1+Assumptions!$H$234)</f>
        <v>4270.0621564243729</v>
      </c>
      <c r="R176" s="83">
        <f>Q176*(1+Assumptions!$H$234)</f>
        <v>4355.4633995528602</v>
      </c>
      <c r="S176" s="83">
        <f>R176*(1+Assumptions!$H$234)</f>
        <v>4442.5726675439173</v>
      </c>
      <c r="T176" s="83">
        <f>S176*(1+Assumptions!$H$234)</f>
        <v>4531.424120894796</v>
      </c>
      <c r="U176" s="83">
        <f>T176*(1+Assumptions!$H$234)</f>
        <v>4622.0526033126916</v>
      </c>
      <c r="V176" s="83">
        <f>U176*(1+Assumptions!$H$234)</f>
        <v>4714.4936553789457</v>
      </c>
      <c r="W176" s="83">
        <f>V176*(1+Assumptions!$H$234)</f>
        <v>4808.783528486525</v>
      </c>
      <c r="X176" s="83">
        <f>W176*(1+Assumptions!$H$234)</f>
        <v>4904.9591990562558</v>
      </c>
      <c r="Y176" s="83">
        <f>X176*(1+Assumptions!$H$234)</f>
        <v>5003.0583830373807</v>
      </c>
      <c r="Z176" s="83">
        <f>Y176*(1+Assumptions!$H$234)</f>
        <v>5103.1195506981285</v>
      </c>
      <c r="AA176" s="83">
        <f>Z176*(1+Assumptions!$H$234)</f>
        <v>5205.1819417120914</v>
      </c>
    </row>
    <row r="177" spans="1:27" x14ac:dyDescent="0.45">
      <c r="A177" s="37"/>
      <c r="B177" s="4"/>
      <c r="C177" s="2" t="s">
        <v>114</v>
      </c>
      <c r="D177" s="2" t="str">
        <f>Assumptions!D224</f>
        <v>Dried mango purchased from women's groups</v>
      </c>
      <c r="E177" s="23" t="s">
        <v>812</v>
      </c>
      <c r="G177" s="83">
        <f>Assumptions!I224</f>
        <v>0</v>
      </c>
      <c r="H177" s="83">
        <f>G177*(1+Assumptions!$H$234)</f>
        <v>0</v>
      </c>
      <c r="I177" s="83">
        <f>H177*(1+Assumptions!$H$234)</f>
        <v>0</v>
      </c>
      <c r="J177" s="83">
        <f>I177*(1+Assumptions!$H$234)</f>
        <v>0</v>
      </c>
      <c r="K177" s="83">
        <f>J177*(1+Assumptions!$H$234)</f>
        <v>0</v>
      </c>
      <c r="L177" s="83">
        <f>K177*(1+Assumptions!$H$234)</f>
        <v>0</v>
      </c>
      <c r="M177" s="83">
        <f>L177*(1+Assumptions!$H$234)</f>
        <v>0</v>
      </c>
      <c r="N177" s="83">
        <f>M177*(1+Assumptions!$H$234)</f>
        <v>0</v>
      </c>
      <c r="O177" s="83">
        <f>N177*(1+Assumptions!$H$234)</f>
        <v>0</v>
      </c>
      <c r="P177" s="83">
        <f>O177*(1+Assumptions!$H$234)</f>
        <v>0</v>
      </c>
      <c r="Q177" s="83">
        <f>P177*(1+Assumptions!$H$234)</f>
        <v>0</v>
      </c>
      <c r="R177" s="83">
        <f>Q177*(1+Assumptions!$H$234)</f>
        <v>0</v>
      </c>
      <c r="S177" s="83">
        <f>R177*(1+Assumptions!$H$234)</f>
        <v>0</v>
      </c>
      <c r="T177" s="83">
        <f>S177*(1+Assumptions!$H$234)</f>
        <v>0</v>
      </c>
      <c r="U177" s="83">
        <f>T177*(1+Assumptions!$H$234)</f>
        <v>0</v>
      </c>
      <c r="V177" s="83">
        <f>U177*(1+Assumptions!$H$234)</f>
        <v>0</v>
      </c>
      <c r="W177" s="83">
        <f>V177*(1+Assumptions!$H$234)</f>
        <v>0</v>
      </c>
      <c r="X177" s="83">
        <f>W177*(1+Assumptions!$H$234)</f>
        <v>0</v>
      </c>
      <c r="Y177" s="83">
        <f>X177*(1+Assumptions!$H$234)</f>
        <v>0</v>
      </c>
      <c r="Z177" s="83">
        <f>Y177*(1+Assumptions!$H$234)</f>
        <v>0</v>
      </c>
      <c r="AA177" s="83">
        <f>Z177*(1+Assumptions!$H$234)</f>
        <v>0</v>
      </c>
    </row>
    <row r="178" spans="1:27" x14ac:dyDescent="0.45">
      <c r="A178" s="37"/>
      <c r="B178" s="4"/>
      <c r="C178" s="4"/>
      <c r="G178" s="46"/>
      <c r="H178" s="46"/>
      <c r="I178" s="46"/>
      <c r="J178" s="46"/>
      <c r="K178" s="46"/>
      <c r="L178" s="46"/>
      <c r="M178" s="46"/>
      <c r="N178" s="46"/>
      <c r="O178" s="46"/>
      <c r="P178" s="46"/>
      <c r="Q178" s="46"/>
      <c r="R178" s="46"/>
      <c r="S178" s="46"/>
      <c r="T178" s="46"/>
      <c r="U178" s="46"/>
      <c r="V178" s="46"/>
      <c r="W178" s="46"/>
      <c r="X178" s="46"/>
      <c r="Y178" s="46"/>
      <c r="Z178" s="46"/>
      <c r="AA178" s="46"/>
    </row>
    <row r="179" spans="1:27" x14ac:dyDescent="0.45">
      <c r="A179" s="37"/>
      <c r="B179" s="4"/>
      <c r="C179" s="2" t="s">
        <v>114</v>
      </c>
      <c r="D179" s="2" t="str">
        <f t="shared" ref="D179:D184" si="15">D172</f>
        <v>Collection site management costs</v>
      </c>
      <c r="E179" s="23" t="s">
        <v>806</v>
      </c>
      <c r="G179" s="88">
        <f>G172*'Financial Overview'!H$210</f>
        <v>160000</v>
      </c>
      <c r="H179" s="676">
        <f>H172*'Financial Overview'!H$210</f>
        <v>163200</v>
      </c>
      <c r="I179" s="88">
        <f>I172*'Financial Overview'!I$210</f>
        <v>166464</v>
      </c>
      <c r="J179" s="88">
        <f>J172*'Financial Overview'!J$210</f>
        <v>169793.28</v>
      </c>
      <c r="K179" s="88">
        <f>K172*'Financial Overview'!K$210</f>
        <v>173189.14559999999</v>
      </c>
      <c r="L179" s="88">
        <f>L172*'Financial Overview'!L$210</f>
        <v>176652.92851199998</v>
      </c>
      <c r="M179" s="88">
        <f>M172*'Financial Overview'!M$210</f>
        <v>180185.98708224</v>
      </c>
      <c r="N179" s="88">
        <f>N172*'Financial Overview'!N$210</f>
        <v>183789.7068238848</v>
      </c>
      <c r="O179" s="88">
        <f>O172*'Financial Overview'!O$210</f>
        <v>187465.50096036249</v>
      </c>
      <c r="P179" s="88">
        <f>P172*'Financial Overview'!P$210</f>
        <v>191214.81097956974</v>
      </c>
      <c r="Q179" s="88">
        <f>Q172*'Financial Overview'!Q$210</f>
        <v>195039.10719916114</v>
      </c>
      <c r="R179" s="88">
        <f>R172*'Financial Overview'!R$210</f>
        <v>198939.88934314437</v>
      </c>
      <c r="S179" s="88">
        <f>S172*'Financial Overview'!S$210</f>
        <v>202918.68713000725</v>
      </c>
      <c r="T179" s="88">
        <f>T172*'Financial Overview'!T$210</f>
        <v>206977.0608726074</v>
      </c>
      <c r="U179" s="88">
        <f>U172*'Financial Overview'!U$210</f>
        <v>211116.60209005955</v>
      </c>
      <c r="V179" s="88">
        <f>V172*'Financial Overview'!V$210</f>
        <v>215338.93413186073</v>
      </c>
      <c r="W179" s="88">
        <f>W172*'Financial Overview'!W$210</f>
        <v>219645.71281449797</v>
      </c>
      <c r="X179" s="88">
        <f>X172*'Financial Overview'!X$210</f>
        <v>224038.62707078792</v>
      </c>
      <c r="Y179" s="88">
        <f>Y172*'Financial Overview'!Y$210</f>
        <v>228519.39961220368</v>
      </c>
      <c r="Z179" s="88">
        <f>Z172*'Financial Overview'!Z$210</f>
        <v>233089.78760444775</v>
      </c>
      <c r="AA179" s="88">
        <f>AA172*'Financial Overview'!AA$210</f>
        <v>237751.58335653669</v>
      </c>
    </row>
    <row r="180" spans="1:27" x14ac:dyDescent="0.45">
      <c r="A180" s="37"/>
      <c r="B180" s="4"/>
      <c r="C180" s="2" t="s">
        <v>114</v>
      </c>
      <c r="D180" s="2" t="str">
        <f t="shared" si="15"/>
        <v>Collection site security and technical staff</v>
      </c>
      <c r="E180" s="23" t="s">
        <v>806</v>
      </c>
      <c r="F180" s="2" t="s">
        <v>879</v>
      </c>
      <c r="G180" s="88">
        <f>G173*'Financial Overview'!G$210</f>
        <v>0</v>
      </c>
      <c r="H180" s="676">
        <f>H173*'Financial Overview'!H$210</f>
        <v>195840</v>
      </c>
      <c r="I180" s="88">
        <f>I173*'Financial Overview'!I$210</f>
        <v>199756.80000000002</v>
      </c>
      <c r="J180" s="88">
        <f>J173*'Financial Overview'!J$210</f>
        <v>203751.93600000002</v>
      </c>
      <c r="K180" s="88">
        <f>K173*'Financial Overview'!K$210</f>
        <v>207826.97472000003</v>
      </c>
      <c r="L180" s="88">
        <f>L173*'Financial Overview'!L$210</f>
        <v>211983.51421440003</v>
      </c>
      <c r="M180" s="88">
        <f>M173*'Financial Overview'!M$210</f>
        <v>216223.18449868803</v>
      </c>
      <c r="N180" s="88">
        <f>N173*'Financial Overview'!N$210</f>
        <v>220547.64818866178</v>
      </c>
      <c r="O180" s="88">
        <f>O173*'Financial Overview'!O$210</f>
        <v>224958.60115243503</v>
      </c>
      <c r="P180" s="88">
        <f>P173*'Financial Overview'!P$210</f>
        <v>229457.77317548374</v>
      </c>
      <c r="Q180" s="88">
        <f>Q173*'Financial Overview'!Q$210</f>
        <v>234046.92863899341</v>
      </c>
      <c r="R180" s="88">
        <f>R173*'Financial Overview'!R$210</f>
        <v>238727.86721177329</v>
      </c>
      <c r="S180" s="88">
        <f>S173*'Financial Overview'!S$210</f>
        <v>243502.42455600877</v>
      </c>
      <c r="T180" s="88">
        <f>T173*'Financial Overview'!T$210</f>
        <v>248372.47304712897</v>
      </c>
      <c r="U180" s="88">
        <f>U173*'Financial Overview'!U$210</f>
        <v>253339.92250807156</v>
      </c>
      <c r="V180" s="88">
        <f>V173*'Financial Overview'!V$210</f>
        <v>258406.720958233</v>
      </c>
      <c r="W180" s="88">
        <f>W173*'Financial Overview'!W$210</f>
        <v>263574.85537739767</v>
      </c>
      <c r="X180" s="88">
        <f>X173*'Financial Overview'!X$210</f>
        <v>268846.35248494562</v>
      </c>
      <c r="Y180" s="88">
        <f>Y173*'Financial Overview'!Y$210</f>
        <v>274223.27953464451</v>
      </c>
      <c r="Z180" s="88">
        <f>Z173*'Financial Overview'!Z$210</f>
        <v>279707.74512533739</v>
      </c>
      <c r="AA180" s="88">
        <f>AA173*'Financial Overview'!AA$210</f>
        <v>285301.90002784412</v>
      </c>
    </row>
    <row r="181" spans="1:27" x14ac:dyDescent="0.45">
      <c r="A181" s="37"/>
      <c r="B181" s="4"/>
      <c r="C181" s="2" t="s">
        <v>114</v>
      </c>
      <c r="D181" s="2" t="str">
        <f t="shared" si="15"/>
        <v>Collection site supervision &amp; monitoring staff</v>
      </c>
      <c r="E181" s="23" t="s">
        <v>806</v>
      </c>
      <c r="F181" s="2" t="s">
        <v>879</v>
      </c>
      <c r="G181" s="88">
        <f>G174*'Financial Overview'!H$210</f>
        <v>1276800</v>
      </c>
      <c r="H181" s="676">
        <f>H174*'Financial Overview'!H$210</f>
        <v>1302336</v>
      </c>
      <c r="I181" s="88">
        <f>I174*'Financial Overview'!I$210</f>
        <v>1328382.72</v>
      </c>
      <c r="J181" s="88">
        <f>J174*'Financial Overview'!J$210</f>
        <v>1354950.3744000001</v>
      </c>
      <c r="K181" s="88">
        <f>K174*'Financial Overview'!K$210</f>
        <v>1382049.3818880001</v>
      </c>
      <c r="L181" s="88">
        <f>L174*'Financial Overview'!L$210</f>
        <v>1409690.3695257602</v>
      </c>
      <c r="M181" s="88">
        <f>M174*'Financial Overview'!M$210</f>
        <v>1437884.1769162754</v>
      </c>
      <c r="N181" s="88">
        <f>N174*'Financial Overview'!N$210</f>
        <v>1466641.860454601</v>
      </c>
      <c r="O181" s="88">
        <f>O174*'Financial Overview'!O$210</f>
        <v>1495974.697663693</v>
      </c>
      <c r="P181" s="88">
        <f>P174*'Financial Overview'!P$210</f>
        <v>1525894.1916169669</v>
      </c>
      <c r="Q181" s="88">
        <f>Q174*'Financial Overview'!Q$210</f>
        <v>1556412.0754493063</v>
      </c>
      <c r="R181" s="88">
        <f>R174*'Financial Overview'!R$210</f>
        <v>1587540.3169582924</v>
      </c>
      <c r="S181" s="88">
        <f>S174*'Financial Overview'!S$210</f>
        <v>1619291.1232974583</v>
      </c>
      <c r="T181" s="88">
        <f>T174*'Financial Overview'!T$210</f>
        <v>1651676.9457634075</v>
      </c>
      <c r="U181" s="88">
        <f>U174*'Financial Overview'!U$210</f>
        <v>1684710.4846786757</v>
      </c>
      <c r="V181" s="88">
        <f>V174*'Financial Overview'!V$210</f>
        <v>1718404.6943722493</v>
      </c>
      <c r="W181" s="88">
        <f>W174*'Financial Overview'!W$210</f>
        <v>1752772.7882596944</v>
      </c>
      <c r="X181" s="88">
        <f>X174*'Financial Overview'!X$210</f>
        <v>1787828.2440248884</v>
      </c>
      <c r="Y181" s="88">
        <f>Y174*'Financial Overview'!Y$210</f>
        <v>1823584.8089053861</v>
      </c>
      <c r="Z181" s="88">
        <f>Z174*'Financial Overview'!Z$210</f>
        <v>1860056.5050834939</v>
      </c>
      <c r="AA181" s="88">
        <f>AA174*'Financial Overview'!AA$210</f>
        <v>1897257.6351851637</v>
      </c>
    </row>
    <row r="182" spans="1:27" x14ac:dyDescent="0.45">
      <c r="A182" s="37"/>
      <c r="B182" s="4"/>
      <c r="C182" s="2" t="s">
        <v>114</v>
      </c>
      <c r="D182" s="2" t="str">
        <f t="shared" si="15"/>
        <v>Collection site transport costs</v>
      </c>
      <c r="E182" s="23" t="s">
        <v>806</v>
      </c>
      <c r="G182" s="88">
        <f>G175*'Financial Overview'!G$210</f>
        <v>0</v>
      </c>
      <c r="H182" s="676">
        <f>H175*'Financial Overview'!H$210</f>
        <v>195840</v>
      </c>
      <c r="I182" s="88">
        <f>I175*'Financial Overview'!I$210</f>
        <v>199756.80000000002</v>
      </c>
      <c r="J182" s="88">
        <f>J175*'Financial Overview'!J$210</f>
        <v>203751.93600000002</v>
      </c>
      <c r="K182" s="88">
        <f>K175*'Financial Overview'!K$210</f>
        <v>207826.97472000003</v>
      </c>
      <c r="L182" s="88">
        <f>L175*'Financial Overview'!L$210</f>
        <v>211983.51421440003</v>
      </c>
      <c r="M182" s="88">
        <f>M175*'Financial Overview'!M$210</f>
        <v>216223.18449868803</v>
      </c>
      <c r="N182" s="88">
        <f>N175*'Financial Overview'!N$210</f>
        <v>220547.64818866178</v>
      </c>
      <c r="O182" s="88">
        <f>O175*'Financial Overview'!O$210</f>
        <v>224958.60115243503</v>
      </c>
      <c r="P182" s="88">
        <f>P175*'Financial Overview'!P$210</f>
        <v>229457.77317548374</v>
      </c>
      <c r="Q182" s="88">
        <f>Q175*'Financial Overview'!Q$210</f>
        <v>234046.92863899341</v>
      </c>
      <c r="R182" s="88">
        <f>R175*'Financial Overview'!R$210</f>
        <v>238727.86721177329</v>
      </c>
      <c r="S182" s="88">
        <f>S175*'Financial Overview'!S$210</f>
        <v>243502.42455600877</v>
      </c>
      <c r="T182" s="88">
        <f>T175*'Financial Overview'!T$210</f>
        <v>248372.47304712897</v>
      </c>
      <c r="U182" s="88">
        <f>U175*'Financial Overview'!U$210</f>
        <v>253339.92250807156</v>
      </c>
      <c r="V182" s="88">
        <f>V175*'Financial Overview'!V$210</f>
        <v>258406.720958233</v>
      </c>
      <c r="W182" s="88">
        <f>W175*'Financial Overview'!W$210</f>
        <v>263574.85537739767</v>
      </c>
      <c r="X182" s="88">
        <f>X175*'Financial Overview'!X$210</f>
        <v>268846.35248494562</v>
      </c>
      <c r="Y182" s="88">
        <f>Y175*'Financial Overview'!Y$210</f>
        <v>274223.27953464451</v>
      </c>
      <c r="Z182" s="88">
        <f>Z175*'Financial Overview'!Z$210</f>
        <v>279707.74512533739</v>
      </c>
      <c r="AA182" s="88">
        <f>AA175*'Financial Overview'!AA$210</f>
        <v>285301.90002784412</v>
      </c>
    </row>
    <row r="183" spans="1:27" x14ac:dyDescent="0.45">
      <c r="A183" s="37"/>
      <c r="B183" s="4"/>
      <c r="C183" s="2" t="s">
        <v>114</v>
      </c>
      <c r="D183" s="2" t="str">
        <f t="shared" si="15"/>
        <v>Collection site annual training</v>
      </c>
      <c r="E183" s="23" t="s">
        <v>806</v>
      </c>
      <c r="G183" s="88">
        <f>G176*'Financial Overview'!G$210</f>
        <v>0</v>
      </c>
      <c r="H183" s="676">
        <f>H176*'Financial Overview'!H$210</f>
        <v>28583.975959933221</v>
      </c>
      <c r="I183" s="88">
        <f>I176*'Financial Overview'!I$210</f>
        <v>29155.655479131885</v>
      </c>
      <c r="J183" s="88">
        <f>J176*'Financial Overview'!J$210</f>
        <v>29738.768588714524</v>
      </c>
      <c r="K183" s="88">
        <f>K176*'Financial Overview'!K$210</f>
        <v>30333.543960488816</v>
      </c>
      <c r="L183" s="88">
        <f>L176*'Financial Overview'!L$210</f>
        <v>30940.214839698594</v>
      </c>
      <c r="M183" s="88">
        <f>M176*'Financial Overview'!M$210</f>
        <v>31559.019136492567</v>
      </c>
      <c r="N183" s="88">
        <f>N176*'Financial Overview'!N$210</f>
        <v>32190.19951922242</v>
      </c>
      <c r="O183" s="88">
        <f>O176*'Financial Overview'!O$210</f>
        <v>32834.003509606868</v>
      </c>
      <c r="P183" s="88">
        <f>P176*'Financial Overview'!P$210</f>
        <v>33490.683579799006</v>
      </c>
      <c r="Q183" s="88">
        <f>Q176*'Financial Overview'!Q$210</f>
        <v>34160.497251394983</v>
      </c>
      <c r="R183" s="88">
        <f>R176*'Financial Overview'!R$210</f>
        <v>34843.707196422882</v>
      </c>
      <c r="S183" s="88">
        <f>S176*'Financial Overview'!S$210</f>
        <v>35540.581340351338</v>
      </c>
      <c r="T183" s="88">
        <f>T176*'Financial Overview'!T$210</f>
        <v>36251.392967158368</v>
      </c>
      <c r="U183" s="88">
        <f>U176*'Financial Overview'!U$210</f>
        <v>36976.420826501533</v>
      </c>
      <c r="V183" s="88">
        <f>V176*'Financial Overview'!V$210</f>
        <v>37715.949243031566</v>
      </c>
      <c r="W183" s="88">
        <f>W176*'Financial Overview'!W$210</f>
        <v>38470.2682278922</v>
      </c>
      <c r="X183" s="88">
        <f>X176*'Financial Overview'!X$210</f>
        <v>39239.673592450046</v>
      </c>
      <c r="Y183" s="88">
        <f>Y176*'Financial Overview'!Y$210</f>
        <v>40024.467064299046</v>
      </c>
      <c r="Z183" s="88">
        <f>Z176*'Financial Overview'!Z$210</f>
        <v>40824.956405585028</v>
      </c>
      <c r="AA183" s="88">
        <f>AA176*'Financial Overview'!AA$210</f>
        <v>41641.455533696731</v>
      </c>
    </row>
    <row r="184" spans="1:27" x14ac:dyDescent="0.45">
      <c r="A184" s="37"/>
      <c r="B184" s="4"/>
      <c r="C184" s="2" t="s">
        <v>114</v>
      </c>
      <c r="D184" s="2" t="str">
        <f t="shared" si="15"/>
        <v>Dried mango purchased from women's groups</v>
      </c>
      <c r="E184" s="23" t="s">
        <v>806</v>
      </c>
      <c r="G184" s="88">
        <f>G177*'Financial Overview'!G$210</f>
        <v>0</v>
      </c>
      <c r="H184" s="546">
        <f>H177*'Financial Overview'!H$210</f>
        <v>0</v>
      </c>
      <c r="I184" s="88">
        <f>I177*'Financial Overview'!I$210</f>
        <v>0</v>
      </c>
      <c r="J184" s="88">
        <f>J177*'Financial Overview'!J$210</f>
        <v>0</v>
      </c>
      <c r="K184" s="88">
        <f>K177*'Financial Overview'!K$210</f>
        <v>0</v>
      </c>
      <c r="L184" s="88">
        <f>L177*'Financial Overview'!L$210</f>
        <v>0</v>
      </c>
      <c r="M184" s="88">
        <f>M177*'Financial Overview'!M$210</f>
        <v>0</v>
      </c>
      <c r="N184" s="88">
        <f>N177*'Financial Overview'!N$210</f>
        <v>0</v>
      </c>
      <c r="O184" s="88">
        <f>O177*'Financial Overview'!O$210</f>
        <v>0</v>
      </c>
      <c r="P184" s="88">
        <f>P177*'Financial Overview'!P$210</f>
        <v>0</v>
      </c>
      <c r="Q184" s="88">
        <f>Q177*'Financial Overview'!Q$210</f>
        <v>0</v>
      </c>
      <c r="R184" s="88">
        <f>R177*'Financial Overview'!R$210</f>
        <v>0</v>
      </c>
      <c r="S184" s="88">
        <f>S177*'Financial Overview'!S$210</f>
        <v>0</v>
      </c>
      <c r="T184" s="88">
        <f>T177*'Financial Overview'!T$210</f>
        <v>0</v>
      </c>
      <c r="U184" s="88">
        <f>U177*'Financial Overview'!U$210</f>
        <v>0</v>
      </c>
      <c r="V184" s="88">
        <f>V177*'Financial Overview'!V$210</f>
        <v>0</v>
      </c>
      <c r="W184" s="88">
        <f>W177*'Financial Overview'!W$210</f>
        <v>0</v>
      </c>
      <c r="X184" s="88">
        <f>X177*'Financial Overview'!X$210</f>
        <v>0</v>
      </c>
      <c r="Y184" s="88">
        <f>Y177*'Financial Overview'!Y$210</f>
        <v>0</v>
      </c>
      <c r="Z184" s="88">
        <f>Z177*'Financial Overview'!Z$210</f>
        <v>0</v>
      </c>
      <c r="AA184" s="88">
        <f>AA177*'Financial Overview'!AA$210</f>
        <v>0</v>
      </c>
    </row>
    <row r="185" spans="1:27" x14ac:dyDescent="0.45">
      <c r="A185" s="37"/>
      <c r="B185" s="4"/>
      <c r="C185" s="4"/>
      <c r="E185" s="3"/>
      <c r="F185" s="38"/>
      <c r="G185" s="47" t="s">
        <v>22</v>
      </c>
      <c r="H185" s="47" t="s">
        <v>22</v>
      </c>
      <c r="I185" s="47" t="s">
        <v>22</v>
      </c>
      <c r="J185" s="47" t="s">
        <v>22</v>
      </c>
      <c r="K185" s="47" t="s">
        <v>22</v>
      </c>
      <c r="L185" s="47" t="s">
        <v>22</v>
      </c>
      <c r="M185" s="47" t="s">
        <v>22</v>
      </c>
      <c r="N185" s="47" t="s">
        <v>22</v>
      </c>
      <c r="O185" s="47" t="s">
        <v>22</v>
      </c>
      <c r="P185" s="47" t="s">
        <v>22</v>
      </c>
      <c r="Q185" s="47" t="s">
        <v>22</v>
      </c>
      <c r="R185" s="47" t="s">
        <v>22</v>
      </c>
      <c r="S185" s="47" t="s">
        <v>22</v>
      </c>
      <c r="T185" s="47" t="s">
        <v>22</v>
      </c>
      <c r="U185" s="47" t="s">
        <v>22</v>
      </c>
      <c r="V185" s="47" t="s">
        <v>22</v>
      </c>
      <c r="W185" s="47" t="s">
        <v>22</v>
      </c>
      <c r="X185" s="47" t="s">
        <v>22</v>
      </c>
      <c r="Y185" s="47" t="s">
        <v>22</v>
      </c>
      <c r="Z185" s="47" t="s">
        <v>22</v>
      </c>
      <c r="AA185" s="47" t="s">
        <v>22</v>
      </c>
    </row>
    <row r="186" spans="1:27" s="4" customFormat="1" x14ac:dyDescent="0.45">
      <c r="A186" s="41"/>
      <c r="D186" s="4" t="s">
        <v>525</v>
      </c>
      <c r="E186" s="42" t="s">
        <v>806</v>
      </c>
      <c r="F186" s="43"/>
      <c r="G186" s="132">
        <f t="shared" ref="G186:AA186" si="16">SUM(G179:G182)</f>
        <v>1436800</v>
      </c>
      <c r="H186" s="132">
        <f>SUM(H179:H182)</f>
        <v>1857216</v>
      </c>
      <c r="I186" s="132">
        <f t="shared" si="16"/>
        <v>1894360.32</v>
      </c>
      <c r="J186" s="132">
        <f t="shared" si="16"/>
        <v>1932247.5264000001</v>
      </c>
      <c r="K186" s="132">
        <f t="shared" si="16"/>
        <v>1970892.4769280001</v>
      </c>
      <c r="L186" s="132">
        <f t="shared" si="16"/>
        <v>2010310.3264665601</v>
      </c>
      <c r="M186" s="132">
        <f t="shared" si="16"/>
        <v>2050516.5329958915</v>
      </c>
      <c r="N186" s="132">
        <f t="shared" si="16"/>
        <v>2091526.8636558093</v>
      </c>
      <c r="O186" s="132">
        <f t="shared" si="16"/>
        <v>2133357.4009289257</v>
      </c>
      <c r="P186" s="132">
        <f t="shared" si="16"/>
        <v>2176024.5489475038</v>
      </c>
      <c r="Q186" s="132">
        <f t="shared" si="16"/>
        <v>2219545.0399264544</v>
      </c>
      <c r="R186" s="132">
        <f t="shared" si="16"/>
        <v>2263935.9407249833</v>
      </c>
      <c r="S186" s="132">
        <f t="shared" si="16"/>
        <v>2309214.659539483</v>
      </c>
      <c r="T186" s="132">
        <f t="shared" si="16"/>
        <v>2355398.9527302729</v>
      </c>
      <c r="U186" s="132">
        <f t="shared" si="16"/>
        <v>2402506.9317848785</v>
      </c>
      <c r="V186" s="132">
        <f t="shared" si="16"/>
        <v>2450557.0704205758</v>
      </c>
      <c r="W186" s="132">
        <f t="shared" si="16"/>
        <v>2499568.2118289876</v>
      </c>
      <c r="X186" s="132">
        <f t="shared" si="16"/>
        <v>2549559.5760655678</v>
      </c>
      <c r="Y186" s="132">
        <f t="shared" si="16"/>
        <v>2600550.7675868785</v>
      </c>
      <c r="Z186" s="132">
        <f t="shared" si="16"/>
        <v>2652561.7829386164</v>
      </c>
      <c r="AA186" s="132">
        <f t="shared" si="16"/>
        <v>2705613.0185973886</v>
      </c>
    </row>
    <row r="187" spans="1:27" s="4" customFormat="1" x14ac:dyDescent="0.45">
      <c r="A187" s="41"/>
      <c r="E187" s="42"/>
      <c r="F187" s="43"/>
      <c r="G187" s="132"/>
      <c r="H187" s="132"/>
      <c r="I187" s="132"/>
      <c r="J187" s="132"/>
      <c r="K187" s="132"/>
      <c r="L187" s="132"/>
      <c r="M187" s="132"/>
      <c r="N187" s="132"/>
      <c r="O187" s="132"/>
      <c r="P187" s="132"/>
      <c r="Q187" s="132"/>
      <c r="R187" s="132"/>
      <c r="S187" s="132"/>
      <c r="T187" s="132"/>
      <c r="U187" s="132"/>
      <c r="V187" s="132"/>
      <c r="W187" s="132"/>
      <c r="X187" s="132"/>
      <c r="Y187" s="132"/>
      <c r="Z187" s="132"/>
      <c r="AA187" s="132"/>
    </row>
    <row r="188" spans="1:27" x14ac:dyDescent="0.45">
      <c r="A188" s="37"/>
      <c r="B188" s="4" t="s">
        <v>518</v>
      </c>
      <c r="C188" s="4"/>
      <c r="G188" s="46"/>
      <c r="H188" s="46"/>
      <c r="I188" s="46"/>
      <c r="J188" s="46"/>
      <c r="K188" s="46"/>
      <c r="L188" s="46"/>
      <c r="M188" s="46"/>
      <c r="N188" s="46"/>
      <c r="O188" s="46"/>
      <c r="P188" s="46"/>
      <c r="Q188" s="46"/>
      <c r="R188" s="46"/>
      <c r="S188" s="46"/>
      <c r="T188" s="46"/>
      <c r="U188" s="46"/>
      <c r="V188" s="46"/>
      <c r="W188" s="46"/>
      <c r="X188" s="46"/>
      <c r="Y188" s="46"/>
      <c r="Z188" s="46"/>
      <c r="AA188" s="46"/>
    </row>
    <row r="189" spans="1:27" x14ac:dyDescent="0.45">
      <c r="A189" s="37"/>
      <c r="B189" s="4"/>
      <c r="C189" s="4"/>
      <c r="G189" s="46"/>
      <c r="H189" s="46"/>
      <c r="I189" s="46"/>
      <c r="J189" s="46"/>
      <c r="K189" s="46"/>
      <c r="L189" s="46"/>
      <c r="M189" s="46"/>
      <c r="N189" s="46"/>
      <c r="O189" s="46"/>
      <c r="P189" s="46"/>
      <c r="Q189" s="46"/>
      <c r="R189" s="46"/>
      <c r="S189" s="46"/>
      <c r="T189" s="46"/>
      <c r="U189" s="46"/>
      <c r="V189" s="46"/>
      <c r="W189" s="46"/>
      <c r="X189" s="46"/>
      <c r="Y189" s="46"/>
      <c r="Z189" s="46"/>
      <c r="AA189" s="46"/>
    </row>
    <row r="190" spans="1:27" x14ac:dyDescent="0.45">
      <c r="A190" s="37"/>
      <c r="B190" s="4"/>
      <c r="C190" s="2" t="s">
        <v>114</v>
      </c>
      <c r="D190" s="2" t="str">
        <f>Assumptions!D227</f>
        <v>Processing centre General Manager costs</v>
      </c>
      <c r="E190" s="23" t="s">
        <v>813</v>
      </c>
      <c r="G190" s="83">
        <f>Assumptions!I227</f>
        <v>100000</v>
      </c>
      <c r="H190" s="83">
        <f>G190*(1+Assumptions!$H$234)</f>
        <v>102000</v>
      </c>
      <c r="I190" s="83">
        <f>H190*(1+Assumptions!$H$234)</f>
        <v>104040</v>
      </c>
      <c r="J190" s="83">
        <f>I190*(1+Assumptions!$H$234)</f>
        <v>106120.8</v>
      </c>
      <c r="K190" s="83">
        <f>J190*(1+Assumptions!$H$234)</f>
        <v>108243.216</v>
      </c>
      <c r="L190" s="83">
        <f>K190*(1+Assumptions!$H$234)</f>
        <v>110408.08032000001</v>
      </c>
      <c r="M190" s="83">
        <f>L190*(1+Assumptions!$H$234)</f>
        <v>112616.24192640001</v>
      </c>
      <c r="N190" s="83">
        <f>M190*(1+Assumptions!$H$234)</f>
        <v>114868.56676492801</v>
      </c>
      <c r="O190" s="83">
        <f>N190*(1+Assumptions!$H$234)</f>
        <v>117165.93810022657</v>
      </c>
      <c r="P190" s="83">
        <f>O190*(1+Assumptions!$H$234)</f>
        <v>119509.25686223111</v>
      </c>
      <c r="Q190" s="83">
        <f>P190*(1+Assumptions!$H$234)</f>
        <v>121899.44199947573</v>
      </c>
      <c r="R190" s="83">
        <f>Q190*(1+Assumptions!$H$234)</f>
        <v>124337.43083946525</v>
      </c>
      <c r="S190" s="83">
        <f>R190*(1+Assumptions!$H$234)</f>
        <v>126824.17945625455</v>
      </c>
      <c r="T190" s="83">
        <f>S190*(1+Assumptions!$H$234)</f>
        <v>129360.66304537965</v>
      </c>
      <c r="U190" s="83">
        <f>T190*(1+Assumptions!$H$234)</f>
        <v>131947.87630628725</v>
      </c>
      <c r="V190" s="83">
        <f>U190*(1+Assumptions!$H$234)</f>
        <v>134586.83383241299</v>
      </c>
      <c r="W190" s="83">
        <f>V190*(1+Assumptions!$H$234)</f>
        <v>137278.57050906125</v>
      </c>
      <c r="X190" s="83">
        <f>W190*(1+Assumptions!$H$234)</f>
        <v>140024.14191924248</v>
      </c>
      <c r="Y190" s="83">
        <f>X190*(1+Assumptions!$H$234)</f>
        <v>142824.62475762735</v>
      </c>
      <c r="Z190" s="83">
        <f>Y190*(1+Assumptions!$H$234)</f>
        <v>145681.11725277989</v>
      </c>
      <c r="AA190" s="83">
        <f>Z190*(1+Assumptions!$H$234)</f>
        <v>148594.73959783549</v>
      </c>
    </row>
    <row r="191" spans="1:27" x14ac:dyDescent="0.45">
      <c r="A191" s="37"/>
      <c r="B191" s="4"/>
      <c r="C191" s="2" t="s">
        <v>114</v>
      </c>
      <c r="D191" s="2" t="str">
        <f>Assumptions!D228</f>
        <v>Processing centre security and technical staff</v>
      </c>
      <c r="E191" s="23" t="s">
        <v>813</v>
      </c>
      <c r="G191" s="83">
        <f>Assumptions!I228</f>
        <v>30000</v>
      </c>
      <c r="H191" s="83">
        <f>G191*(1+Assumptions!$H$234)</f>
        <v>30600</v>
      </c>
      <c r="I191" s="83">
        <f>H191*(1+Assumptions!$H$234)</f>
        <v>31212</v>
      </c>
      <c r="J191" s="83">
        <f>I191*(1+Assumptions!$H$234)</f>
        <v>31836.240000000002</v>
      </c>
      <c r="K191" s="83">
        <f>J191*(1+Assumptions!$H$234)</f>
        <v>32472.964800000002</v>
      </c>
      <c r="L191" s="83">
        <f>K191*(1+Assumptions!$H$234)</f>
        <v>33122.424096000002</v>
      </c>
      <c r="M191" s="83">
        <f>L191*(1+Assumptions!$H$234)</f>
        <v>33784.872577920003</v>
      </c>
      <c r="N191" s="83">
        <f>M191*(1+Assumptions!$H$234)</f>
        <v>34460.570029478404</v>
      </c>
      <c r="O191" s="83">
        <f>N191*(1+Assumptions!$H$234)</f>
        <v>35149.781430067975</v>
      </c>
      <c r="P191" s="83">
        <f>O191*(1+Assumptions!$H$234)</f>
        <v>35852.777058669337</v>
      </c>
      <c r="Q191" s="83">
        <f>P191*(1+Assumptions!$H$234)</f>
        <v>36569.832599842724</v>
      </c>
      <c r="R191" s="83">
        <f>Q191*(1+Assumptions!$H$234)</f>
        <v>37301.229251839577</v>
      </c>
      <c r="S191" s="83">
        <f>R191*(1+Assumptions!$H$234)</f>
        <v>38047.253836876371</v>
      </c>
      <c r="T191" s="83">
        <f>S191*(1+Assumptions!$H$234)</f>
        <v>38808.198913613902</v>
      </c>
      <c r="U191" s="83">
        <f>T191*(1+Assumptions!$H$234)</f>
        <v>39584.36289188618</v>
      </c>
      <c r="V191" s="83">
        <f>U191*(1+Assumptions!$H$234)</f>
        <v>40376.050149723902</v>
      </c>
      <c r="W191" s="83">
        <f>V191*(1+Assumptions!$H$234)</f>
        <v>41183.571152718381</v>
      </c>
      <c r="X191" s="83">
        <f>W191*(1+Assumptions!$H$234)</f>
        <v>42007.242575772747</v>
      </c>
      <c r="Y191" s="83">
        <f>X191*(1+Assumptions!$H$234)</f>
        <v>42847.387427288202</v>
      </c>
      <c r="Z191" s="83">
        <f>Y191*(1+Assumptions!$H$234)</f>
        <v>43704.33517583397</v>
      </c>
      <c r="AA191" s="83">
        <f>Z191*(1+Assumptions!$H$234)</f>
        <v>44578.421879350652</v>
      </c>
    </row>
    <row r="192" spans="1:27" x14ac:dyDescent="0.45">
      <c r="A192" s="37"/>
      <c r="B192" s="4"/>
      <c r="C192" s="2" t="s">
        <v>114</v>
      </c>
      <c r="D192" s="2" t="str">
        <f>Assumptions!D229</f>
        <v>Processing centre supervision &amp; monitoring staff</v>
      </c>
      <c r="E192" s="23" t="s">
        <v>813</v>
      </c>
      <c r="G192" s="83">
        <f>Assumptions!I229</f>
        <v>54000</v>
      </c>
      <c r="H192" s="83">
        <f>G192*(1+Assumptions!$H$234)</f>
        <v>55080</v>
      </c>
      <c r="I192" s="83">
        <f>H192*(1+Assumptions!$H$234)</f>
        <v>56181.599999999999</v>
      </c>
      <c r="J192" s="83">
        <f>I192*(1+Assumptions!$H$234)</f>
        <v>57305.231999999996</v>
      </c>
      <c r="K192" s="83">
        <f>J192*(1+Assumptions!$H$234)</f>
        <v>58451.336639999994</v>
      </c>
      <c r="L192" s="83">
        <f>K192*(1+Assumptions!$H$234)</f>
        <v>59620.363372799999</v>
      </c>
      <c r="M192" s="83">
        <f>L192*(1+Assumptions!$H$234)</f>
        <v>60812.770640256</v>
      </c>
      <c r="N192" s="83">
        <f>M192*(1+Assumptions!$H$234)</f>
        <v>62029.026053061119</v>
      </c>
      <c r="O192" s="83">
        <f>N192*(1+Assumptions!$H$234)</f>
        <v>63269.606574122343</v>
      </c>
      <c r="P192" s="83">
        <f>O192*(1+Assumptions!$H$234)</f>
        <v>64534.99870560479</v>
      </c>
      <c r="Q192" s="83">
        <f>P192*(1+Assumptions!$H$234)</f>
        <v>65825.698679716894</v>
      </c>
      <c r="R192" s="83">
        <f>Q192*(1+Assumptions!$H$234)</f>
        <v>67142.212653311231</v>
      </c>
      <c r="S192" s="83">
        <f>R192*(1+Assumptions!$H$234)</f>
        <v>68485.05690637746</v>
      </c>
      <c r="T192" s="83">
        <f>S192*(1+Assumptions!$H$234)</f>
        <v>69854.758044505012</v>
      </c>
      <c r="U192" s="83">
        <f>T192*(1+Assumptions!$H$234)</f>
        <v>71251.85320539512</v>
      </c>
      <c r="V192" s="83">
        <f>U192*(1+Assumptions!$H$234)</f>
        <v>72676.890269503027</v>
      </c>
      <c r="W192" s="83">
        <f>V192*(1+Assumptions!$H$234)</f>
        <v>74130.428074893091</v>
      </c>
      <c r="X192" s="83">
        <f>W192*(1+Assumptions!$H$234)</f>
        <v>75613.036636390956</v>
      </c>
      <c r="Y192" s="83">
        <f>X192*(1+Assumptions!$H$234)</f>
        <v>77125.29736911878</v>
      </c>
      <c r="Z192" s="83">
        <f>Y192*(1+Assumptions!$H$234)</f>
        <v>78667.803316501158</v>
      </c>
      <c r="AA192" s="83">
        <f>Z192*(1+Assumptions!$H$234)</f>
        <v>80241.159382831189</v>
      </c>
    </row>
    <row r="193" spans="1:27" x14ac:dyDescent="0.45">
      <c r="A193" s="37"/>
      <c r="B193" s="4"/>
      <c r="C193" s="2" t="s">
        <v>114</v>
      </c>
      <c r="D193" s="2" t="str">
        <f>Assumptions!D230</f>
        <v>Processing centre transport costs</v>
      </c>
      <c r="E193" s="23" t="s">
        <v>813</v>
      </c>
      <c r="G193" s="83">
        <f>Assumptions!I230</f>
        <v>36000</v>
      </c>
      <c r="H193" s="83">
        <f>G193*(1+Assumptions!$H$234)</f>
        <v>36720</v>
      </c>
      <c r="I193" s="83">
        <f>H193*(1+Assumptions!$H$234)</f>
        <v>37454.400000000001</v>
      </c>
      <c r="J193" s="83">
        <f>I193*(1+Assumptions!$H$234)</f>
        <v>38203.488000000005</v>
      </c>
      <c r="K193" s="83">
        <f>J193*(1+Assumptions!$H$234)</f>
        <v>38967.557760000003</v>
      </c>
      <c r="L193" s="83">
        <f>K193*(1+Assumptions!$H$234)</f>
        <v>39746.908915200002</v>
      </c>
      <c r="M193" s="83">
        <f>L193*(1+Assumptions!$H$234)</f>
        <v>40541.847093504002</v>
      </c>
      <c r="N193" s="83">
        <f>M193*(1+Assumptions!$H$234)</f>
        <v>41352.684035374084</v>
      </c>
      <c r="O193" s="83">
        <f>N193*(1+Assumptions!$H$234)</f>
        <v>42179.737716081567</v>
      </c>
      <c r="P193" s="83">
        <f>O193*(1+Assumptions!$H$234)</f>
        <v>43023.332470403198</v>
      </c>
      <c r="Q193" s="83">
        <f>P193*(1+Assumptions!$H$234)</f>
        <v>43883.799119811265</v>
      </c>
      <c r="R193" s="83">
        <f>Q193*(1+Assumptions!$H$234)</f>
        <v>44761.475102207492</v>
      </c>
      <c r="S193" s="83">
        <f>R193*(1+Assumptions!$H$234)</f>
        <v>45656.704604251645</v>
      </c>
      <c r="T193" s="83">
        <f>S193*(1+Assumptions!$H$234)</f>
        <v>46569.838696336679</v>
      </c>
      <c r="U193" s="83">
        <f>T193*(1+Assumptions!$H$234)</f>
        <v>47501.235470263411</v>
      </c>
      <c r="V193" s="83">
        <f>U193*(1+Assumptions!$H$234)</f>
        <v>48451.260179668679</v>
      </c>
      <c r="W193" s="83">
        <f>V193*(1+Assumptions!$H$234)</f>
        <v>49420.285383262053</v>
      </c>
      <c r="X193" s="83">
        <f>W193*(1+Assumptions!$H$234)</f>
        <v>50408.691090927292</v>
      </c>
      <c r="Y193" s="83">
        <f>X193*(1+Assumptions!$H$234)</f>
        <v>51416.864912745841</v>
      </c>
      <c r="Z193" s="83">
        <f>Y193*(1+Assumptions!$H$234)</f>
        <v>52445.20221100076</v>
      </c>
      <c r="AA193" s="83">
        <f>Z193*(1+Assumptions!$H$234)</f>
        <v>53494.106255220773</v>
      </c>
    </row>
    <row r="194" spans="1:27" x14ac:dyDescent="0.45">
      <c r="A194" s="37"/>
      <c r="B194" s="4"/>
      <c r="C194" s="2" t="s">
        <v>114</v>
      </c>
      <c r="D194" s="2" t="str">
        <f>Assumptions!D231</f>
        <v>Forestry fund</v>
      </c>
      <c r="E194" s="23" t="s">
        <v>813</v>
      </c>
      <c r="G194" s="83">
        <f>Assumptions!I231</f>
        <v>15000</v>
      </c>
      <c r="H194" s="83">
        <f>G194*(1+Assumptions!$H$234)</f>
        <v>15300</v>
      </c>
      <c r="I194" s="83">
        <f>H194*(1+Assumptions!$H$234)</f>
        <v>15606</v>
      </c>
      <c r="J194" s="83">
        <f>I194*(1+Assumptions!$H$234)</f>
        <v>15918.12</v>
      </c>
      <c r="K194" s="83">
        <f>J194*(1+Assumptions!$H$234)</f>
        <v>16236.482400000001</v>
      </c>
      <c r="L194" s="83">
        <f>K194*(1+Assumptions!$H$234)</f>
        <v>16561.212048000001</v>
      </c>
      <c r="M194" s="83">
        <f>L194*(1+Assumptions!$H$234)</f>
        <v>16892.436288960002</v>
      </c>
      <c r="N194" s="83">
        <f>M194*(1+Assumptions!$H$234)</f>
        <v>17230.285014739202</v>
      </c>
      <c r="O194" s="83">
        <f>N194*(1+Assumptions!$H$234)</f>
        <v>17574.890715033987</v>
      </c>
      <c r="P194" s="83">
        <f>O194*(1+Assumptions!$H$234)</f>
        <v>17926.388529334668</v>
      </c>
      <c r="Q194" s="83">
        <f>P194*(1+Assumptions!$H$234)</f>
        <v>18284.916299921362</v>
      </c>
      <c r="R194" s="83">
        <f>Q194*(1+Assumptions!$H$234)</f>
        <v>18650.614625919789</v>
      </c>
      <c r="S194" s="83">
        <f>R194*(1+Assumptions!$H$234)</f>
        <v>19023.626918438185</v>
      </c>
      <c r="T194" s="83">
        <f>S194*(1+Assumptions!$H$234)</f>
        <v>19404.099456806951</v>
      </c>
      <c r="U194" s="83">
        <f>T194*(1+Assumptions!$H$234)</f>
        <v>19792.18144594309</v>
      </c>
      <c r="V194" s="83">
        <f>U194*(1+Assumptions!$H$234)</f>
        <v>20188.025074861951</v>
      </c>
      <c r="W194" s="83">
        <f>V194*(1+Assumptions!$H$234)</f>
        <v>20591.785576359191</v>
      </c>
      <c r="X194" s="83">
        <f>W194*(1+Assumptions!$H$234)</f>
        <v>21003.621287886373</v>
      </c>
      <c r="Y194" s="83">
        <f>X194*(1+Assumptions!$H$234)</f>
        <v>21423.693713644101</v>
      </c>
      <c r="Z194" s="83">
        <f>Y194*(1+Assumptions!$H$234)</f>
        <v>21852.167587916985</v>
      </c>
      <c r="AA194" s="83">
        <f>Z194*(1+Assumptions!$H$234)</f>
        <v>22289.210939675326</v>
      </c>
    </row>
    <row r="195" spans="1:27" x14ac:dyDescent="0.45">
      <c r="A195" s="37"/>
      <c r="B195" s="4"/>
      <c r="C195" s="2" t="s">
        <v>114</v>
      </c>
      <c r="D195" s="2" t="str">
        <f>Assumptions!D232</f>
        <v>Shea kernels purchased from women's groups</v>
      </c>
      <c r="E195" s="23" t="s">
        <v>813</v>
      </c>
      <c r="G195" s="83">
        <f>Assumptions!I232</f>
        <v>750000</v>
      </c>
      <c r="H195" s="542">
        <f>G195*(1+Assumptions!$H$234)</f>
        <v>765000</v>
      </c>
      <c r="I195" s="83">
        <f>H195*(1+Assumptions!$H$234)</f>
        <v>780300</v>
      </c>
      <c r="J195" s="83">
        <f>I195*(1+Assumptions!$H$234)</f>
        <v>795906</v>
      </c>
      <c r="K195" s="83">
        <f>J195*(1+Assumptions!$H$234)</f>
        <v>811824.12</v>
      </c>
      <c r="L195" s="83">
        <f>K195*(1+Assumptions!$H$234)</f>
        <v>828060.60239999997</v>
      </c>
      <c r="M195" s="83">
        <f>L195*(1+Assumptions!$H$234)</f>
        <v>844621.81444799993</v>
      </c>
      <c r="N195" s="83">
        <f>M195*(1+Assumptions!$H$234)</f>
        <v>861514.25073695998</v>
      </c>
      <c r="O195" s="83">
        <f>N195*(1+Assumptions!$H$234)</f>
        <v>878744.53575169924</v>
      </c>
      <c r="P195" s="83">
        <f>O195*(1+Assumptions!$H$234)</f>
        <v>896319.42646673322</v>
      </c>
      <c r="Q195" s="83">
        <f>P195*(1+Assumptions!$H$234)</f>
        <v>914245.8149960679</v>
      </c>
      <c r="R195" s="83">
        <f>Q195*(1+Assumptions!$H$234)</f>
        <v>932530.73129598924</v>
      </c>
      <c r="S195" s="83">
        <f>R195*(1+Assumptions!$H$234)</f>
        <v>951181.34592190909</v>
      </c>
      <c r="T195" s="83">
        <f>S195*(1+Assumptions!$H$234)</f>
        <v>970204.97284034733</v>
      </c>
      <c r="U195" s="83">
        <f>T195*(1+Assumptions!$H$234)</f>
        <v>989609.07229715434</v>
      </c>
      <c r="V195" s="83">
        <f>U195*(1+Assumptions!$H$234)</f>
        <v>1009401.2537430974</v>
      </c>
      <c r="W195" s="83">
        <f>V195*(1+Assumptions!$H$234)</f>
        <v>1029589.2788179594</v>
      </c>
      <c r="X195" s="83">
        <f>W195*(1+Assumptions!$H$234)</f>
        <v>1050181.0643943185</v>
      </c>
      <c r="Y195" s="83">
        <f>X195*(1+Assumptions!$H$234)</f>
        <v>1071184.6856822048</v>
      </c>
      <c r="Z195" s="83">
        <f>Y195*(1+Assumptions!$H$234)</f>
        <v>1092608.3793958488</v>
      </c>
      <c r="AA195" s="83">
        <f>Z195*(1+Assumptions!$H$234)</f>
        <v>1114460.5469837659</v>
      </c>
    </row>
    <row r="196" spans="1:27" x14ac:dyDescent="0.45">
      <c r="A196" s="37"/>
      <c r="B196" s="4"/>
      <c r="C196" s="4"/>
      <c r="G196" s="46"/>
      <c r="H196" s="46"/>
      <c r="I196" s="46"/>
      <c r="J196" s="46"/>
      <c r="K196" s="46"/>
      <c r="L196" s="46"/>
      <c r="M196" s="46"/>
      <c r="N196" s="46"/>
      <c r="O196" s="46"/>
      <c r="P196" s="46"/>
      <c r="Q196" s="46"/>
      <c r="R196" s="46"/>
      <c r="S196" s="46"/>
      <c r="T196" s="46"/>
      <c r="U196" s="46"/>
      <c r="V196" s="46"/>
      <c r="W196" s="46"/>
      <c r="X196" s="46"/>
      <c r="Y196" s="46"/>
      <c r="Z196" s="46"/>
      <c r="AA196" s="46"/>
    </row>
    <row r="197" spans="1:27" x14ac:dyDescent="0.45">
      <c r="A197" s="37"/>
      <c r="B197" s="4"/>
      <c r="C197" s="2" t="s">
        <v>114</v>
      </c>
      <c r="D197" s="2" t="str">
        <f t="shared" ref="D197:D202" si="17">D190</f>
        <v>Processing centre General Manager costs</v>
      </c>
      <c r="E197" s="23" t="s">
        <v>806</v>
      </c>
      <c r="G197" s="88">
        <f>G190*'Financial Overview'!H$213</f>
        <v>400000</v>
      </c>
      <c r="H197" s="677">
        <f>H190*'Financial Overview'!H$213</f>
        <v>408000</v>
      </c>
      <c r="I197" s="88">
        <f>I190*'Financial Overview'!I$213</f>
        <v>416160</v>
      </c>
      <c r="J197" s="88">
        <f>J190*'Financial Overview'!J$213</f>
        <v>424483.2</v>
      </c>
      <c r="K197" s="88">
        <f>K190*'Financial Overview'!K$213</f>
        <v>432972.864</v>
      </c>
      <c r="L197" s="88">
        <f>L190*'Financial Overview'!L$213</f>
        <v>441632.32128000003</v>
      </c>
      <c r="M197" s="88">
        <f>M190*'Financial Overview'!M$213</f>
        <v>450464.96770560002</v>
      </c>
      <c r="N197" s="88">
        <f>N190*'Financial Overview'!N$213</f>
        <v>459474.26705971203</v>
      </c>
      <c r="O197" s="88">
        <f>O190*'Financial Overview'!O$213</f>
        <v>468663.75240090629</v>
      </c>
      <c r="P197" s="88">
        <f>P190*'Financial Overview'!P$213</f>
        <v>478037.02744892443</v>
      </c>
      <c r="Q197" s="88">
        <f>Q190*'Financial Overview'!Q$213</f>
        <v>487597.76799790293</v>
      </c>
      <c r="R197" s="88">
        <f>R190*'Financial Overview'!R$213</f>
        <v>497349.72335786099</v>
      </c>
      <c r="S197" s="88">
        <f>S190*'Financial Overview'!S$213</f>
        <v>507296.71782501822</v>
      </c>
      <c r="T197" s="88">
        <f>T190*'Financial Overview'!T$213</f>
        <v>517442.65218151861</v>
      </c>
      <c r="U197" s="88">
        <f>U190*'Financial Overview'!U$213</f>
        <v>527791.50522514898</v>
      </c>
      <c r="V197" s="88">
        <f>V190*'Financial Overview'!V$213</f>
        <v>538347.33532965195</v>
      </c>
      <c r="W197" s="88">
        <f>W190*'Financial Overview'!W$213</f>
        <v>549114.28203624499</v>
      </c>
      <c r="X197" s="88">
        <f>X190*'Financial Overview'!X$213</f>
        <v>560096.56767696992</v>
      </c>
      <c r="Y197" s="88">
        <f>Y190*'Financial Overview'!Y$213</f>
        <v>571298.49903050938</v>
      </c>
      <c r="Z197" s="88">
        <f>Z190*'Financial Overview'!Z$213</f>
        <v>582724.46901111957</v>
      </c>
      <c r="AA197" s="88">
        <f>AA190*'Financial Overview'!AA$213</f>
        <v>594378.95839134196</v>
      </c>
    </row>
    <row r="198" spans="1:27" x14ac:dyDescent="0.45">
      <c r="A198" s="37"/>
      <c r="B198" s="4"/>
      <c r="C198" s="2" t="s">
        <v>114</v>
      </c>
      <c r="D198" s="2" t="str">
        <f t="shared" si="17"/>
        <v>Processing centre security and technical staff</v>
      </c>
      <c r="E198" s="23" t="s">
        <v>806</v>
      </c>
      <c r="G198" s="88">
        <f>G191*'Financial Overview'!G$213</f>
        <v>0</v>
      </c>
      <c r="H198" s="677">
        <f>H191*'Financial Overview'!H$213</f>
        <v>122400</v>
      </c>
      <c r="I198" s="88">
        <f>I191*'Financial Overview'!I$213</f>
        <v>124848</v>
      </c>
      <c r="J198" s="88">
        <f>J191*'Financial Overview'!J$213</f>
        <v>127344.96000000001</v>
      </c>
      <c r="K198" s="88">
        <f>K191*'Financial Overview'!K$213</f>
        <v>129891.85920000001</v>
      </c>
      <c r="L198" s="88">
        <f>L191*'Financial Overview'!L$213</f>
        <v>132489.69638400001</v>
      </c>
      <c r="M198" s="88">
        <f>M191*'Financial Overview'!M$213</f>
        <v>135139.49031168001</v>
      </c>
      <c r="N198" s="88">
        <f>N191*'Financial Overview'!N$213</f>
        <v>137842.28011791361</v>
      </c>
      <c r="O198" s="88">
        <f>O191*'Financial Overview'!O$213</f>
        <v>140599.1257202719</v>
      </c>
      <c r="P198" s="88">
        <f>P191*'Financial Overview'!P$213</f>
        <v>143411.10823467735</v>
      </c>
      <c r="Q198" s="88">
        <f>Q191*'Financial Overview'!Q$213</f>
        <v>146279.3303993709</v>
      </c>
      <c r="R198" s="88">
        <f>R191*'Financial Overview'!R$213</f>
        <v>149204.91700735831</v>
      </c>
      <c r="S198" s="88">
        <f>S191*'Financial Overview'!S$213</f>
        <v>152189.01534750548</v>
      </c>
      <c r="T198" s="88">
        <f>T191*'Financial Overview'!T$213</f>
        <v>155232.79565445561</v>
      </c>
      <c r="U198" s="88">
        <f>U191*'Financial Overview'!U$213</f>
        <v>158337.45156754472</v>
      </c>
      <c r="V198" s="88">
        <f>V191*'Financial Overview'!V$213</f>
        <v>161504.20059889561</v>
      </c>
      <c r="W198" s="88">
        <f>W191*'Financial Overview'!W$213</f>
        <v>164734.28461087352</v>
      </c>
      <c r="X198" s="88">
        <f>X191*'Financial Overview'!X$213</f>
        <v>168028.97030309099</v>
      </c>
      <c r="Y198" s="88">
        <f>Y191*'Financial Overview'!Y$213</f>
        <v>171389.54970915281</v>
      </c>
      <c r="Z198" s="88">
        <f>Z191*'Financial Overview'!Z$213</f>
        <v>174817.34070333588</v>
      </c>
      <c r="AA198" s="88">
        <f>AA191*'Financial Overview'!AA$213</f>
        <v>178313.68751740261</v>
      </c>
    </row>
    <row r="199" spans="1:27" x14ac:dyDescent="0.45">
      <c r="A199" s="37"/>
      <c r="B199" s="4"/>
      <c r="C199" s="2" t="s">
        <v>114</v>
      </c>
      <c r="D199" s="2" t="str">
        <f t="shared" si="17"/>
        <v>Processing centre supervision &amp; monitoring staff</v>
      </c>
      <c r="E199" s="23" t="s">
        <v>806</v>
      </c>
      <c r="G199" s="88">
        <f>G192*'Financial Overview'!H$213</f>
        <v>216000</v>
      </c>
      <c r="H199" s="677">
        <f>H192*'Financial Overview'!H$213</f>
        <v>220320</v>
      </c>
      <c r="I199" s="88">
        <f>I192*'Financial Overview'!I$213</f>
        <v>224726.39999999999</v>
      </c>
      <c r="J199" s="88">
        <f>J192*'Financial Overview'!J$213</f>
        <v>229220.92799999999</v>
      </c>
      <c r="K199" s="88">
        <f>K192*'Financial Overview'!K$213</f>
        <v>233805.34655999998</v>
      </c>
      <c r="L199" s="88">
        <f>L192*'Financial Overview'!L$213</f>
        <v>238481.45349119999</v>
      </c>
      <c r="M199" s="88">
        <f>M192*'Financial Overview'!M$213</f>
        <v>243251.082561024</v>
      </c>
      <c r="N199" s="88">
        <f>N192*'Financial Overview'!N$213</f>
        <v>248116.10421224448</v>
      </c>
      <c r="O199" s="88">
        <f>O192*'Financial Overview'!O$213</f>
        <v>253078.42629648937</v>
      </c>
      <c r="P199" s="88">
        <f>P192*'Financial Overview'!P$213</f>
        <v>258139.99482241916</v>
      </c>
      <c r="Q199" s="88">
        <f>Q192*'Financial Overview'!Q$213</f>
        <v>263302.79471886758</v>
      </c>
      <c r="R199" s="88">
        <f>R192*'Financial Overview'!R$213</f>
        <v>268568.85061324493</v>
      </c>
      <c r="S199" s="88">
        <f>S192*'Financial Overview'!S$213</f>
        <v>273940.22762550984</v>
      </c>
      <c r="T199" s="88">
        <f>T192*'Financial Overview'!T$213</f>
        <v>279419.03217802005</v>
      </c>
      <c r="U199" s="88">
        <f>U192*'Financial Overview'!U$213</f>
        <v>285007.41282158048</v>
      </c>
      <c r="V199" s="88">
        <f>V192*'Financial Overview'!V$213</f>
        <v>290707.56107801211</v>
      </c>
      <c r="W199" s="88">
        <f>W192*'Financial Overview'!W$213</f>
        <v>296521.71229957236</v>
      </c>
      <c r="X199" s="88">
        <f>X192*'Financial Overview'!X$213</f>
        <v>302452.14654556382</v>
      </c>
      <c r="Y199" s="88">
        <f>Y192*'Financial Overview'!Y$213</f>
        <v>308501.18947647512</v>
      </c>
      <c r="Z199" s="88">
        <f>Z192*'Financial Overview'!Z$213</f>
        <v>314671.21326600463</v>
      </c>
      <c r="AA199" s="88">
        <f>AA192*'Financial Overview'!AA$213</f>
        <v>320964.63753132476</v>
      </c>
    </row>
    <row r="200" spans="1:27" x14ac:dyDescent="0.45">
      <c r="A200" s="37"/>
      <c r="B200" s="4"/>
      <c r="C200" s="2" t="s">
        <v>114</v>
      </c>
      <c r="D200" s="2" t="str">
        <f t="shared" si="17"/>
        <v>Processing centre transport costs</v>
      </c>
      <c r="E200" s="23" t="s">
        <v>806</v>
      </c>
      <c r="G200" s="88">
        <f>G193*'Financial Overview'!G$213</f>
        <v>0</v>
      </c>
      <c r="H200" s="677">
        <f>H193*'Financial Overview'!H$213</f>
        <v>146880</v>
      </c>
      <c r="I200" s="88">
        <f>I193*'Financial Overview'!I$213</f>
        <v>149817.60000000001</v>
      </c>
      <c r="J200" s="88">
        <f>J193*'Financial Overview'!J$213</f>
        <v>152813.95200000002</v>
      </c>
      <c r="K200" s="88">
        <f>K193*'Financial Overview'!K$213</f>
        <v>155870.23104000001</v>
      </c>
      <c r="L200" s="88">
        <f>L193*'Financial Overview'!L$213</f>
        <v>158987.63566080001</v>
      </c>
      <c r="M200" s="88">
        <f>M193*'Financial Overview'!M$213</f>
        <v>162167.38837401601</v>
      </c>
      <c r="N200" s="88">
        <f>N193*'Financial Overview'!N$213</f>
        <v>165410.73614149634</v>
      </c>
      <c r="O200" s="88">
        <f>O193*'Financial Overview'!O$213</f>
        <v>168718.95086432627</v>
      </c>
      <c r="P200" s="88">
        <f>P193*'Financial Overview'!P$213</f>
        <v>172093.32988161279</v>
      </c>
      <c r="Q200" s="88">
        <f>Q193*'Financial Overview'!Q$213</f>
        <v>175535.19647924506</v>
      </c>
      <c r="R200" s="88">
        <f>R193*'Financial Overview'!R$213</f>
        <v>179045.90040882997</v>
      </c>
      <c r="S200" s="88">
        <f>S193*'Financial Overview'!S$213</f>
        <v>182626.81841700658</v>
      </c>
      <c r="T200" s="88">
        <f>T193*'Financial Overview'!T$213</f>
        <v>186279.35478534672</v>
      </c>
      <c r="U200" s="88">
        <f>U193*'Financial Overview'!U$213</f>
        <v>190004.94188105364</v>
      </c>
      <c r="V200" s="88">
        <f>V193*'Financial Overview'!V$213</f>
        <v>193805.04071867472</v>
      </c>
      <c r="W200" s="88">
        <f>W193*'Financial Overview'!W$213</f>
        <v>197681.14153304821</v>
      </c>
      <c r="X200" s="88">
        <f>X193*'Financial Overview'!X$213</f>
        <v>201634.76436370917</v>
      </c>
      <c r="Y200" s="88">
        <f>Y193*'Financial Overview'!Y$213</f>
        <v>205667.45965098336</v>
      </c>
      <c r="Z200" s="88">
        <f>Z193*'Financial Overview'!Z$213</f>
        <v>209780.80884400304</v>
      </c>
      <c r="AA200" s="88">
        <f>AA193*'Financial Overview'!AA$213</f>
        <v>213976.42502088309</v>
      </c>
    </row>
    <row r="201" spans="1:27" x14ac:dyDescent="0.45">
      <c r="A201" s="37"/>
      <c r="B201" s="4"/>
      <c r="C201" s="2" t="s">
        <v>114</v>
      </c>
      <c r="D201" s="2" t="str">
        <f t="shared" si="17"/>
        <v>Forestry fund</v>
      </c>
      <c r="E201" s="23" t="s">
        <v>806</v>
      </c>
      <c r="G201" s="88">
        <f>G194*'Financial Overview'!G$213</f>
        <v>0</v>
      </c>
      <c r="H201" s="677">
        <f>H194*'Financial Overview'!H$213</f>
        <v>61200</v>
      </c>
      <c r="I201" s="88">
        <f>I194*'Financial Overview'!I$213</f>
        <v>62424</v>
      </c>
      <c r="J201" s="88">
        <f>J194*'Financial Overview'!J$213</f>
        <v>63672.480000000003</v>
      </c>
      <c r="K201" s="88">
        <f>K194*'Financial Overview'!K$213</f>
        <v>64945.929600000003</v>
      </c>
      <c r="L201" s="88">
        <f>L194*'Financial Overview'!L$213</f>
        <v>66244.848192000005</v>
      </c>
      <c r="M201" s="88">
        <f>M194*'Financial Overview'!M$213</f>
        <v>67569.745155840006</v>
      </c>
      <c r="N201" s="88">
        <f>N194*'Financial Overview'!N$213</f>
        <v>68921.140058956807</v>
      </c>
      <c r="O201" s="88">
        <f>O194*'Financial Overview'!O$213</f>
        <v>70299.562860135949</v>
      </c>
      <c r="P201" s="88">
        <f>P194*'Financial Overview'!P$213</f>
        <v>71705.554117338674</v>
      </c>
      <c r="Q201" s="88">
        <f>Q194*'Financial Overview'!Q$213</f>
        <v>73139.665199685449</v>
      </c>
      <c r="R201" s="88">
        <f>R194*'Financial Overview'!R$213</f>
        <v>74602.458503679154</v>
      </c>
      <c r="S201" s="88">
        <f>S194*'Financial Overview'!S$213</f>
        <v>76094.507673752742</v>
      </c>
      <c r="T201" s="88">
        <f>T194*'Financial Overview'!T$213</f>
        <v>77616.397827227804</v>
      </c>
      <c r="U201" s="88">
        <f>U194*'Financial Overview'!U$213</f>
        <v>79168.725783772359</v>
      </c>
      <c r="V201" s="88">
        <f>V194*'Financial Overview'!V$213</f>
        <v>80752.100299447804</v>
      </c>
      <c r="W201" s="88">
        <f>W194*'Financial Overview'!W$213</f>
        <v>82367.142305436762</v>
      </c>
      <c r="X201" s="88">
        <f>X194*'Financial Overview'!X$213</f>
        <v>84014.485151545494</v>
      </c>
      <c r="Y201" s="88">
        <f>Y194*'Financial Overview'!Y$213</f>
        <v>85694.774854576404</v>
      </c>
      <c r="Z201" s="88">
        <f>Z194*'Financial Overview'!Z$213</f>
        <v>87408.670351667941</v>
      </c>
      <c r="AA201" s="88">
        <f>AA194*'Financial Overview'!AA$213</f>
        <v>89156.843758701303</v>
      </c>
    </row>
    <row r="202" spans="1:27" x14ac:dyDescent="0.45">
      <c r="A202" s="37"/>
      <c r="B202" s="4"/>
      <c r="C202" s="2" t="s">
        <v>114</v>
      </c>
      <c r="D202" s="2" t="str">
        <f t="shared" si="17"/>
        <v>Shea kernels purchased from women's groups</v>
      </c>
      <c r="E202" s="23" t="s">
        <v>806</v>
      </c>
      <c r="G202" s="88">
        <f>G195*'Financial Overview'!G$213</f>
        <v>0</v>
      </c>
      <c r="H202" s="88">
        <f>H195*'Financial Overview'!H$213</f>
        <v>3060000</v>
      </c>
      <c r="I202" s="88">
        <f>I195*'Financial Overview'!I$213</f>
        <v>3121200</v>
      </c>
      <c r="J202" s="88">
        <f>J195*'Financial Overview'!J$213</f>
        <v>3183624</v>
      </c>
      <c r="K202" s="88">
        <f>K195*'Financial Overview'!K$213</f>
        <v>3247296.48</v>
      </c>
      <c r="L202" s="88">
        <f>L195*'Financial Overview'!L$213</f>
        <v>3312242.4095999999</v>
      </c>
      <c r="M202" s="88">
        <f>M195*'Financial Overview'!M$213</f>
        <v>3378487.2577919997</v>
      </c>
      <c r="N202" s="88">
        <f>N195*'Financial Overview'!N$213</f>
        <v>3446057.0029478399</v>
      </c>
      <c r="O202" s="88">
        <f>O195*'Financial Overview'!O$213</f>
        <v>3514978.1430067969</v>
      </c>
      <c r="P202" s="88">
        <f>P195*'Financial Overview'!P$213</f>
        <v>3585277.7058669329</v>
      </c>
      <c r="Q202" s="88">
        <f>Q195*'Financial Overview'!Q$213</f>
        <v>3656983.2599842716</v>
      </c>
      <c r="R202" s="88">
        <f>R195*'Financial Overview'!R$213</f>
        <v>3730122.925183957</v>
      </c>
      <c r="S202" s="88">
        <f>S195*'Financial Overview'!S$213</f>
        <v>3804725.3836876363</v>
      </c>
      <c r="T202" s="88">
        <f>T195*'Financial Overview'!T$213</f>
        <v>3880819.8913613893</v>
      </c>
      <c r="U202" s="88">
        <f>U195*'Financial Overview'!U$213</f>
        <v>3958436.2891886174</v>
      </c>
      <c r="V202" s="88">
        <f>V195*'Financial Overview'!V$213</f>
        <v>4037605.0149723897</v>
      </c>
      <c r="W202" s="88">
        <f>W195*'Financial Overview'!W$213</f>
        <v>4118357.1152718375</v>
      </c>
      <c r="X202" s="88">
        <f>X195*'Financial Overview'!X$213</f>
        <v>4200724.257577274</v>
      </c>
      <c r="Y202" s="88">
        <f>Y195*'Financial Overview'!Y$213</f>
        <v>4284738.7427288191</v>
      </c>
      <c r="Z202" s="88">
        <f>Z195*'Financial Overview'!Z$213</f>
        <v>4370433.5175833954</v>
      </c>
      <c r="AA202" s="88">
        <f>AA195*'Financial Overview'!AA$213</f>
        <v>4457842.1879350636</v>
      </c>
    </row>
    <row r="203" spans="1:27" x14ac:dyDescent="0.45">
      <c r="A203" s="37"/>
      <c r="B203" s="4"/>
      <c r="C203" s="4"/>
      <c r="E203" s="3"/>
      <c r="F203" s="38"/>
      <c r="G203" s="47" t="s">
        <v>22</v>
      </c>
      <c r="H203" s="47" t="s">
        <v>22</v>
      </c>
      <c r="I203" s="47" t="s">
        <v>22</v>
      </c>
      <c r="J203" s="47" t="s">
        <v>22</v>
      </c>
      <c r="K203" s="47" t="s">
        <v>22</v>
      </c>
      <c r="L203" s="47" t="s">
        <v>22</v>
      </c>
      <c r="M203" s="47" t="s">
        <v>22</v>
      </c>
      <c r="N203" s="47" t="s">
        <v>22</v>
      </c>
      <c r="O203" s="47" t="s">
        <v>22</v>
      </c>
      <c r="P203" s="47" t="s">
        <v>22</v>
      </c>
      <c r="Q203" s="47" t="s">
        <v>22</v>
      </c>
      <c r="R203" s="47" t="s">
        <v>22</v>
      </c>
      <c r="S203" s="47" t="s">
        <v>22</v>
      </c>
      <c r="T203" s="47" t="s">
        <v>22</v>
      </c>
      <c r="U203" s="47" t="s">
        <v>22</v>
      </c>
      <c r="V203" s="47" t="s">
        <v>22</v>
      </c>
      <c r="W203" s="47" t="s">
        <v>22</v>
      </c>
      <c r="X203" s="47" t="s">
        <v>22</v>
      </c>
      <c r="Y203" s="47" t="s">
        <v>22</v>
      </c>
      <c r="Z203" s="47" t="s">
        <v>22</v>
      </c>
      <c r="AA203" s="47" t="s">
        <v>22</v>
      </c>
    </row>
    <row r="204" spans="1:27" s="4" customFormat="1" x14ac:dyDescent="0.45">
      <c r="A204" s="41"/>
      <c r="D204" s="4" t="s">
        <v>527</v>
      </c>
      <c r="E204" s="42" t="s">
        <v>806</v>
      </c>
      <c r="F204" s="43"/>
      <c r="G204" s="132">
        <f t="shared" ref="G204:AA204" si="18">SUM(G197:G202)</f>
        <v>616000</v>
      </c>
      <c r="H204" s="132">
        <f t="shared" si="18"/>
        <v>4018800</v>
      </c>
      <c r="I204" s="132">
        <f t="shared" si="18"/>
        <v>4099176</v>
      </c>
      <c r="J204" s="132">
        <f t="shared" si="18"/>
        <v>4181159.52</v>
      </c>
      <c r="K204" s="132">
        <f t="shared" si="18"/>
        <v>4264782.7104000002</v>
      </c>
      <c r="L204" s="132">
        <f t="shared" si="18"/>
        <v>4350078.364608</v>
      </c>
      <c r="M204" s="132">
        <f t="shared" si="18"/>
        <v>4437079.9319001604</v>
      </c>
      <c r="N204" s="132">
        <f t="shared" si="18"/>
        <v>4525821.5305381631</v>
      </c>
      <c r="O204" s="132">
        <f t="shared" si="18"/>
        <v>4616337.961148927</v>
      </c>
      <c r="P204" s="132">
        <f t="shared" si="18"/>
        <v>4708664.7203719057</v>
      </c>
      <c r="Q204" s="132">
        <f t="shared" si="18"/>
        <v>4802838.0147793433</v>
      </c>
      <c r="R204" s="132">
        <f t="shared" si="18"/>
        <v>4898894.7750749309</v>
      </c>
      <c r="S204" s="132">
        <f t="shared" si="18"/>
        <v>4996872.670576429</v>
      </c>
      <c r="T204" s="132">
        <f t="shared" si="18"/>
        <v>5096810.1239879578</v>
      </c>
      <c r="U204" s="132">
        <f t="shared" si="18"/>
        <v>5198746.3264677171</v>
      </c>
      <c r="V204" s="132">
        <f t="shared" si="18"/>
        <v>5302721.2529970724</v>
      </c>
      <c r="W204" s="132">
        <f t="shared" si="18"/>
        <v>5408775.6780570131</v>
      </c>
      <c r="X204" s="132">
        <f t="shared" si="18"/>
        <v>5516951.1916181538</v>
      </c>
      <c r="Y204" s="132">
        <f t="shared" si="18"/>
        <v>5627290.215450516</v>
      </c>
      <c r="Z204" s="132">
        <f t="shared" si="18"/>
        <v>5739836.0197595265</v>
      </c>
      <c r="AA204" s="132">
        <f t="shared" si="18"/>
        <v>5854632.7401547171</v>
      </c>
    </row>
    <row r="205" spans="1:27" x14ac:dyDescent="0.45">
      <c r="A205" s="37"/>
      <c r="B205" s="4"/>
      <c r="C205" s="4"/>
      <c r="E205" s="3"/>
      <c r="F205" s="38"/>
      <c r="G205" s="47" t="s">
        <v>22</v>
      </c>
      <c r="H205" s="47" t="s">
        <v>22</v>
      </c>
      <c r="I205" s="47" t="s">
        <v>22</v>
      </c>
      <c r="J205" s="47" t="s">
        <v>22</v>
      </c>
      <c r="K205" s="47" t="s">
        <v>22</v>
      </c>
      <c r="L205" s="47" t="s">
        <v>22</v>
      </c>
      <c r="M205" s="47" t="s">
        <v>22</v>
      </c>
      <c r="N205" s="47" t="s">
        <v>22</v>
      </c>
      <c r="O205" s="47" t="s">
        <v>22</v>
      </c>
      <c r="P205" s="47" t="s">
        <v>22</v>
      </c>
      <c r="Q205" s="47" t="s">
        <v>22</v>
      </c>
      <c r="R205" s="47" t="s">
        <v>22</v>
      </c>
      <c r="S205" s="47" t="s">
        <v>22</v>
      </c>
      <c r="T205" s="47" t="s">
        <v>22</v>
      </c>
      <c r="U205" s="47" t="s">
        <v>22</v>
      </c>
      <c r="V205" s="47" t="s">
        <v>22</v>
      </c>
      <c r="W205" s="47" t="s">
        <v>22</v>
      </c>
      <c r="X205" s="47" t="s">
        <v>22</v>
      </c>
      <c r="Y205" s="47" t="s">
        <v>22</v>
      </c>
      <c r="Z205" s="47" t="s">
        <v>22</v>
      </c>
      <c r="AA205" s="47" t="s">
        <v>22</v>
      </c>
    </row>
    <row r="206" spans="1:27" s="4" customFormat="1" x14ac:dyDescent="0.45">
      <c r="A206" s="41"/>
      <c r="D206" s="4" t="s">
        <v>111</v>
      </c>
      <c r="E206" s="42" t="s">
        <v>806</v>
      </c>
      <c r="F206" s="43"/>
      <c r="G206" s="44">
        <f>G204+G186+G169</f>
        <v>2128800</v>
      </c>
      <c r="H206" s="44">
        <f t="shared" ref="H206:AA206" si="19">H204+H186+H169</f>
        <v>5953536</v>
      </c>
      <c r="I206" s="44">
        <f t="shared" si="19"/>
        <v>6072606.7200000007</v>
      </c>
      <c r="J206" s="44">
        <f t="shared" si="19"/>
        <v>6194058.8544000005</v>
      </c>
      <c r="K206" s="44">
        <f t="shared" si="19"/>
        <v>6317940.0314880004</v>
      </c>
      <c r="L206" s="44">
        <f t="shared" si="19"/>
        <v>6444298.8321177606</v>
      </c>
      <c r="M206" s="44">
        <f t="shared" si="19"/>
        <v>6573184.8087601159</v>
      </c>
      <c r="N206" s="44">
        <f t="shared" si="19"/>
        <v>6704648.5049353177</v>
      </c>
      <c r="O206" s="44">
        <f t="shared" si="19"/>
        <v>6838741.4750340246</v>
      </c>
      <c r="P206" s="44">
        <f t="shared" si="19"/>
        <v>6975516.3045347054</v>
      </c>
      <c r="Q206" s="44">
        <f t="shared" si="19"/>
        <v>7115026.6306253988</v>
      </c>
      <c r="R206" s="44">
        <f t="shared" si="19"/>
        <v>7257327.1632379079</v>
      </c>
      <c r="S206" s="44">
        <f t="shared" si="19"/>
        <v>7402473.7065026658</v>
      </c>
      <c r="T206" s="44">
        <f t="shared" si="19"/>
        <v>7550523.1806327188</v>
      </c>
      <c r="U206" s="44">
        <f t="shared" si="19"/>
        <v>7701533.644245374</v>
      </c>
      <c r="V206" s="44">
        <f t="shared" si="19"/>
        <v>7855564.3171302825</v>
      </c>
      <c r="W206" s="44">
        <f t="shared" si="19"/>
        <v>8012675.6034728875</v>
      </c>
      <c r="X206" s="44">
        <f t="shared" si="19"/>
        <v>8172929.1155423466</v>
      </c>
      <c r="Y206" s="44">
        <f t="shared" si="19"/>
        <v>8336387.6978531908</v>
      </c>
      <c r="Z206" s="44">
        <f t="shared" si="19"/>
        <v>8503115.4518102556</v>
      </c>
      <c r="AA206" s="44">
        <f t="shared" si="19"/>
        <v>8673177.7608464602</v>
      </c>
    </row>
    <row r="207" spans="1:27" x14ac:dyDescent="0.45">
      <c r="A207" s="37"/>
      <c r="F207" s="38"/>
      <c r="G207" s="46"/>
      <c r="H207" s="46"/>
      <c r="I207" s="46"/>
      <c r="J207" s="46"/>
      <c r="K207" s="46"/>
      <c r="L207" s="46"/>
      <c r="M207" s="46"/>
      <c r="N207" s="46"/>
      <c r="O207" s="46"/>
      <c r="P207" s="46"/>
      <c r="Q207" s="46"/>
      <c r="R207" s="46"/>
      <c r="S207" s="46"/>
      <c r="T207" s="46"/>
      <c r="U207" s="46"/>
      <c r="V207" s="46"/>
      <c r="W207" s="46"/>
      <c r="X207" s="46"/>
      <c r="Y207" s="46"/>
      <c r="Z207" s="46"/>
      <c r="AA207" s="46"/>
    </row>
    <row r="208" spans="1:27" x14ac:dyDescent="0.45">
      <c r="A208" s="37"/>
      <c r="B208" s="4" t="s">
        <v>4</v>
      </c>
      <c r="C208" s="4"/>
      <c r="F208" s="24"/>
      <c r="G208" s="46"/>
      <c r="H208" s="46"/>
      <c r="I208" s="46"/>
      <c r="J208" s="46"/>
      <c r="K208" s="46"/>
      <c r="L208" s="46"/>
      <c r="M208" s="46"/>
      <c r="N208" s="46"/>
      <c r="O208" s="46"/>
      <c r="P208" s="46"/>
      <c r="Q208" s="46"/>
      <c r="R208" s="46"/>
      <c r="S208" s="46"/>
      <c r="T208" s="46"/>
      <c r="U208" s="46"/>
      <c r="V208" s="46"/>
      <c r="W208" s="46"/>
      <c r="X208" s="46"/>
      <c r="Y208" s="46"/>
      <c r="Z208" s="46"/>
      <c r="AA208" s="46"/>
    </row>
    <row r="209" spans="1:27" x14ac:dyDescent="0.45">
      <c r="A209" s="37"/>
      <c r="B209" s="4"/>
      <c r="C209" s="2" t="s">
        <v>114</v>
      </c>
      <c r="D209" s="2" t="s">
        <v>541</v>
      </c>
      <c r="E209" s="23" t="s">
        <v>533</v>
      </c>
      <c r="G209" s="83">
        <f>Assumptions!H17</f>
        <v>8</v>
      </c>
      <c r="H209" s="83">
        <f>Assumptions!I17</f>
        <v>0</v>
      </c>
      <c r="I209" s="83">
        <f>Assumptions!J17</f>
        <v>0</v>
      </c>
      <c r="J209" s="83">
        <f>Assumptions!K17</f>
        <v>0</v>
      </c>
      <c r="K209" s="83">
        <f>Assumptions!L17</f>
        <v>0</v>
      </c>
      <c r="L209" s="83">
        <f>Assumptions!M17</f>
        <v>0</v>
      </c>
      <c r="M209" s="83">
        <f>Assumptions!N17</f>
        <v>0</v>
      </c>
      <c r="N209" s="83">
        <f>Assumptions!O17</f>
        <v>0</v>
      </c>
      <c r="O209" s="83">
        <f>Assumptions!P17</f>
        <v>0</v>
      </c>
      <c r="P209" s="83">
        <f>Assumptions!Q17</f>
        <v>0</v>
      </c>
      <c r="Q209" s="83">
        <f>Assumptions!R17</f>
        <v>0</v>
      </c>
      <c r="R209" s="83">
        <f>Assumptions!S17</f>
        <v>0</v>
      </c>
      <c r="S209" s="83">
        <f>Assumptions!T17</f>
        <v>0</v>
      </c>
      <c r="T209" s="83">
        <f>Assumptions!U17</f>
        <v>0</v>
      </c>
      <c r="U209" s="83">
        <f>Assumptions!V17</f>
        <v>0</v>
      </c>
      <c r="V209" s="83">
        <f>Assumptions!W17</f>
        <v>0</v>
      </c>
      <c r="W209" s="83">
        <f>Assumptions!X17</f>
        <v>0</v>
      </c>
      <c r="X209" s="83">
        <f>Assumptions!Y17</f>
        <v>0</v>
      </c>
      <c r="Y209" s="83">
        <f>Assumptions!Z17</f>
        <v>0</v>
      </c>
      <c r="Z209" s="83">
        <f>Assumptions!AA17</f>
        <v>0</v>
      </c>
      <c r="AA209" s="83">
        <f>Assumptions!AB17</f>
        <v>0</v>
      </c>
    </row>
    <row r="210" spans="1:27" x14ac:dyDescent="0.45">
      <c r="A210" s="37"/>
      <c r="B210" s="4"/>
      <c r="C210" s="2" t="s">
        <v>114</v>
      </c>
      <c r="D210" s="2" t="s">
        <v>514</v>
      </c>
      <c r="E210" s="23" t="s">
        <v>533</v>
      </c>
      <c r="G210" s="88">
        <v>0</v>
      </c>
      <c r="H210" s="88">
        <f>SUM($F209:G209)</f>
        <v>8</v>
      </c>
      <c r="I210" s="88">
        <f>SUM($F209:H209)</f>
        <v>8</v>
      </c>
      <c r="J210" s="88">
        <f>SUM($F209:I209)</f>
        <v>8</v>
      </c>
      <c r="K210" s="88">
        <f>SUM($F209:J209)</f>
        <v>8</v>
      </c>
      <c r="L210" s="88">
        <f>SUM($F209:K209)</f>
        <v>8</v>
      </c>
      <c r="M210" s="88">
        <f>SUM($F209:L209)</f>
        <v>8</v>
      </c>
      <c r="N210" s="88">
        <f>SUM($F209:M209)</f>
        <v>8</v>
      </c>
      <c r="O210" s="88">
        <f>SUM($F209:N209)</f>
        <v>8</v>
      </c>
      <c r="P210" s="88">
        <f>SUM($F209:O209)</f>
        <v>8</v>
      </c>
      <c r="Q210" s="88">
        <f>SUM($F209:P209)</f>
        <v>8</v>
      </c>
      <c r="R210" s="88">
        <f>SUM($F209:Q209)</f>
        <v>8</v>
      </c>
      <c r="S210" s="88">
        <f>SUM($F209:R209)</f>
        <v>8</v>
      </c>
      <c r="T210" s="88">
        <f>SUM($F209:S209)</f>
        <v>8</v>
      </c>
      <c r="U210" s="88">
        <f>SUM($F209:T209)</f>
        <v>8</v>
      </c>
      <c r="V210" s="88">
        <f>SUM($F209:U209)</f>
        <v>8</v>
      </c>
      <c r="W210" s="88">
        <f>SUM($F209:V209)</f>
        <v>8</v>
      </c>
      <c r="X210" s="88">
        <f>SUM($F209:W209)</f>
        <v>8</v>
      </c>
      <c r="Y210" s="88">
        <f>SUM($F209:X209)</f>
        <v>8</v>
      </c>
      <c r="Z210" s="88">
        <f>SUM($F209:Y209)</f>
        <v>8</v>
      </c>
      <c r="AA210" s="88">
        <f>SUM($F209:Z209)</f>
        <v>8</v>
      </c>
    </row>
    <row r="211" spans="1:27" customFormat="1" x14ac:dyDescent="0.45"/>
    <row r="212" spans="1:27" x14ac:dyDescent="0.45">
      <c r="A212" s="37"/>
      <c r="B212" s="4"/>
      <c r="C212" s="2" t="s">
        <v>114</v>
      </c>
      <c r="D212" s="2" t="s">
        <v>542</v>
      </c>
      <c r="E212" s="23" t="s">
        <v>532</v>
      </c>
      <c r="G212" s="83">
        <f>Assumptions!H18</f>
        <v>4</v>
      </c>
      <c r="H212" s="83">
        <f>Assumptions!I18</f>
        <v>0</v>
      </c>
      <c r="I212" s="83">
        <f>Assumptions!J18</f>
        <v>0</v>
      </c>
      <c r="J212" s="83">
        <f>Assumptions!K18</f>
        <v>0</v>
      </c>
      <c r="K212" s="83">
        <f>Assumptions!L18</f>
        <v>0</v>
      </c>
      <c r="L212" s="83">
        <f>Assumptions!M18</f>
        <v>0</v>
      </c>
      <c r="M212" s="83">
        <f>Assumptions!N18</f>
        <v>0</v>
      </c>
      <c r="N212" s="83">
        <f>Assumptions!O18</f>
        <v>0</v>
      </c>
      <c r="O212" s="83">
        <f>Assumptions!P18</f>
        <v>0</v>
      </c>
      <c r="P212" s="83">
        <f>Assumptions!Q18</f>
        <v>0</v>
      </c>
      <c r="Q212" s="83">
        <f>Assumptions!R18</f>
        <v>0</v>
      </c>
      <c r="R212" s="83">
        <f>Assumptions!S18</f>
        <v>0</v>
      </c>
      <c r="S212" s="83">
        <f>Assumptions!T18</f>
        <v>0</v>
      </c>
      <c r="T212" s="83">
        <f>Assumptions!U18</f>
        <v>0</v>
      </c>
      <c r="U212" s="83">
        <f>Assumptions!V18</f>
        <v>0</v>
      </c>
      <c r="V212" s="83">
        <f>Assumptions!W18</f>
        <v>0</v>
      </c>
      <c r="W212" s="83">
        <f>Assumptions!X18</f>
        <v>0</v>
      </c>
      <c r="X212" s="83">
        <f>Assumptions!Y18</f>
        <v>0</v>
      </c>
      <c r="Y212" s="83">
        <f>Assumptions!Z18</f>
        <v>0</v>
      </c>
      <c r="Z212" s="83">
        <f>Assumptions!AA18</f>
        <v>0</v>
      </c>
      <c r="AA212" s="83">
        <f>Assumptions!AB18</f>
        <v>0</v>
      </c>
    </row>
    <row r="213" spans="1:27" x14ac:dyDescent="0.45">
      <c r="A213" s="37"/>
      <c r="B213" s="4"/>
      <c r="C213" s="2" t="s">
        <v>114</v>
      </c>
      <c r="D213" s="2" t="s">
        <v>540</v>
      </c>
      <c r="E213" s="23" t="s">
        <v>532</v>
      </c>
      <c r="G213" s="88">
        <v>0</v>
      </c>
      <c r="H213" s="88">
        <f>SUM($F212:G212)</f>
        <v>4</v>
      </c>
      <c r="I213" s="88">
        <f>SUM($F212:H212)</f>
        <v>4</v>
      </c>
      <c r="J213" s="88">
        <f>SUM($F212:I212)</f>
        <v>4</v>
      </c>
      <c r="K213" s="88">
        <f>SUM($F212:J212)</f>
        <v>4</v>
      </c>
      <c r="L213" s="88">
        <f>SUM($F212:K212)</f>
        <v>4</v>
      </c>
      <c r="M213" s="88">
        <f>SUM($F212:L212)</f>
        <v>4</v>
      </c>
      <c r="N213" s="88">
        <f>SUM($F212:M212)</f>
        <v>4</v>
      </c>
      <c r="O213" s="88">
        <f>SUM($F212:N212)</f>
        <v>4</v>
      </c>
      <c r="P213" s="88">
        <f>SUM($F212:O212)</f>
        <v>4</v>
      </c>
      <c r="Q213" s="88">
        <f>SUM($F212:P212)</f>
        <v>4</v>
      </c>
      <c r="R213" s="88">
        <f>SUM($F212:Q212)</f>
        <v>4</v>
      </c>
      <c r="S213" s="88">
        <f>SUM($F212:R212)</f>
        <v>4</v>
      </c>
      <c r="T213" s="88">
        <f>SUM($F212:S212)</f>
        <v>4</v>
      </c>
      <c r="U213" s="88">
        <f>SUM($F212:T212)</f>
        <v>4</v>
      </c>
      <c r="V213" s="88">
        <f>SUM($F212:U212)</f>
        <v>4</v>
      </c>
      <c r="W213" s="88">
        <f>SUM($F212:V212)</f>
        <v>4</v>
      </c>
      <c r="X213" s="88">
        <f>SUM($F212:W212)</f>
        <v>4</v>
      </c>
      <c r="Y213" s="88">
        <f>SUM($F212:X212)</f>
        <v>4</v>
      </c>
      <c r="Z213" s="88">
        <f>SUM($F212:Y212)</f>
        <v>4</v>
      </c>
      <c r="AA213" s="88">
        <f>SUM($F212:Z212)</f>
        <v>4</v>
      </c>
    </row>
    <row r="214" spans="1:27" x14ac:dyDescent="0.45">
      <c r="A214" s="37"/>
      <c r="B214" s="4"/>
      <c r="C214" s="4"/>
      <c r="G214" s="46"/>
      <c r="H214" s="46"/>
      <c r="I214" s="46"/>
      <c r="J214" s="46"/>
      <c r="K214" s="46"/>
      <c r="L214" s="46"/>
      <c r="M214" s="46"/>
      <c r="N214" s="46"/>
      <c r="O214" s="46"/>
      <c r="P214" s="46"/>
      <c r="Q214" s="46"/>
      <c r="R214" s="46"/>
      <c r="S214" s="46"/>
      <c r="T214" s="46"/>
      <c r="U214" s="46"/>
      <c r="V214" s="46"/>
      <c r="W214" s="46"/>
      <c r="X214" s="46"/>
      <c r="Y214" s="46"/>
      <c r="Z214" s="46"/>
      <c r="AA214" s="46"/>
    </row>
    <row r="215" spans="1:27" x14ac:dyDescent="0.45">
      <c r="A215" s="37"/>
      <c r="B215" s="4"/>
      <c r="C215" s="2" t="s">
        <v>114</v>
      </c>
      <c r="D215" s="2" t="s">
        <v>743</v>
      </c>
      <c r="E215" s="23" t="s">
        <v>744</v>
      </c>
      <c r="G215" s="84">
        <f>Assumptions!H27</f>
        <v>750</v>
      </c>
      <c r="H215" s="84">
        <f>Assumptions!I27</f>
        <v>750</v>
      </c>
      <c r="I215" s="84">
        <f>Assumptions!J27</f>
        <v>750</v>
      </c>
      <c r="J215" s="84">
        <f>Assumptions!K27</f>
        <v>750</v>
      </c>
      <c r="K215" s="84">
        <f>Assumptions!L27</f>
        <v>750</v>
      </c>
      <c r="L215" s="84">
        <f>Assumptions!M27</f>
        <v>750</v>
      </c>
      <c r="M215" s="84">
        <f>Assumptions!N27</f>
        <v>750</v>
      </c>
      <c r="N215" s="84">
        <f>Assumptions!O27</f>
        <v>750</v>
      </c>
      <c r="O215" s="84">
        <f>Assumptions!P27</f>
        <v>750</v>
      </c>
      <c r="P215" s="84">
        <f>Assumptions!Q27</f>
        <v>750</v>
      </c>
      <c r="Q215" s="84">
        <f>Assumptions!R27</f>
        <v>750</v>
      </c>
      <c r="R215" s="84">
        <f>Assumptions!S27</f>
        <v>750</v>
      </c>
      <c r="S215" s="84">
        <f>Assumptions!T27</f>
        <v>750</v>
      </c>
      <c r="T215" s="84">
        <f>Assumptions!U27</f>
        <v>750</v>
      </c>
      <c r="U215" s="84">
        <f>Assumptions!V27</f>
        <v>750</v>
      </c>
      <c r="V215" s="84">
        <f>Assumptions!W27</f>
        <v>750</v>
      </c>
      <c r="W215" s="84">
        <f>Assumptions!X27</f>
        <v>750</v>
      </c>
      <c r="X215" s="84">
        <f>Assumptions!Y27</f>
        <v>750</v>
      </c>
      <c r="Y215" s="84">
        <f>Assumptions!Z27</f>
        <v>750</v>
      </c>
      <c r="Z215" s="84">
        <f>Assumptions!AA27</f>
        <v>750</v>
      </c>
      <c r="AA215" s="84">
        <f>Assumptions!AB27</f>
        <v>750</v>
      </c>
    </row>
    <row r="216" spans="1:27" x14ac:dyDescent="0.45">
      <c r="A216" s="37"/>
      <c r="B216" s="4"/>
      <c r="C216" s="2" t="s">
        <v>114</v>
      </c>
      <c r="D216" s="2" t="s">
        <v>762</v>
      </c>
      <c r="E216" s="23" t="s">
        <v>744</v>
      </c>
      <c r="G216" s="84">
        <f>Assumptions!H29</f>
        <v>12</v>
      </c>
      <c r="H216" s="85">
        <f>Assumptions!I29</f>
        <v>12</v>
      </c>
      <c r="I216" s="85">
        <f>Assumptions!J29</f>
        <v>12</v>
      </c>
      <c r="J216" s="86">
        <f>Assumptions!K29</f>
        <v>12</v>
      </c>
      <c r="K216" s="86">
        <f>Assumptions!L29</f>
        <v>12</v>
      </c>
      <c r="L216" s="86">
        <f>Assumptions!M29</f>
        <v>12</v>
      </c>
      <c r="M216" s="86">
        <f>Assumptions!N29</f>
        <v>12</v>
      </c>
      <c r="N216" s="86">
        <f>Assumptions!O29</f>
        <v>12</v>
      </c>
      <c r="O216" s="86">
        <f>Assumptions!P29</f>
        <v>12</v>
      </c>
      <c r="P216" s="86">
        <f>Assumptions!Q29</f>
        <v>12</v>
      </c>
      <c r="Q216" s="86">
        <f>Assumptions!R29</f>
        <v>12</v>
      </c>
      <c r="R216" s="86">
        <f>Assumptions!S29</f>
        <v>12</v>
      </c>
      <c r="S216" s="86">
        <f>Assumptions!T29</f>
        <v>12</v>
      </c>
      <c r="T216" s="86">
        <f>Assumptions!U29</f>
        <v>12</v>
      </c>
      <c r="U216" s="86">
        <f>Assumptions!V29</f>
        <v>12</v>
      </c>
      <c r="V216" s="86">
        <f>Assumptions!W29</f>
        <v>12</v>
      </c>
      <c r="W216" s="86">
        <f>Assumptions!X29</f>
        <v>12</v>
      </c>
      <c r="X216" s="86">
        <f>Assumptions!Y29</f>
        <v>12</v>
      </c>
      <c r="Y216" s="86">
        <f>Assumptions!Z29</f>
        <v>12</v>
      </c>
      <c r="Z216" s="86">
        <f>Assumptions!AA29</f>
        <v>12</v>
      </c>
      <c r="AA216" s="86">
        <f>Assumptions!AB29</f>
        <v>12</v>
      </c>
    </row>
    <row r="217" spans="1:27" x14ac:dyDescent="0.45">
      <c r="A217" s="37"/>
      <c r="B217" s="4"/>
      <c r="C217" s="2" t="s">
        <v>114</v>
      </c>
      <c r="D217" s="2" t="s">
        <v>506</v>
      </c>
      <c r="E217" s="23" t="s">
        <v>534</v>
      </c>
      <c r="G217" s="84">
        <f>Assumptions!H28</f>
        <v>600</v>
      </c>
      <c r="H217" s="85">
        <f>Assumptions!I28</f>
        <v>600</v>
      </c>
      <c r="I217" s="85">
        <f>Assumptions!J28</f>
        <v>600</v>
      </c>
      <c r="J217" s="86">
        <f>Assumptions!K28</f>
        <v>600</v>
      </c>
      <c r="K217" s="86">
        <f>Assumptions!L28</f>
        <v>600</v>
      </c>
      <c r="L217" s="86">
        <f>Assumptions!M28</f>
        <v>600</v>
      </c>
      <c r="M217" s="86">
        <f>Assumptions!N28</f>
        <v>600</v>
      </c>
      <c r="N217" s="86">
        <f>Assumptions!O28</f>
        <v>600</v>
      </c>
      <c r="O217" s="86">
        <f>Assumptions!P28</f>
        <v>600</v>
      </c>
      <c r="P217" s="86">
        <f>Assumptions!Q28</f>
        <v>600</v>
      </c>
      <c r="Q217" s="86">
        <f>Assumptions!R28</f>
        <v>600</v>
      </c>
      <c r="R217" s="86">
        <f>Assumptions!S28</f>
        <v>600</v>
      </c>
      <c r="S217" s="86">
        <f>Assumptions!T28</f>
        <v>600</v>
      </c>
      <c r="T217" s="86">
        <f>Assumptions!U28</f>
        <v>600</v>
      </c>
      <c r="U217" s="86">
        <f>Assumptions!V28</f>
        <v>600</v>
      </c>
      <c r="V217" s="86">
        <f>Assumptions!W28</f>
        <v>600</v>
      </c>
      <c r="W217" s="86">
        <f>Assumptions!X28</f>
        <v>600</v>
      </c>
      <c r="X217" s="86">
        <f>Assumptions!Y28</f>
        <v>600</v>
      </c>
      <c r="Y217" s="86">
        <f>Assumptions!Z28</f>
        <v>600</v>
      </c>
      <c r="Z217" s="86">
        <f>Assumptions!AA28</f>
        <v>600</v>
      </c>
      <c r="AA217" s="86">
        <f>Assumptions!AB28</f>
        <v>600</v>
      </c>
    </row>
    <row r="218" spans="1:27" x14ac:dyDescent="0.45">
      <c r="A218" s="37"/>
      <c r="B218" s="4"/>
      <c r="C218" s="4"/>
      <c r="G218" s="87"/>
      <c r="H218" s="87"/>
      <c r="I218" s="87"/>
      <c r="J218" s="87"/>
      <c r="K218" s="87"/>
      <c r="L218" s="87"/>
      <c r="M218" s="87"/>
      <c r="N218" s="87"/>
      <c r="O218" s="87"/>
      <c r="P218" s="87"/>
      <c r="Q218" s="87"/>
      <c r="R218" s="87"/>
      <c r="S218" s="87"/>
      <c r="T218" s="87"/>
      <c r="U218" s="87"/>
      <c r="V218" s="87"/>
      <c r="W218" s="87"/>
      <c r="X218" s="87"/>
      <c r="Y218" s="87"/>
      <c r="Z218" s="87"/>
      <c r="AA218" s="87"/>
    </row>
    <row r="219" spans="1:27" x14ac:dyDescent="0.45">
      <c r="A219" s="37"/>
      <c r="B219" s="4"/>
      <c r="C219" s="2" t="s">
        <v>114</v>
      </c>
      <c r="D219" s="2" t="s">
        <v>745</v>
      </c>
      <c r="E219" s="23" t="s">
        <v>109</v>
      </c>
      <c r="G219" s="88">
        <f t="shared" ref="G219:AA219" si="20">G215*G210</f>
        <v>0</v>
      </c>
      <c r="H219" s="88">
        <f t="shared" si="20"/>
        <v>6000</v>
      </c>
      <c r="I219" s="88">
        <f t="shared" si="20"/>
        <v>6000</v>
      </c>
      <c r="J219" s="88">
        <f t="shared" si="20"/>
        <v>6000</v>
      </c>
      <c r="K219" s="88">
        <f t="shared" si="20"/>
        <v>6000</v>
      </c>
      <c r="L219" s="88">
        <f t="shared" si="20"/>
        <v>6000</v>
      </c>
      <c r="M219" s="88">
        <f t="shared" si="20"/>
        <v>6000</v>
      </c>
      <c r="N219" s="88">
        <f t="shared" si="20"/>
        <v>6000</v>
      </c>
      <c r="O219" s="88">
        <f t="shared" si="20"/>
        <v>6000</v>
      </c>
      <c r="P219" s="88">
        <f t="shared" si="20"/>
        <v>6000</v>
      </c>
      <c r="Q219" s="88">
        <f t="shared" si="20"/>
        <v>6000</v>
      </c>
      <c r="R219" s="88">
        <f t="shared" si="20"/>
        <v>6000</v>
      </c>
      <c r="S219" s="88">
        <f t="shared" si="20"/>
        <v>6000</v>
      </c>
      <c r="T219" s="88">
        <f t="shared" si="20"/>
        <v>6000</v>
      </c>
      <c r="U219" s="88">
        <f t="shared" si="20"/>
        <v>6000</v>
      </c>
      <c r="V219" s="88">
        <f t="shared" si="20"/>
        <v>6000</v>
      </c>
      <c r="W219" s="88">
        <f t="shared" si="20"/>
        <v>6000</v>
      </c>
      <c r="X219" s="88">
        <f t="shared" si="20"/>
        <v>6000</v>
      </c>
      <c r="Y219" s="88">
        <f t="shared" si="20"/>
        <v>6000</v>
      </c>
      <c r="Z219" s="88">
        <f t="shared" si="20"/>
        <v>6000</v>
      </c>
      <c r="AA219" s="88">
        <f t="shared" si="20"/>
        <v>6000</v>
      </c>
    </row>
    <row r="220" spans="1:27" x14ac:dyDescent="0.45">
      <c r="A220" s="37"/>
      <c r="B220" s="4"/>
      <c r="C220" s="2" t="s">
        <v>114</v>
      </c>
      <c r="D220" s="2" t="s">
        <v>143</v>
      </c>
      <c r="E220" s="23" t="s">
        <v>109</v>
      </c>
      <c r="G220" s="88">
        <f t="shared" ref="G220:AA220" si="21">G217*G213</f>
        <v>0</v>
      </c>
      <c r="H220" s="88">
        <f>H217*H213</f>
        <v>2400</v>
      </c>
      <c r="I220" s="88">
        <f t="shared" si="21"/>
        <v>2400</v>
      </c>
      <c r="J220" s="88">
        <f t="shared" si="21"/>
        <v>2400</v>
      </c>
      <c r="K220" s="88">
        <f t="shared" si="21"/>
        <v>2400</v>
      </c>
      <c r="L220" s="88">
        <f t="shared" si="21"/>
        <v>2400</v>
      </c>
      <c r="M220" s="88">
        <f t="shared" si="21"/>
        <v>2400</v>
      </c>
      <c r="N220" s="88">
        <f t="shared" si="21"/>
        <v>2400</v>
      </c>
      <c r="O220" s="88">
        <f t="shared" si="21"/>
        <v>2400</v>
      </c>
      <c r="P220" s="88">
        <f t="shared" si="21"/>
        <v>2400</v>
      </c>
      <c r="Q220" s="88">
        <f t="shared" si="21"/>
        <v>2400</v>
      </c>
      <c r="R220" s="88">
        <f t="shared" si="21"/>
        <v>2400</v>
      </c>
      <c r="S220" s="88">
        <f t="shared" si="21"/>
        <v>2400</v>
      </c>
      <c r="T220" s="88">
        <f t="shared" si="21"/>
        <v>2400</v>
      </c>
      <c r="U220" s="88">
        <f t="shared" si="21"/>
        <v>2400</v>
      </c>
      <c r="V220" s="88">
        <f t="shared" si="21"/>
        <v>2400</v>
      </c>
      <c r="W220" s="88">
        <f t="shared" si="21"/>
        <v>2400</v>
      </c>
      <c r="X220" s="88">
        <f t="shared" si="21"/>
        <v>2400</v>
      </c>
      <c r="Y220" s="88">
        <f t="shared" si="21"/>
        <v>2400</v>
      </c>
      <c r="Z220" s="88">
        <f t="shared" si="21"/>
        <v>2400</v>
      </c>
      <c r="AA220" s="88">
        <f t="shared" si="21"/>
        <v>2400</v>
      </c>
    </row>
    <row r="221" spans="1:27" x14ac:dyDescent="0.45">
      <c r="A221" s="37"/>
      <c r="B221" s="4"/>
      <c r="C221" s="2" t="s">
        <v>114</v>
      </c>
      <c r="D221" s="2" t="s">
        <v>761</v>
      </c>
      <c r="E221" s="23" t="s">
        <v>109</v>
      </c>
      <c r="G221" s="88">
        <f t="shared" ref="G221:AA221" si="22">G216*G210</f>
        <v>0</v>
      </c>
      <c r="H221" s="88">
        <f t="shared" si="22"/>
        <v>96</v>
      </c>
      <c r="I221" s="88">
        <f t="shared" si="22"/>
        <v>96</v>
      </c>
      <c r="J221" s="88">
        <f t="shared" si="22"/>
        <v>96</v>
      </c>
      <c r="K221" s="88">
        <f t="shared" si="22"/>
        <v>96</v>
      </c>
      <c r="L221" s="88">
        <f t="shared" si="22"/>
        <v>96</v>
      </c>
      <c r="M221" s="88">
        <f t="shared" si="22"/>
        <v>96</v>
      </c>
      <c r="N221" s="88">
        <f t="shared" si="22"/>
        <v>96</v>
      </c>
      <c r="O221" s="88">
        <f t="shared" si="22"/>
        <v>96</v>
      </c>
      <c r="P221" s="88">
        <f t="shared" si="22"/>
        <v>96</v>
      </c>
      <c r="Q221" s="88">
        <f t="shared" si="22"/>
        <v>96</v>
      </c>
      <c r="R221" s="88">
        <f t="shared" si="22"/>
        <v>96</v>
      </c>
      <c r="S221" s="88">
        <f t="shared" si="22"/>
        <v>96</v>
      </c>
      <c r="T221" s="88">
        <f t="shared" si="22"/>
        <v>96</v>
      </c>
      <c r="U221" s="88">
        <f t="shared" si="22"/>
        <v>96</v>
      </c>
      <c r="V221" s="88">
        <f t="shared" si="22"/>
        <v>96</v>
      </c>
      <c r="W221" s="88">
        <f t="shared" si="22"/>
        <v>96</v>
      </c>
      <c r="X221" s="88">
        <f t="shared" si="22"/>
        <v>96</v>
      </c>
      <c r="Y221" s="88">
        <f t="shared" si="22"/>
        <v>96</v>
      </c>
      <c r="Z221" s="88">
        <f t="shared" si="22"/>
        <v>96</v>
      </c>
      <c r="AA221" s="88">
        <f t="shared" si="22"/>
        <v>96</v>
      </c>
    </row>
    <row r="222" spans="1:27" x14ac:dyDescent="0.45">
      <c r="A222" s="37"/>
      <c r="B222" s="4"/>
      <c r="C222" s="2" t="s">
        <v>114</v>
      </c>
      <c r="D222" s="464" t="str">
        <f t="shared" ref="D222:D229" si="23">D238</f>
        <v>Market 1: Cosmetic markets (standard)</v>
      </c>
      <c r="E222" s="23" t="s">
        <v>109</v>
      </c>
      <c r="G222" s="88">
        <f>Assumptions!$I238*'Financial Overview'!G$220</f>
        <v>0</v>
      </c>
      <c r="H222" s="88">
        <f>Assumptions!I238*'Financial Overview'!H$220</f>
        <v>1920</v>
      </c>
      <c r="I222" s="88">
        <f>Assumptions!$J238*('Financial Overview'!I$220-$H$220)+$H222</f>
        <v>1920</v>
      </c>
      <c r="J222" s="88">
        <f>Assumptions!$J238*('Financial Overview'!J$220-$H$220)+$H222</f>
        <v>1920</v>
      </c>
      <c r="K222" s="88">
        <f>Assumptions!$J238*('Financial Overview'!K$220-$H$220)+$H222</f>
        <v>1920</v>
      </c>
      <c r="L222" s="88">
        <f>Assumptions!$J238*('Financial Overview'!L$220-$H$220)+$H222</f>
        <v>1920</v>
      </c>
      <c r="M222" s="88">
        <f>Assumptions!$J238*('Financial Overview'!M$220-$H$220)+$H222</f>
        <v>1920</v>
      </c>
      <c r="N222" s="88">
        <f>Assumptions!$J238*('Financial Overview'!N$220-$H$220)+$H222</f>
        <v>1920</v>
      </c>
      <c r="O222" s="88">
        <f>Assumptions!$J238*('Financial Overview'!O$220-$H$220)+$H222</f>
        <v>1920</v>
      </c>
      <c r="P222" s="88">
        <f>Assumptions!$J238*('Financial Overview'!P$220-$H$220)+$H222</f>
        <v>1920</v>
      </c>
      <c r="Q222" s="88">
        <f>Assumptions!$J238*('Financial Overview'!Q$220-$H$220)+$H222</f>
        <v>1920</v>
      </c>
      <c r="R222" s="88">
        <f>Assumptions!$J238*('Financial Overview'!R$220-$H$220)+$H222</f>
        <v>1920</v>
      </c>
      <c r="S222" s="88">
        <f>Assumptions!$J238*('Financial Overview'!S$220-$H$220)+$H222</f>
        <v>1920</v>
      </c>
      <c r="T222" s="88">
        <f>Assumptions!$J238*('Financial Overview'!T$220-$H$220)+$H222</f>
        <v>1920</v>
      </c>
      <c r="U222" s="88">
        <f>Assumptions!$J238*('Financial Overview'!U$220-$H$220)+$H222</f>
        <v>1920</v>
      </c>
      <c r="V222" s="88">
        <f>Assumptions!$J238*('Financial Overview'!V$220-$H$220)+$H222</f>
        <v>1920</v>
      </c>
      <c r="W222" s="88">
        <f>Assumptions!$J238*('Financial Overview'!W$220-$H$220)+$H222</f>
        <v>1920</v>
      </c>
      <c r="X222" s="88">
        <f>Assumptions!$J238*('Financial Overview'!X$220-$H$220)+$H222</f>
        <v>1920</v>
      </c>
      <c r="Y222" s="88">
        <f>Assumptions!$J238*('Financial Overview'!Y$220-$H$220)+$H222</f>
        <v>1920</v>
      </c>
      <c r="Z222" s="88">
        <f>Assumptions!$J238*('Financial Overview'!Z$220-$H$220)+$H222</f>
        <v>1920</v>
      </c>
      <c r="AA222" s="88">
        <f>Assumptions!$J238*('Financial Overview'!AA$220-$H$220)+$H222</f>
        <v>1920</v>
      </c>
    </row>
    <row r="223" spans="1:27" x14ac:dyDescent="0.45">
      <c r="A223" s="37"/>
      <c r="B223" s="4"/>
      <c r="C223" s="2" t="s">
        <v>114</v>
      </c>
      <c r="D223" s="464" t="str">
        <f t="shared" si="23"/>
        <v>Market 2: Cosmetic markets (organic)</v>
      </c>
      <c r="E223" s="23" t="s">
        <v>109</v>
      </c>
      <c r="G223" s="88">
        <f>Assumptions!$I239*'Financial Overview'!G$220</f>
        <v>0</v>
      </c>
      <c r="H223" s="88">
        <f>Assumptions!I239*'Financial Overview'!H$220</f>
        <v>480</v>
      </c>
      <c r="I223" s="88">
        <f>Assumptions!$J239*('Financial Overview'!I$220-$H$220)+$H223</f>
        <v>480</v>
      </c>
      <c r="J223" s="88">
        <f>Assumptions!$J239*('Financial Overview'!J$220-$H$220)+$H223</f>
        <v>480</v>
      </c>
      <c r="K223" s="88">
        <f>Assumptions!$J239*('Financial Overview'!K$220-$H$220)+$H223</f>
        <v>480</v>
      </c>
      <c r="L223" s="88">
        <f>Assumptions!$J239*('Financial Overview'!L$220-$H$220)+$H223</f>
        <v>480</v>
      </c>
      <c r="M223" s="88">
        <f>Assumptions!$J239*('Financial Overview'!M$220-$H$220)+$H223</f>
        <v>480</v>
      </c>
      <c r="N223" s="88">
        <f>Assumptions!$J239*('Financial Overview'!N$220-$H$220)+$H223</f>
        <v>480</v>
      </c>
      <c r="O223" s="88">
        <f>Assumptions!$J239*('Financial Overview'!O$220-$H$220)+$H223</f>
        <v>480</v>
      </c>
      <c r="P223" s="88">
        <f>Assumptions!$J239*('Financial Overview'!P$220-$H$220)+$H223</f>
        <v>480</v>
      </c>
      <c r="Q223" s="88">
        <f>Assumptions!$J239*('Financial Overview'!Q$220-$H$220)+$H223</f>
        <v>480</v>
      </c>
      <c r="R223" s="88">
        <f>Assumptions!$J239*('Financial Overview'!R$220-$H$220)+$H223</f>
        <v>480</v>
      </c>
      <c r="S223" s="88">
        <f>Assumptions!$J239*('Financial Overview'!S$220-$H$220)+$H223</f>
        <v>480</v>
      </c>
      <c r="T223" s="88">
        <f>Assumptions!$J239*('Financial Overview'!T$220-$H$220)+$H223</f>
        <v>480</v>
      </c>
      <c r="U223" s="88">
        <f>Assumptions!$J239*('Financial Overview'!U$220-$H$220)+$H223</f>
        <v>480</v>
      </c>
      <c r="V223" s="88">
        <f>Assumptions!$J239*('Financial Overview'!V$220-$H$220)+$H223</f>
        <v>480</v>
      </c>
      <c r="W223" s="88">
        <f>Assumptions!$J239*('Financial Overview'!W$220-$H$220)+$H223</f>
        <v>480</v>
      </c>
      <c r="X223" s="88">
        <f>Assumptions!$J239*('Financial Overview'!X$220-$H$220)+$H223</f>
        <v>480</v>
      </c>
      <c r="Y223" s="88">
        <f>Assumptions!$J239*('Financial Overview'!Y$220-$H$220)+$H223</f>
        <v>480</v>
      </c>
      <c r="Z223" s="88">
        <f>Assumptions!$J239*('Financial Overview'!Z$220-$H$220)+$H223</f>
        <v>480</v>
      </c>
      <c r="AA223" s="88">
        <f>Assumptions!$J239*('Financial Overview'!AA$220-$H$220)+$H223</f>
        <v>480</v>
      </c>
    </row>
    <row r="224" spans="1:27" x14ac:dyDescent="0.45">
      <c r="A224" s="37"/>
      <c r="B224" s="4"/>
      <c r="C224" s="2" t="s">
        <v>114</v>
      </c>
      <c r="D224" s="464" t="str">
        <f t="shared" si="23"/>
        <v>Market 3: Food / confectionary market</v>
      </c>
      <c r="E224" s="23" t="s">
        <v>109</v>
      </c>
      <c r="G224" s="88">
        <f>Assumptions!$I240*'Financial Overview'!G$220</f>
        <v>0</v>
      </c>
      <c r="H224" s="88">
        <f>Assumptions!I240*'Financial Overview'!H$220</f>
        <v>0</v>
      </c>
      <c r="I224" s="88">
        <f>Assumptions!$J240*('Financial Overview'!I$220-$H$220)+$H224</f>
        <v>0</v>
      </c>
      <c r="J224" s="88">
        <f>Assumptions!$J240*('Financial Overview'!J$220-$H$220)+$H224</f>
        <v>0</v>
      </c>
      <c r="K224" s="88">
        <f>Assumptions!$J240*('Financial Overview'!K$220-$H$220)+$H224</f>
        <v>0</v>
      </c>
      <c r="L224" s="88">
        <f>Assumptions!$J240*('Financial Overview'!L$220-$H$220)+$H224</f>
        <v>0</v>
      </c>
      <c r="M224" s="88">
        <f>Assumptions!$J240*('Financial Overview'!M$220-$H$220)+$H224</f>
        <v>0</v>
      </c>
      <c r="N224" s="88">
        <f>Assumptions!$J240*('Financial Overview'!N$220-$H$220)+$H224</f>
        <v>0</v>
      </c>
      <c r="O224" s="88">
        <f>Assumptions!$J240*('Financial Overview'!O$220-$H$220)+$H224</f>
        <v>0</v>
      </c>
      <c r="P224" s="88">
        <f>Assumptions!$J240*('Financial Overview'!P$220-$H$220)+$H224</f>
        <v>0</v>
      </c>
      <c r="Q224" s="88">
        <f>Assumptions!$J240*('Financial Overview'!Q$220-$H$220)+$H224</f>
        <v>0</v>
      </c>
      <c r="R224" s="88">
        <f>Assumptions!$J240*('Financial Overview'!R$220-$H$220)+$H224</f>
        <v>0</v>
      </c>
      <c r="S224" s="88">
        <f>Assumptions!$J240*('Financial Overview'!S$220-$H$220)+$H224</f>
        <v>0</v>
      </c>
      <c r="T224" s="88">
        <f>Assumptions!$J240*('Financial Overview'!T$220-$H$220)+$H224</f>
        <v>0</v>
      </c>
      <c r="U224" s="88">
        <f>Assumptions!$J240*('Financial Overview'!U$220-$H$220)+$H224</f>
        <v>0</v>
      </c>
      <c r="V224" s="88">
        <f>Assumptions!$J240*('Financial Overview'!V$220-$H$220)+$H224</f>
        <v>0</v>
      </c>
      <c r="W224" s="88">
        <f>Assumptions!$J240*('Financial Overview'!W$220-$H$220)+$H224</f>
        <v>0</v>
      </c>
      <c r="X224" s="88">
        <f>Assumptions!$J240*('Financial Overview'!X$220-$H$220)+$H224</f>
        <v>0</v>
      </c>
      <c r="Y224" s="88">
        <f>Assumptions!$J240*('Financial Overview'!Y$220-$H$220)+$H224</f>
        <v>0</v>
      </c>
      <c r="Z224" s="88">
        <f>Assumptions!$J240*('Financial Overview'!Z$220-$H$220)+$H224</f>
        <v>0</v>
      </c>
      <c r="AA224" s="88">
        <f>Assumptions!$J240*('Financial Overview'!AA$220-$H$220)+$H224</f>
        <v>0</v>
      </c>
    </row>
    <row r="225" spans="1:27" x14ac:dyDescent="0.45">
      <c r="A225" s="37"/>
      <c r="B225" s="4"/>
      <c r="C225" s="2" t="s">
        <v>114</v>
      </c>
      <c r="D225" s="464" t="str">
        <f t="shared" si="23"/>
        <v>Market 4: TBC</v>
      </c>
      <c r="E225" s="23" t="s">
        <v>109</v>
      </c>
      <c r="G225" s="88">
        <f>Assumptions!$I241*'Financial Overview'!G$220</f>
        <v>0</v>
      </c>
      <c r="H225" s="88">
        <f>Assumptions!I241*'Financial Overview'!H$220</f>
        <v>0</v>
      </c>
      <c r="I225" s="88">
        <f>Assumptions!$J241*('Financial Overview'!I$220-$H$220)+$H225</f>
        <v>0</v>
      </c>
      <c r="J225" s="88">
        <f>Assumptions!$J241*('Financial Overview'!J$220-$H$220)+$H225</f>
        <v>0</v>
      </c>
      <c r="K225" s="88">
        <f>Assumptions!$J241*('Financial Overview'!K$220-$H$220)+$H225</f>
        <v>0</v>
      </c>
      <c r="L225" s="88">
        <f>Assumptions!$J241*('Financial Overview'!L$220-$H$220)+$H225</f>
        <v>0</v>
      </c>
      <c r="M225" s="88">
        <f>Assumptions!$J241*('Financial Overview'!M$220-$H$220)+$H225</f>
        <v>0</v>
      </c>
      <c r="N225" s="88">
        <f>Assumptions!$J241*('Financial Overview'!N$220-$H$220)+$H225</f>
        <v>0</v>
      </c>
      <c r="O225" s="88">
        <f>Assumptions!$J241*('Financial Overview'!O$220-$H$220)+$H225</f>
        <v>0</v>
      </c>
      <c r="P225" s="88">
        <f>Assumptions!$J241*('Financial Overview'!P$220-$H$220)+$H225</f>
        <v>0</v>
      </c>
      <c r="Q225" s="88">
        <f>Assumptions!$J241*('Financial Overview'!Q$220-$H$220)+$H225</f>
        <v>0</v>
      </c>
      <c r="R225" s="88">
        <f>Assumptions!$J241*('Financial Overview'!R$220-$H$220)+$H225</f>
        <v>0</v>
      </c>
      <c r="S225" s="88">
        <f>Assumptions!$J241*('Financial Overview'!S$220-$H$220)+$H225</f>
        <v>0</v>
      </c>
      <c r="T225" s="88">
        <f>Assumptions!$J241*('Financial Overview'!T$220-$H$220)+$H225</f>
        <v>0</v>
      </c>
      <c r="U225" s="88">
        <f>Assumptions!$J241*('Financial Overview'!U$220-$H$220)+$H225</f>
        <v>0</v>
      </c>
      <c r="V225" s="88">
        <f>Assumptions!$J241*('Financial Overview'!V$220-$H$220)+$H225</f>
        <v>0</v>
      </c>
      <c r="W225" s="88">
        <f>Assumptions!$J241*('Financial Overview'!W$220-$H$220)+$H225</f>
        <v>0</v>
      </c>
      <c r="X225" s="88">
        <f>Assumptions!$J241*('Financial Overview'!X$220-$H$220)+$H225</f>
        <v>0</v>
      </c>
      <c r="Y225" s="88">
        <f>Assumptions!$J241*('Financial Overview'!Y$220-$H$220)+$H225</f>
        <v>0</v>
      </c>
      <c r="Z225" s="88">
        <f>Assumptions!$J241*('Financial Overview'!Z$220-$H$220)+$H225</f>
        <v>0</v>
      </c>
      <c r="AA225" s="88">
        <f>Assumptions!$J241*('Financial Overview'!AA$220-$H$220)+$H225</f>
        <v>0</v>
      </c>
    </row>
    <row r="226" spans="1:27" x14ac:dyDescent="0.45">
      <c r="A226" s="37"/>
      <c r="B226" s="4"/>
      <c r="C226" s="2" t="s">
        <v>114</v>
      </c>
      <c r="D226" s="464" t="str">
        <f t="shared" si="23"/>
        <v>Market 5: TBC</v>
      </c>
      <c r="E226" s="23" t="s">
        <v>109</v>
      </c>
      <c r="G226" s="88">
        <f>Assumptions!$I242*'Financial Overview'!G$220</f>
        <v>0</v>
      </c>
      <c r="H226" s="88">
        <f>Assumptions!I242*'Financial Overview'!H$220</f>
        <v>0</v>
      </c>
      <c r="I226" s="88">
        <f>Assumptions!$J242*('Financial Overview'!I$220-$H$220)+$H226</f>
        <v>0</v>
      </c>
      <c r="J226" s="88">
        <f>Assumptions!$J242*('Financial Overview'!J$220-$H$220)+$H226</f>
        <v>0</v>
      </c>
      <c r="K226" s="88">
        <f>Assumptions!$J242*('Financial Overview'!K$220-$H$220)+$H226</f>
        <v>0</v>
      </c>
      <c r="L226" s="88">
        <f>Assumptions!$J242*('Financial Overview'!L$220-$H$220)+$H226</f>
        <v>0</v>
      </c>
      <c r="M226" s="88">
        <f>Assumptions!$J242*('Financial Overview'!M$220-$H$220)+$H226</f>
        <v>0</v>
      </c>
      <c r="N226" s="88">
        <f>Assumptions!$J242*('Financial Overview'!N$220-$H$220)+$H226</f>
        <v>0</v>
      </c>
      <c r="O226" s="88">
        <f>Assumptions!$J242*('Financial Overview'!O$220-$H$220)+$H226</f>
        <v>0</v>
      </c>
      <c r="P226" s="88">
        <f>Assumptions!$J242*('Financial Overview'!P$220-$H$220)+$H226</f>
        <v>0</v>
      </c>
      <c r="Q226" s="88">
        <f>Assumptions!$J242*('Financial Overview'!Q$220-$H$220)+$H226</f>
        <v>0</v>
      </c>
      <c r="R226" s="88">
        <f>Assumptions!$J242*('Financial Overview'!R$220-$H$220)+$H226</f>
        <v>0</v>
      </c>
      <c r="S226" s="88">
        <f>Assumptions!$J242*('Financial Overview'!S$220-$H$220)+$H226</f>
        <v>0</v>
      </c>
      <c r="T226" s="88">
        <f>Assumptions!$J242*('Financial Overview'!T$220-$H$220)+$H226</f>
        <v>0</v>
      </c>
      <c r="U226" s="88">
        <f>Assumptions!$J242*('Financial Overview'!U$220-$H$220)+$H226</f>
        <v>0</v>
      </c>
      <c r="V226" s="88">
        <f>Assumptions!$J242*('Financial Overview'!V$220-$H$220)+$H226</f>
        <v>0</v>
      </c>
      <c r="W226" s="88">
        <f>Assumptions!$J242*('Financial Overview'!W$220-$H$220)+$H226</f>
        <v>0</v>
      </c>
      <c r="X226" s="88">
        <f>Assumptions!$J242*('Financial Overview'!X$220-$H$220)+$H226</f>
        <v>0</v>
      </c>
      <c r="Y226" s="88">
        <f>Assumptions!$J242*('Financial Overview'!Y$220-$H$220)+$H226</f>
        <v>0</v>
      </c>
      <c r="Z226" s="88">
        <f>Assumptions!$J242*('Financial Overview'!Z$220-$H$220)+$H226</f>
        <v>0</v>
      </c>
      <c r="AA226" s="88">
        <f>Assumptions!$J242*('Financial Overview'!AA$220-$H$220)+$H226</f>
        <v>0</v>
      </c>
    </row>
    <row r="227" spans="1:27" x14ac:dyDescent="0.45">
      <c r="A227" s="37"/>
      <c r="B227" s="4"/>
      <c r="C227" s="2" t="s">
        <v>114</v>
      </c>
      <c r="D227" s="464" t="str">
        <f t="shared" si="23"/>
        <v>Market 6: TBC</v>
      </c>
      <c r="E227" s="23" t="s">
        <v>109</v>
      </c>
      <c r="G227" s="88">
        <f>Assumptions!$I243*'Financial Overview'!G$220</f>
        <v>0</v>
      </c>
      <c r="H227" s="88">
        <f>Assumptions!I243*'Financial Overview'!H$220</f>
        <v>0</v>
      </c>
      <c r="I227" s="88">
        <f>Assumptions!$J243*('Financial Overview'!I$220-$H$220)+$H227</f>
        <v>0</v>
      </c>
      <c r="J227" s="88">
        <f>Assumptions!$J243*('Financial Overview'!J$220-$H$220)+$H227</f>
        <v>0</v>
      </c>
      <c r="K227" s="88">
        <f>Assumptions!$J243*('Financial Overview'!K$220-$H$220)+$H227</f>
        <v>0</v>
      </c>
      <c r="L227" s="88">
        <f>Assumptions!$J243*('Financial Overview'!L$220-$H$220)+$H227</f>
        <v>0</v>
      </c>
      <c r="M227" s="88">
        <f>Assumptions!$J243*('Financial Overview'!M$220-$H$220)+$H227</f>
        <v>0</v>
      </c>
      <c r="N227" s="88">
        <f>Assumptions!$J243*('Financial Overview'!N$220-$H$220)+$H227</f>
        <v>0</v>
      </c>
      <c r="O227" s="88">
        <f>Assumptions!$J243*('Financial Overview'!O$220-$H$220)+$H227</f>
        <v>0</v>
      </c>
      <c r="P227" s="88">
        <f>Assumptions!$J243*('Financial Overview'!P$220-$H$220)+$H227</f>
        <v>0</v>
      </c>
      <c r="Q227" s="88">
        <f>Assumptions!$J243*('Financial Overview'!Q$220-$H$220)+$H227</f>
        <v>0</v>
      </c>
      <c r="R227" s="88">
        <f>Assumptions!$J243*('Financial Overview'!R$220-$H$220)+$H227</f>
        <v>0</v>
      </c>
      <c r="S227" s="88">
        <f>Assumptions!$J243*('Financial Overview'!S$220-$H$220)+$H227</f>
        <v>0</v>
      </c>
      <c r="T227" s="88">
        <f>Assumptions!$J243*('Financial Overview'!T$220-$H$220)+$H227</f>
        <v>0</v>
      </c>
      <c r="U227" s="88">
        <f>Assumptions!$J243*('Financial Overview'!U$220-$H$220)+$H227</f>
        <v>0</v>
      </c>
      <c r="V227" s="88">
        <f>Assumptions!$J243*('Financial Overview'!V$220-$H$220)+$H227</f>
        <v>0</v>
      </c>
      <c r="W227" s="88">
        <f>Assumptions!$J243*('Financial Overview'!W$220-$H$220)+$H227</f>
        <v>0</v>
      </c>
      <c r="X227" s="88">
        <f>Assumptions!$J243*('Financial Overview'!X$220-$H$220)+$H227</f>
        <v>0</v>
      </c>
      <c r="Y227" s="88">
        <f>Assumptions!$J243*('Financial Overview'!Y$220-$H$220)+$H227</f>
        <v>0</v>
      </c>
      <c r="Z227" s="88">
        <f>Assumptions!$J243*('Financial Overview'!Z$220-$H$220)+$H227</f>
        <v>0</v>
      </c>
      <c r="AA227" s="88">
        <f>Assumptions!$J243*('Financial Overview'!AA$220-$H$220)+$H227</f>
        <v>0</v>
      </c>
    </row>
    <row r="228" spans="1:27" x14ac:dyDescent="0.45">
      <c r="A228" s="37"/>
      <c r="B228" s="4"/>
      <c r="C228" s="2" t="s">
        <v>114</v>
      </c>
      <c r="D228" s="464" t="str">
        <f t="shared" si="23"/>
        <v>Market 7: TBC</v>
      </c>
      <c r="E228" s="23" t="s">
        <v>109</v>
      </c>
      <c r="G228" s="88">
        <f>Assumptions!$I244*'Financial Overview'!G$220</f>
        <v>0</v>
      </c>
      <c r="H228" s="88">
        <f>Assumptions!I244*'Financial Overview'!H$220</f>
        <v>0</v>
      </c>
      <c r="I228" s="88">
        <f>Assumptions!$J244*('Financial Overview'!I$220-$H$220)+$H228</f>
        <v>0</v>
      </c>
      <c r="J228" s="88">
        <f>Assumptions!$J244*('Financial Overview'!J$220-$H$220)+$H228</f>
        <v>0</v>
      </c>
      <c r="K228" s="88">
        <f>Assumptions!$J244*('Financial Overview'!K$220-$H$220)+$H228</f>
        <v>0</v>
      </c>
      <c r="L228" s="88">
        <f>Assumptions!$J244*('Financial Overview'!L$220-$H$220)+$H228</f>
        <v>0</v>
      </c>
      <c r="M228" s="88">
        <f>Assumptions!$J244*('Financial Overview'!M$220-$H$220)+$H228</f>
        <v>0</v>
      </c>
      <c r="N228" s="88">
        <f>Assumptions!$J244*('Financial Overview'!N$220-$H$220)+$H228</f>
        <v>0</v>
      </c>
      <c r="O228" s="88">
        <f>Assumptions!$J244*('Financial Overview'!O$220-$H$220)+$H228</f>
        <v>0</v>
      </c>
      <c r="P228" s="88">
        <f>Assumptions!$J244*('Financial Overview'!P$220-$H$220)+$H228</f>
        <v>0</v>
      </c>
      <c r="Q228" s="88">
        <f>Assumptions!$J244*('Financial Overview'!Q$220-$H$220)+$H228</f>
        <v>0</v>
      </c>
      <c r="R228" s="88">
        <f>Assumptions!$J244*('Financial Overview'!R$220-$H$220)+$H228</f>
        <v>0</v>
      </c>
      <c r="S228" s="88">
        <f>Assumptions!$J244*('Financial Overview'!S$220-$H$220)+$H228</f>
        <v>0</v>
      </c>
      <c r="T228" s="88">
        <f>Assumptions!$J244*('Financial Overview'!T$220-$H$220)+$H228</f>
        <v>0</v>
      </c>
      <c r="U228" s="88">
        <f>Assumptions!$J244*('Financial Overview'!U$220-$H$220)+$H228</f>
        <v>0</v>
      </c>
      <c r="V228" s="88">
        <f>Assumptions!$J244*('Financial Overview'!V$220-$H$220)+$H228</f>
        <v>0</v>
      </c>
      <c r="W228" s="88">
        <f>Assumptions!$J244*('Financial Overview'!W$220-$H$220)+$H228</f>
        <v>0</v>
      </c>
      <c r="X228" s="88">
        <f>Assumptions!$J244*('Financial Overview'!X$220-$H$220)+$H228</f>
        <v>0</v>
      </c>
      <c r="Y228" s="88">
        <f>Assumptions!$J244*('Financial Overview'!Y$220-$H$220)+$H228</f>
        <v>0</v>
      </c>
      <c r="Z228" s="88">
        <f>Assumptions!$J244*('Financial Overview'!Z$220-$H$220)+$H228</f>
        <v>0</v>
      </c>
      <c r="AA228" s="88">
        <f>Assumptions!$J244*('Financial Overview'!AA$220-$H$220)+$H228</f>
        <v>0</v>
      </c>
    </row>
    <row r="229" spans="1:27" x14ac:dyDescent="0.45">
      <c r="A229" s="37"/>
      <c r="B229" s="4"/>
      <c r="C229" s="2" t="s">
        <v>114</v>
      </c>
      <c r="D229" s="464" t="str">
        <f t="shared" si="23"/>
        <v>Market 8: TBC</v>
      </c>
      <c r="E229" s="23" t="s">
        <v>109</v>
      </c>
      <c r="G229" s="88">
        <f>Assumptions!$I245*'Financial Overview'!G$220</f>
        <v>0</v>
      </c>
      <c r="H229" s="88">
        <f>Assumptions!I245*'Financial Overview'!H$220</f>
        <v>0</v>
      </c>
      <c r="I229" s="88">
        <f>Assumptions!$J245*('Financial Overview'!I$220-$H$220)+$H229</f>
        <v>0</v>
      </c>
      <c r="J229" s="88">
        <f>Assumptions!$J245*('Financial Overview'!J$220-$H$220)+$H229</f>
        <v>0</v>
      </c>
      <c r="K229" s="88">
        <f>Assumptions!$J245*('Financial Overview'!K$220-$H$220)+$H229</f>
        <v>0</v>
      </c>
      <c r="L229" s="88">
        <f>Assumptions!$J245*('Financial Overview'!L$220-$H$220)+$H229</f>
        <v>0</v>
      </c>
      <c r="M229" s="88">
        <f>Assumptions!$J245*('Financial Overview'!M$220-$H$220)+$H229</f>
        <v>0</v>
      </c>
      <c r="N229" s="88">
        <f>Assumptions!$J245*('Financial Overview'!N$220-$H$220)+$H229</f>
        <v>0</v>
      </c>
      <c r="O229" s="88">
        <f>Assumptions!$J245*('Financial Overview'!O$220-$H$220)+$H229</f>
        <v>0</v>
      </c>
      <c r="P229" s="88">
        <f>Assumptions!$J245*('Financial Overview'!P$220-$H$220)+$H229</f>
        <v>0</v>
      </c>
      <c r="Q229" s="88">
        <f>Assumptions!$J245*('Financial Overview'!Q$220-$H$220)+$H229</f>
        <v>0</v>
      </c>
      <c r="R229" s="88">
        <f>Assumptions!$J245*('Financial Overview'!R$220-$H$220)+$H229</f>
        <v>0</v>
      </c>
      <c r="S229" s="88">
        <f>Assumptions!$J245*('Financial Overview'!S$220-$H$220)+$H229</f>
        <v>0</v>
      </c>
      <c r="T229" s="88">
        <f>Assumptions!$J245*('Financial Overview'!T$220-$H$220)+$H229</f>
        <v>0</v>
      </c>
      <c r="U229" s="88">
        <f>Assumptions!$J245*('Financial Overview'!U$220-$H$220)+$H229</f>
        <v>0</v>
      </c>
      <c r="V229" s="88">
        <f>Assumptions!$J245*('Financial Overview'!V$220-$H$220)+$H229</f>
        <v>0</v>
      </c>
      <c r="W229" s="88">
        <f>Assumptions!$J245*('Financial Overview'!W$220-$H$220)+$H229</f>
        <v>0</v>
      </c>
      <c r="X229" s="88">
        <f>Assumptions!$J245*('Financial Overview'!X$220-$H$220)+$H229</f>
        <v>0</v>
      </c>
      <c r="Y229" s="88">
        <f>Assumptions!$J245*('Financial Overview'!Y$220-$H$220)+$H229</f>
        <v>0</v>
      </c>
      <c r="Z229" s="88">
        <f>Assumptions!$J245*('Financial Overview'!Z$220-$H$220)+$H229</f>
        <v>0</v>
      </c>
      <c r="AA229" s="88">
        <f>Assumptions!$J245*('Financial Overview'!AA$220-$H$220)+$H229</f>
        <v>0</v>
      </c>
    </row>
    <row r="230" spans="1:27" x14ac:dyDescent="0.45">
      <c r="A230" s="37"/>
      <c r="B230" s="4"/>
      <c r="C230" s="2" t="s">
        <v>114</v>
      </c>
      <c r="D230" s="464" t="s">
        <v>749</v>
      </c>
      <c r="E230" s="23" t="s">
        <v>109</v>
      </c>
      <c r="G230" s="88">
        <f t="shared" ref="G230:AA230" si="24">G220-SUM(G222:G229)</f>
        <v>0</v>
      </c>
      <c r="H230" s="88">
        <f t="shared" si="24"/>
        <v>0</v>
      </c>
      <c r="I230" s="88">
        <f t="shared" si="24"/>
        <v>0</v>
      </c>
      <c r="J230" s="88">
        <f t="shared" si="24"/>
        <v>0</v>
      </c>
      <c r="K230" s="88">
        <f t="shared" si="24"/>
        <v>0</v>
      </c>
      <c r="L230" s="88">
        <f t="shared" si="24"/>
        <v>0</v>
      </c>
      <c r="M230" s="88">
        <f t="shared" si="24"/>
        <v>0</v>
      </c>
      <c r="N230" s="88">
        <f t="shared" si="24"/>
        <v>0</v>
      </c>
      <c r="O230" s="88">
        <f t="shared" si="24"/>
        <v>0</v>
      </c>
      <c r="P230" s="88">
        <f t="shared" si="24"/>
        <v>0</v>
      </c>
      <c r="Q230" s="88">
        <f t="shared" si="24"/>
        <v>0</v>
      </c>
      <c r="R230" s="88">
        <f t="shared" si="24"/>
        <v>0</v>
      </c>
      <c r="S230" s="88">
        <f t="shared" si="24"/>
        <v>0</v>
      </c>
      <c r="T230" s="88">
        <f t="shared" si="24"/>
        <v>0</v>
      </c>
      <c r="U230" s="88">
        <f t="shared" si="24"/>
        <v>0</v>
      </c>
      <c r="V230" s="88">
        <f t="shared" si="24"/>
        <v>0</v>
      </c>
      <c r="W230" s="88">
        <f t="shared" si="24"/>
        <v>0</v>
      </c>
      <c r="X230" s="88">
        <f t="shared" si="24"/>
        <v>0</v>
      </c>
      <c r="Y230" s="88">
        <f t="shared" si="24"/>
        <v>0</v>
      </c>
      <c r="Z230" s="88">
        <f t="shared" si="24"/>
        <v>0</v>
      </c>
      <c r="AA230" s="88">
        <f t="shared" si="24"/>
        <v>0</v>
      </c>
    </row>
    <row r="231" spans="1:27" x14ac:dyDescent="0.45">
      <c r="A231" s="37"/>
      <c r="B231" s="4"/>
      <c r="C231" s="2" t="s">
        <v>114</v>
      </c>
      <c r="D231" s="2" t="s">
        <v>528</v>
      </c>
      <c r="E231" s="23" t="s">
        <v>532</v>
      </c>
      <c r="G231" s="88">
        <f>G$213</f>
        <v>0</v>
      </c>
      <c r="H231" s="88">
        <f>H$213</f>
        <v>4</v>
      </c>
      <c r="I231" s="88">
        <f t="shared" ref="I231:AA233" si="25">I$213</f>
        <v>4</v>
      </c>
      <c r="J231" s="88">
        <f t="shared" si="25"/>
        <v>4</v>
      </c>
      <c r="K231" s="88">
        <f t="shared" si="25"/>
        <v>4</v>
      </c>
      <c r="L231" s="88">
        <f t="shared" si="25"/>
        <v>4</v>
      </c>
      <c r="M231" s="88">
        <f t="shared" si="25"/>
        <v>4</v>
      </c>
      <c r="N231" s="88">
        <f t="shared" si="25"/>
        <v>4</v>
      </c>
      <c r="O231" s="88">
        <f t="shared" si="25"/>
        <v>4</v>
      </c>
      <c r="P231" s="88">
        <f t="shared" si="25"/>
        <v>4</v>
      </c>
      <c r="Q231" s="88">
        <f t="shared" si="25"/>
        <v>4</v>
      </c>
      <c r="R231" s="88">
        <f t="shared" si="25"/>
        <v>4</v>
      </c>
      <c r="S231" s="88">
        <f t="shared" si="25"/>
        <v>4</v>
      </c>
      <c r="T231" s="88">
        <f t="shared" si="25"/>
        <v>4</v>
      </c>
      <c r="U231" s="88">
        <f t="shared" si="25"/>
        <v>4</v>
      </c>
      <c r="V231" s="88">
        <f t="shared" si="25"/>
        <v>4</v>
      </c>
      <c r="W231" s="88">
        <f t="shared" si="25"/>
        <v>4</v>
      </c>
      <c r="X231" s="88">
        <f t="shared" si="25"/>
        <v>4</v>
      </c>
      <c r="Y231" s="88">
        <f t="shared" si="25"/>
        <v>4</v>
      </c>
      <c r="Z231" s="88">
        <f t="shared" si="25"/>
        <v>4</v>
      </c>
      <c r="AA231" s="88">
        <f t="shared" si="25"/>
        <v>4</v>
      </c>
    </row>
    <row r="232" spans="1:27" x14ac:dyDescent="0.45">
      <c r="A232" s="37"/>
      <c r="B232" s="4"/>
      <c r="C232" s="2" t="s">
        <v>114</v>
      </c>
      <c r="D232" s="2" t="s">
        <v>528</v>
      </c>
      <c r="E232" s="23" t="s">
        <v>532</v>
      </c>
      <c r="G232" s="88">
        <f t="shared" ref="G232:V233" si="26">G$213</f>
        <v>0</v>
      </c>
      <c r="H232" s="88">
        <f t="shared" si="26"/>
        <v>4</v>
      </c>
      <c r="I232" s="88">
        <f t="shared" si="26"/>
        <v>4</v>
      </c>
      <c r="J232" s="88">
        <f t="shared" si="26"/>
        <v>4</v>
      </c>
      <c r="K232" s="88">
        <f t="shared" si="26"/>
        <v>4</v>
      </c>
      <c r="L232" s="88">
        <f t="shared" si="26"/>
        <v>4</v>
      </c>
      <c r="M232" s="88">
        <f t="shared" si="26"/>
        <v>4</v>
      </c>
      <c r="N232" s="88">
        <f t="shared" si="26"/>
        <v>4</v>
      </c>
      <c r="O232" s="88">
        <f t="shared" si="26"/>
        <v>4</v>
      </c>
      <c r="P232" s="88">
        <f t="shared" si="26"/>
        <v>4</v>
      </c>
      <c r="Q232" s="88">
        <f t="shared" si="26"/>
        <v>4</v>
      </c>
      <c r="R232" s="88">
        <f t="shared" si="26"/>
        <v>4</v>
      </c>
      <c r="S232" s="88">
        <f t="shared" si="26"/>
        <v>4</v>
      </c>
      <c r="T232" s="88">
        <f t="shared" si="26"/>
        <v>4</v>
      </c>
      <c r="U232" s="88">
        <f t="shared" si="26"/>
        <v>4</v>
      </c>
      <c r="V232" s="88">
        <f t="shared" si="26"/>
        <v>4</v>
      </c>
      <c r="W232" s="88">
        <f t="shared" si="25"/>
        <v>4</v>
      </c>
      <c r="X232" s="88">
        <f t="shared" si="25"/>
        <v>4</v>
      </c>
      <c r="Y232" s="88">
        <f t="shared" si="25"/>
        <v>4</v>
      </c>
      <c r="Z232" s="88">
        <f t="shared" si="25"/>
        <v>4</v>
      </c>
      <c r="AA232" s="88">
        <f t="shared" si="25"/>
        <v>4</v>
      </c>
    </row>
    <row r="233" spans="1:27" x14ac:dyDescent="0.45">
      <c r="A233" s="37"/>
      <c r="B233" s="4"/>
      <c r="C233" s="2" t="s">
        <v>114</v>
      </c>
      <c r="D233" s="2" t="s">
        <v>528</v>
      </c>
      <c r="E233" s="23" t="s">
        <v>532</v>
      </c>
      <c r="G233" s="88">
        <f t="shared" si="26"/>
        <v>0</v>
      </c>
      <c r="H233" s="88">
        <f t="shared" si="26"/>
        <v>4</v>
      </c>
      <c r="I233" s="88">
        <f t="shared" si="26"/>
        <v>4</v>
      </c>
      <c r="J233" s="88">
        <f t="shared" si="26"/>
        <v>4</v>
      </c>
      <c r="K233" s="88">
        <f t="shared" si="26"/>
        <v>4</v>
      </c>
      <c r="L233" s="88">
        <f t="shared" si="26"/>
        <v>4</v>
      </c>
      <c r="M233" s="88">
        <f t="shared" si="26"/>
        <v>4</v>
      </c>
      <c r="N233" s="88">
        <f t="shared" si="26"/>
        <v>4</v>
      </c>
      <c r="O233" s="88">
        <f t="shared" si="26"/>
        <v>4</v>
      </c>
      <c r="P233" s="88">
        <f t="shared" si="26"/>
        <v>4</v>
      </c>
      <c r="Q233" s="88">
        <f t="shared" si="26"/>
        <v>4</v>
      </c>
      <c r="R233" s="88">
        <f t="shared" si="26"/>
        <v>4</v>
      </c>
      <c r="S233" s="88">
        <f t="shared" si="26"/>
        <v>4</v>
      </c>
      <c r="T233" s="88">
        <f t="shared" si="26"/>
        <v>4</v>
      </c>
      <c r="U233" s="88">
        <f t="shared" si="26"/>
        <v>4</v>
      </c>
      <c r="V233" s="88">
        <f t="shared" si="25"/>
        <v>4</v>
      </c>
      <c r="W233" s="88">
        <f t="shared" si="25"/>
        <v>4</v>
      </c>
      <c r="X233" s="88">
        <f t="shared" si="25"/>
        <v>4</v>
      </c>
      <c r="Y233" s="88">
        <f t="shared" si="25"/>
        <v>4</v>
      </c>
      <c r="Z233" s="88">
        <f t="shared" si="25"/>
        <v>4</v>
      </c>
      <c r="AA233" s="88">
        <f t="shared" si="25"/>
        <v>4</v>
      </c>
    </row>
    <row r="234" spans="1:27" x14ac:dyDescent="0.45">
      <c r="A234" s="37"/>
      <c r="B234" s="4"/>
      <c r="C234" s="4"/>
      <c r="G234" s="87"/>
      <c r="H234" s="87"/>
      <c r="I234" s="87"/>
      <c r="J234" s="87"/>
      <c r="K234" s="87"/>
      <c r="L234" s="87"/>
      <c r="M234" s="87"/>
      <c r="N234" s="87"/>
      <c r="O234" s="87"/>
      <c r="P234" s="87"/>
      <c r="Q234" s="87"/>
      <c r="R234" s="87"/>
      <c r="S234" s="87"/>
      <c r="T234" s="87"/>
      <c r="U234" s="87"/>
      <c r="V234" s="87"/>
      <c r="W234" s="87"/>
      <c r="X234" s="87"/>
      <c r="Y234" s="87"/>
      <c r="Z234" s="87"/>
      <c r="AA234" s="87"/>
    </row>
    <row r="235" spans="1:27" x14ac:dyDescent="0.45">
      <c r="A235" s="37"/>
      <c r="B235" s="4"/>
      <c r="C235" s="2" t="s">
        <v>114</v>
      </c>
      <c r="D235" s="2" t="s">
        <v>758</v>
      </c>
      <c r="E235" s="23" t="s">
        <v>809</v>
      </c>
      <c r="G235" s="83">
        <f>Assumptions!I202</f>
        <v>100</v>
      </c>
      <c r="H235" s="83">
        <f>G235*(1+Assumptions!$H$279)</f>
        <v>102</v>
      </c>
      <c r="I235" s="83">
        <f>H235*(1+Assumptions!$H$279)</f>
        <v>104.04</v>
      </c>
      <c r="J235" s="83">
        <f>I235*(1+Assumptions!$H$279)</f>
        <v>106.1208</v>
      </c>
      <c r="K235" s="83">
        <f>J235*(1+Assumptions!$H$279)</f>
        <v>108.243216</v>
      </c>
      <c r="L235" s="83">
        <f>K235*(1+Assumptions!$H$279)</f>
        <v>110.40808032000001</v>
      </c>
      <c r="M235" s="83">
        <f>L235*(1+Assumptions!$H$279)</f>
        <v>112.61624192640001</v>
      </c>
      <c r="N235" s="83">
        <f>M235*(1+Assumptions!$H$279)</f>
        <v>114.868566764928</v>
      </c>
      <c r="O235" s="83">
        <f>N235*(1+Assumptions!$H$279)</f>
        <v>117.16593810022657</v>
      </c>
      <c r="P235" s="83">
        <f>O235*(1+Assumptions!$H$279)</f>
        <v>119.5092568622311</v>
      </c>
      <c r="Q235" s="83">
        <f>P235*(1+Assumptions!$H$279)</f>
        <v>121.89944199947573</v>
      </c>
      <c r="R235" s="83">
        <f>Q235*(1+Assumptions!$H$279)</f>
        <v>124.33743083946524</v>
      </c>
      <c r="S235" s="83">
        <f>R235*(1+Assumptions!$H$279)</f>
        <v>126.82417945625456</v>
      </c>
      <c r="T235" s="83">
        <f>S235*(1+Assumptions!$H$279)</f>
        <v>129.36066304537965</v>
      </c>
      <c r="U235" s="83">
        <f>T235*(1+Assumptions!$H$279)</f>
        <v>131.94787630628724</v>
      </c>
      <c r="V235" s="83">
        <f>U235*(1+Assumptions!$H$279)</f>
        <v>134.58683383241299</v>
      </c>
      <c r="W235" s="83">
        <f>V235*(1+Assumptions!$H$279)</f>
        <v>137.27857050906127</v>
      </c>
      <c r="X235" s="83">
        <f>W235*(1+Assumptions!$H$279)</f>
        <v>140.02414191924251</v>
      </c>
      <c r="Y235" s="83">
        <f>X235*(1+Assumptions!$H$279)</f>
        <v>142.82462475762736</v>
      </c>
      <c r="Z235" s="83">
        <f>Y235*(1+Assumptions!$H$279)</f>
        <v>145.6811172527799</v>
      </c>
      <c r="AA235" s="83">
        <f>Z235*(1+Assumptions!$H$279)</f>
        <v>148.59473959783551</v>
      </c>
    </row>
    <row r="236" spans="1:27" x14ac:dyDescent="0.45">
      <c r="A236" s="37"/>
      <c r="B236" s="4"/>
      <c r="C236" s="2" t="s">
        <v>114</v>
      </c>
      <c r="D236" s="2" t="s">
        <v>759</v>
      </c>
      <c r="E236" s="23" t="s">
        <v>809</v>
      </c>
      <c r="G236" s="83">
        <f>Assumptions!I212</f>
        <v>0</v>
      </c>
      <c r="H236" s="83">
        <f>G236*(1+Assumptions!$H$279)</f>
        <v>0</v>
      </c>
      <c r="I236" s="83">
        <f>H236*(1+Assumptions!$H$279)</f>
        <v>0</v>
      </c>
      <c r="J236" s="83">
        <f>I236*(1+Assumptions!$H$279)</f>
        <v>0</v>
      </c>
      <c r="K236" s="83">
        <f>J236*(1+Assumptions!$H$279)</f>
        <v>0</v>
      </c>
      <c r="L236" s="83">
        <f>K236*(1+Assumptions!$H$279)</f>
        <v>0</v>
      </c>
      <c r="M236" s="83">
        <f>L236*(1+Assumptions!$H$279)</f>
        <v>0</v>
      </c>
      <c r="N236" s="83">
        <f>M236*(1+Assumptions!$H$279)</f>
        <v>0</v>
      </c>
      <c r="O236" s="83">
        <f>N236*(1+Assumptions!$H$279)</f>
        <v>0</v>
      </c>
      <c r="P236" s="83">
        <f>O236*(1+Assumptions!$H$279)</f>
        <v>0</v>
      </c>
      <c r="Q236" s="83">
        <f>P236*(1+Assumptions!$H$279)</f>
        <v>0</v>
      </c>
      <c r="R236" s="83">
        <f>Q236*(1+Assumptions!$H$279)</f>
        <v>0</v>
      </c>
      <c r="S236" s="83">
        <f>R236*(1+Assumptions!$H$279)</f>
        <v>0</v>
      </c>
      <c r="T236" s="83">
        <f>S236*(1+Assumptions!$H$279)</f>
        <v>0</v>
      </c>
      <c r="U236" s="83">
        <f>T236*(1+Assumptions!$H$279)</f>
        <v>0</v>
      </c>
      <c r="V236" s="83">
        <f>U236*(1+Assumptions!$H$279)</f>
        <v>0</v>
      </c>
      <c r="W236" s="83">
        <f>V236*(1+Assumptions!$H$279)</f>
        <v>0</v>
      </c>
      <c r="X236" s="83">
        <f>W236*(1+Assumptions!$H$279)</f>
        <v>0</v>
      </c>
      <c r="Y236" s="83">
        <f>X236*(1+Assumptions!$H$279)</f>
        <v>0</v>
      </c>
      <c r="Z236" s="83">
        <f>Y236*(1+Assumptions!$H$279)</f>
        <v>0</v>
      </c>
      <c r="AA236" s="83">
        <f>Z236*(1+Assumptions!$H$279)</f>
        <v>0</v>
      </c>
    </row>
    <row r="237" spans="1:27" x14ac:dyDescent="0.45">
      <c r="A237" s="37"/>
      <c r="B237" s="4"/>
      <c r="C237" s="2" t="s">
        <v>114</v>
      </c>
      <c r="D237" s="2" t="s">
        <v>764</v>
      </c>
      <c r="E237" s="23" t="s">
        <v>809</v>
      </c>
      <c r="G237" s="83">
        <f>Assumptions!H261</f>
        <v>10000</v>
      </c>
      <c r="H237" s="83">
        <f>G237*(1+Assumptions!$H$279)</f>
        <v>10200</v>
      </c>
      <c r="I237" s="83">
        <f>H237*(1+Assumptions!$H$279)</f>
        <v>10404</v>
      </c>
      <c r="J237" s="83">
        <f>I237*(1+Assumptions!$H$279)</f>
        <v>10612.08</v>
      </c>
      <c r="K237" s="83">
        <f>J237*(1+Assumptions!$H$279)</f>
        <v>10824.321599999999</v>
      </c>
      <c r="L237" s="83">
        <f>K237*(1+Assumptions!$H$279)</f>
        <v>11040.808031999999</v>
      </c>
      <c r="M237" s="83">
        <f>L237*(1+Assumptions!$H$279)</f>
        <v>11261.62419264</v>
      </c>
      <c r="N237" s="83">
        <f>M237*(1+Assumptions!$H$279)</f>
        <v>11486.8566764928</v>
      </c>
      <c r="O237" s="83">
        <f>N237*(1+Assumptions!$H$279)</f>
        <v>11716.593810022656</v>
      </c>
      <c r="P237" s="83">
        <f>O237*(1+Assumptions!$H$279)</f>
        <v>11950.925686223109</v>
      </c>
      <c r="Q237" s="83">
        <f>P237*(1+Assumptions!$H$279)</f>
        <v>12189.944199947571</v>
      </c>
      <c r="R237" s="83">
        <f>Q237*(1+Assumptions!$H$279)</f>
        <v>12433.743083946523</v>
      </c>
      <c r="S237" s="83">
        <f>R237*(1+Assumptions!$H$279)</f>
        <v>12682.417945625453</v>
      </c>
      <c r="T237" s="83">
        <f>S237*(1+Assumptions!$H$279)</f>
        <v>12936.066304537962</v>
      </c>
      <c r="U237" s="83">
        <f>T237*(1+Assumptions!$H$279)</f>
        <v>13194.787630628722</v>
      </c>
      <c r="V237" s="83">
        <f>U237*(1+Assumptions!$H$279)</f>
        <v>13458.683383241296</v>
      </c>
      <c r="W237" s="83">
        <f>V237*(1+Assumptions!$H$279)</f>
        <v>13727.857050906123</v>
      </c>
      <c r="X237" s="83">
        <f>W237*(1+Assumptions!$H$279)</f>
        <v>14002.414191924245</v>
      </c>
      <c r="Y237" s="83">
        <f>X237*(1+Assumptions!$H$279)</f>
        <v>14282.46247576273</v>
      </c>
      <c r="Z237" s="83">
        <f>Y237*(1+Assumptions!$H$279)</f>
        <v>14568.111725277984</v>
      </c>
      <c r="AA237" s="83">
        <f>Z237*(1+Assumptions!$H$279)</f>
        <v>14859.473959783543</v>
      </c>
    </row>
    <row r="238" spans="1:27" x14ac:dyDescent="0.45">
      <c r="A238" s="37"/>
      <c r="B238" s="4"/>
      <c r="C238" s="2" t="s">
        <v>114</v>
      </c>
      <c r="D238" s="2" t="str">
        <f>Assumptions!D238</f>
        <v>Market 1: Cosmetic markets (standard)</v>
      </c>
      <c r="E238" s="23" t="s">
        <v>809</v>
      </c>
      <c r="G238" s="83">
        <f>Assumptions!H238</f>
        <v>3200</v>
      </c>
      <c r="H238" s="83">
        <f>G238*(1+Assumptions!$H$279)</f>
        <v>3264</v>
      </c>
      <c r="I238" s="83">
        <f>H238*(1+Assumptions!$H$279)</f>
        <v>3329.28</v>
      </c>
      <c r="J238" s="83">
        <f>I238*(1+Assumptions!$H$279)</f>
        <v>3395.8656000000001</v>
      </c>
      <c r="K238" s="83">
        <f>J238*(1+Assumptions!$H$279)</f>
        <v>3463.7829120000001</v>
      </c>
      <c r="L238" s="83">
        <f>K238*(1+Assumptions!$H$279)</f>
        <v>3533.0585702400003</v>
      </c>
      <c r="M238" s="83">
        <f>L238*(1+Assumptions!$H$279)</f>
        <v>3603.7197416448003</v>
      </c>
      <c r="N238" s="83">
        <f>M238*(1+Assumptions!$H$279)</f>
        <v>3675.7941364776962</v>
      </c>
      <c r="O238" s="83">
        <f>N238*(1+Assumptions!$H$279)</f>
        <v>3749.3100192072502</v>
      </c>
      <c r="P238" s="83">
        <f>O238*(1+Assumptions!$H$279)</f>
        <v>3824.2962195913951</v>
      </c>
      <c r="Q238" s="83">
        <f>P238*(1+Assumptions!$H$279)</f>
        <v>3900.7821439832232</v>
      </c>
      <c r="R238" s="83">
        <f>Q238*(1+Assumptions!$H$279)</f>
        <v>3978.7977868628877</v>
      </c>
      <c r="S238" s="83">
        <f>R238*(1+Assumptions!$H$279)</f>
        <v>4058.3737426001458</v>
      </c>
      <c r="T238" s="83">
        <f>S238*(1+Assumptions!$H$279)</f>
        <v>4139.5412174521489</v>
      </c>
      <c r="U238" s="83">
        <f>T238*(1+Assumptions!$H$279)</f>
        <v>4222.3320418011917</v>
      </c>
      <c r="V238" s="83">
        <f>U238*(1+Assumptions!$H$279)</f>
        <v>4306.7786826372158</v>
      </c>
      <c r="W238" s="83">
        <f>V238*(1+Assumptions!$H$279)</f>
        <v>4392.9142562899606</v>
      </c>
      <c r="X238" s="83">
        <f>W238*(1+Assumptions!$H$279)</f>
        <v>4480.7725414157603</v>
      </c>
      <c r="Y238" s="83">
        <f>X238*(1+Assumptions!$H$279)</f>
        <v>4570.3879922440756</v>
      </c>
      <c r="Z238" s="83">
        <f>Y238*(1+Assumptions!$H$279)</f>
        <v>4661.7957520889568</v>
      </c>
      <c r="AA238" s="83">
        <f>Z238*(1+Assumptions!$H$279)</f>
        <v>4755.0316671307364</v>
      </c>
    </row>
    <row r="239" spans="1:27" x14ac:dyDescent="0.45">
      <c r="A239" s="37"/>
      <c r="B239" s="4"/>
      <c r="C239" s="2" t="s">
        <v>114</v>
      </c>
      <c r="D239" s="2" t="str">
        <f>Assumptions!D239</f>
        <v>Market 2: Cosmetic markets (organic)</v>
      </c>
      <c r="E239" s="23" t="s">
        <v>809</v>
      </c>
      <c r="G239" s="83">
        <f>Assumptions!H239</f>
        <v>3700</v>
      </c>
      <c r="H239" s="83">
        <f>G239*(1+Assumptions!$H$279)</f>
        <v>3774</v>
      </c>
      <c r="I239" s="83">
        <f>H239*(1+Assumptions!$H$279)</f>
        <v>3849.48</v>
      </c>
      <c r="J239" s="83">
        <f>I239*(1+Assumptions!$H$279)</f>
        <v>3926.4695999999999</v>
      </c>
      <c r="K239" s="83">
        <f>J239*(1+Assumptions!$H$279)</f>
        <v>4004.9989919999998</v>
      </c>
      <c r="L239" s="83">
        <f>K239*(1+Assumptions!$H$279)</f>
        <v>4085.0989718400001</v>
      </c>
      <c r="M239" s="83">
        <f>L239*(1+Assumptions!$H$279)</f>
        <v>4166.8009512768003</v>
      </c>
      <c r="N239" s="83">
        <f>M239*(1+Assumptions!$H$279)</f>
        <v>4250.1369703023365</v>
      </c>
      <c r="O239" s="83">
        <f>N239*(1+Assumptions!$H$279)</f>
        <v>4335.1397097083836</v>
      </c>
      <c r="P239" s="83">
        <f>O239*(1+Assumptions!$H$279)</f>
        <v>4421.8425039025515</v>
      </c>
      <c r="Q239" s="83">
        <f>P239*(1+Assumptions!$H$279)</f>
        <v>4510.2793539806025</v>
      </c>
      <c r="R239" s="83">
        <f>Q239*(1+Assumptions!$H$279)</f>
        <v>4600.4849410602146</v>
      </c>
      <c r="S239" s="83">
        <f>R239*(1+Assumptions!$H$279)</f>
        <v>4692.4946398814191</v>
      </c>
      <c r="T239" s="83">
        <f>S239*(1+Assumptions!$H$279)</f>
        <v>4786.3445326790479</v>
      </c>
      <c r="U239" s="83">
        <f>T239*(1+Assumptions!$H$279)</f>
        <v>4882.0714233326289</v>
      </c>
      <c r="V239" s="83">
        <f>U239*(1+Assumptions!$H$279)</f>
        <v>4979.7128517992815</v>
      </c>
      <c r="W239" s="83">
        <f>V239*(1+Assumptions!$H$279)</f>
        <v>5079.3071088352672</v>
      </c>
      <c r="X239" s="83">
        <f>W239*(1+Assumptions!$H$279)</f>
        <v>5180.893251011973</v>
      </c>
      <c r="Y239" s="83">
        <f>X239*(1+Assumptions!$H$279)</f>
        <v>5284.5111160322122</v>
      </c>
      <c r="Z239" s="83">
        <f>Y239*(1+Assumptions!$H$279)</f>
        <v>5390.2013383528565</v>
      </c>
      <c r="AA239" s="83">
        <f>Z239*(1+Assumptions!$H$279)</f>
        <v>5498.0053651199141</v>
      </c>
    </row>
    <row r="240" spans="1:27" x14ac:dyDescent="0.45">
      <c r="A240" s="37"/>
      <c r="B240" s="4"/>
      <c r="C240" s="2" t="s">
        <v>114</v>
      </c>
      <c r="D240" s="2" t="str">
        <f>Assumptions!D240</f>
        <v>Market 3: Food / confectionary market</v>
      </c>
      <c r="E240" s="23" t="s">
        <v>809</v>
      </c>
      <c r="G240" s="83">
        <f>Assumptions!H240</f>
        <v>2200</v>
      </c>
      <c r="H240" s="83">
        <f>G240*(1+Assumptions!$H$279)</f>
        <v>2244</v>
      </c>
      <c r="I240" s="83">
        <f>H240*(1+Assumptions!$H$279)</f>
        <v>2288.88</v>
      </c>
      <c r="J240" s="83">
        <f>I240*(1+Assumptions!$H$279)</f>
        <v>2334.6576</v>
      </c>
      <c r="K240" s="83">
        <f>J240*(1+Assumptions!$H$279)</f>
        <v>2381.3507519999998</v>
      </c>
      <c r="L240" s="83">
        <f>K240*(1+Assumptions!$H$279)</f>
        <v>2428.9777670399999</v>
      </c>
      <c r="M240" s="83">
        <f>L240*(1+Assumptions!$H$279)</f>
        <v>2477.5573223808001</v>
      </c>
      <c r="N240" s="83">
        <f>M240*(1+Assumptions!$H$279)</f>
        <v>2527.1084688284163</v>
      </c>
      <c r="O240" s="83">
        <f>N240*(1+Assumptions!$H$279)</f>
        <v>2577.6506382049847</v>
      </c>
      <c r="P240" s="83">
        <f>O240*(1+Assumptions!$H$279)</f>
        <v>2629.2036509690843</v>
      </c>
      <c r="Q240" s="83">
        <f>P240*(1+Assumptions!$H$279)</f>
        <v>2681.787723988466</v>
      </c>
      <c r="R240" s="83">
        <f>Q240*(1+Assumptions!$H$279)</f>
        <v>2735.4234784682353</v>
      </c>
      <c r="S240" s="83">
        <f>R240*(1+Assumptions!$H$279)</f>
        <v>2790.1319480376001</v>
      </c>
      <c r="T240" s="83">
        <f>S240*(1+Assumptions!$H$279)</f>
        <v>2845.9345869983522</v>
      </c>
      <c r="U240" s="83">
        <f>T240*(1+Assumptions!$H$279)</f>
        <v>2902.8532787383192</v>
      </c>
      <c r="V240" s="83">
        <f>U240*(1+Assumptions!$H$279)</f>
        <v>2960.9103443130857</v>
      </c>
      <c r="W240" s="83">
        <f>V240*(1+Assumptions!$H$279)</f>
        <v>3020.1285511993474</v>
      </c>
      <c r="X240" s="83">
        <f>W240*(1+Assumptions!$H$279)</f>
        <v>3080.5311222233345</v>
      </c>
      <c r="Y240" s="83">
        <f>X240*(1+Assumptions!$H$279)</f>
        <v>3142.141744667801</v>
      </c>
      <c r="Z240" s="83">
        <f>Y240*(1+Assumptions!$H$279)</f>
        <v>3204.9845795611573</v>
      </c>
      <c r="AA240" s="83">
        <f>Z240*(1+Assumptions!$H$279)</f>
        <v>3269.0842711523806</v>
      </c>
    </row>
    <row r="241" spans="1:27" x14ac:dyDescent="0.45">
      <c r="A241" s="37"/>
      <c r="B241" s="4"/>
      <c r="C241" s="2" t="s">
        <v>114</v>
      </c>
      <c r="D241" s="2" t="str">
        <f>Assumptions!D241</f>
        <v>Market 4: TBC</v>
      </c>
      <c r="E241" s="23" t="s">
        <v>809</v>
      </c>
      <c r="G241" s="83">
        <f>Assumptions!H241</f>
        <v>0</v>
      </c>
      <c r="H241" s="83">
        <f>G241*(1+Assumptions!$H$279)</f>
        <v>0</v>
      </c>
      <c r="I241" s="83">
        <f>H241*(1+Assumptions!$H$279)</f>
        <v>0</v>
      </c>
      <c r="J241" s="83">
        <f>I241*(1+Assumptions!$H$279)</f>
        <v>0</v>
      </c>
      <c r="K241" s="83">
        <f>J241*(1+Assumptions!$H$279)</f>
        <v>0</v>
      </c>
      <c r="L241" s="83">
        <f>K241*(1+Assumptions!$H$279)</f>
        <v>0</v>
      </c>
      <c r="M241" s="83">
        <f>L241*(1+Assumptions!$H$279)</f>
        <v>0</v>
      </c>
      <c r="N241" s="83">
        <f>M241*(1+Assumptions!$H$279)</f>
        <v>0</v>
      </c>
      <c r="O241" s="83">
        <f>N241*(1+Assumptions!$H$279)</f>
        <v>0</v>
      </c>
      <c r="P241" s="83">
        <f>O241*(1+Assumptions!$H$279)</f>
        <v>0</v>
      </c>
      <c r="Q241" s="83">
        <f>P241*(1+Assumptions!$H$279)</f>
        <v>0</v>
      </c>
      <c r="R241" s="83">
        <f>Q241*(1+Assumptions!$H$279)</f>
        <v>0</v>
      </c>
      <c r="S241" s="83">
        <f>R241*(1+Assumptions!$H$279)</f>
        <v>0</v>
      </c>
      <c r="T241" s="83">
        <f>S241*(1+Assumptions!$H$279)</f>
        <v>0</v>
      </c>
      <c r="U241" s="83">
        <f>T241*(1+Assumptions!$H$279)</f>
        <v>0</v>
      </c>
      <c r="V241" s="83">
        <f>U241*(1+Assumptions!$H$279)</f>
        <v>0</v>
      </c>
      <c r="W241" s="83">
        <f>V241*(1+Assumptions!$H$279)</f>
        <v>0</v>
      </c>
      <c r="X241" s="83">
        <f>W241*(1+Assumptions!$H$279)</f>
        <v>0</v>
      </c>
      <c r="Y241" s="83">
        <f>X241*(1+Assumptions!$H$279)</f>
        <v>0</v>
      </c>
      <c r="Z241" s="83">
        <f>Y241*(1+Assumptions!$H$279)</f>
        <v>0</v>
      </c>
      <c r="AA241" s="83">
        <f>Z241*(1+Assumptions!$H$279)</f>
        <v>0</v>
      </c>
    </row>
    <row r="242" spans="1:27" x14ac:dyDescent="0.45">
      <c r="A242" s="37"/>
      <c r="B242" s="4"/>
      <c r="C242" s="2" t="s">
        <v>114</v>
      </c>
      <c r="D242" s="2" t="str">
        <f>Assumptions!D242</f>
        <v>Market 5: TBC</v>
      </c>
      <c r="E242" s="23" t="s">
        <v>809</v>
      </c>
      <c r="G242" s="83">
        <f>Assumptions!H242</f>
        <v>0</v>
      </c>
      <c r="H242" s="83">
        <f>G242*(1+Assumptions!$H$279)</f>
        <v>0</v>
      </c>
      <c r="I242" s="83">
        <f>H242*(1+Assumptions!$H$279)</f>
        <v>0</v>
      </c>
      <c r="J242" s="83">
        <f>I242*(1+Assumptions!$H$279)</f>
        <v>0</v>
      </c>
      <c r="K242" s="83">
        <f>J242*(1+Assumptions!$H$279)</f>
        <v>0</v>
      </c>
      <c r="L242" s="83">
        <f>K242*(1+Assumptions!$H$279)</f>
        <v>0</v>
      </c>
      <c r="M242" s="83">
        <f>L242*(1+Assumptions!$H$279)</f>
        <v>0</v>
      </c>
      <c r="N242" s="83">
        <f>M242*(1+Assumptions!$H$279)</f>
        <v>0</v>
      </c>
      <c r="O242" s="83">
        <f>N242*(1+Assumptions!$H$279)</f>
        <v>0</v>
      </c>
      <c r="P242" s="83">
        <f>O242*(1+Assumptions!$H$279)</f>
        <v>0</v>
      </c>
      <c r="Q242" s="83">
        <f>P242*(1+Assumptions!$H$279)</f>
        <v>0</v>
      </c>
      <c r="R242" s="83">
        <f>Q242*(1+Assumptions!$H$279)</f>
        <v>0</v>
      </c>
      <c r="S242" s="83">
        <f>R242*(1+Assumptions!$H$279)</f>
        <v>0</v>
      </c>
      <c r="T242" s="83">
        <f>S242*(1+Assumptions!$H$279)</f>
        <v>0</v>
      </c>
      <c r="U242" s="83">
        <f>T242*(1+Assumptions!$H$279)</f>
        <v>0</v>
      </c>
      <c r="V242" s="83">
        <f>U242*(1+Assumptions!$H$279)</f>
        <v>0</v>
      </c>
      <c r="W242" s="83">
        <f>V242*(1+Assumptions!$H$279)</f>
        <v>0</v>
      </c>
      <c r="X242" s="83">
        <f>W242*(1+Assumptions!$H$279)</f>
        <v>0</v>
      </c>
      <c r="Y242" s="83">
        <f>X242*(1+Assumptions!$H$279)</f>
        <v>0</v>
      </c>
      <c r="Z242" s="83">
        <f>Y242*(1+Assumptions!$H$279)</f>
        <v>0</v>
      </c>
      <c r="AA242" s="83">
        <f>Z242*(1+Assumptions!$H$279)</f>
        <v>0</v>
      </c>
    </row>
    <row r="243" spans="1:27" x14ac:dyDescent="0.45">
      <c r="A243" s="37"/>
      <c r="B243" s="4"/>
      <c r="C243" s="2" t="s">
        <v>114</v>
      </c>
      <c r="D243" s="2" t="str">
        <f>Assumptions!D243</f>
        <v>Market 6: TBC</v>
      </c>
      <c r="E243" s="23" t="s">
        <v>809</v>
      </c>
      <c r="G243" s="83">
        <f>Assumptions!H243</f>
        <v>0</v>
      </c>
      <c r="H243" s="83">
        <f>G243*(1+Assumptions!$H$279)</f>
        <v>0</v>
      </c>
      <c r="I243" s="83">
        <f>H243*(1+Assumptions!$H$279)</f>
        <v>0</v>
      </c>
      <c r="J243" s="83">
        <f>I243*(1+Assumptions!$H$279)</f>
        <v>0</v>
      </c>
      <c r="K243" s="83">
        <f>J243*(1+Assumptions!$H$279)</f>
        <v>0</v>
      </c>
      <c r="L243" s="83">
        <f>K243*(1+Assumptions!$H$279)</f>
        <v>0</v>
      </c>
      <c r="M243" s="83">
        <f>L243*(1+Assumptions!$H$279)</f>
        <v>0</v>
      </c>
      <c r="N243" s="83">
        <f>M243*(1+Assumptions!$H$279)</f>
        <v>0</v>
      </c>
      <c r="O243" s="83">
        <f>N243*(1+Assumptions!$H$279)</f>
        <v>0</v>
      </c>
      <c r="P243" s="83">
        <f>O243*(1+Assumptions!$H$279)</f>
        <v>0</v>
      </c>
      <c r="Q243" s="83">
        <f>P243*(1+Assumptions!$H$279)</f>
        <v>0</v>
      </c>
      <c r="R243" s="83">
        <f>Q243*(1+Assumptions!$H$279)</f>
        <v>0</v>
      </c>
      <c r="S243" s="83">
        <f>R243*(1+Assumptions!$H$279)</f>
        <v>0</v>
      </c>
      <c r="T243" s="83">
        <f>S243*(1+Assumptions!$H$279)</f>
        <v>0</v>
      </c>
      <c r="U243" s="83">
        <f>T243*(1+Assumptions!$H$279)</f>
        <v>0</v>
      </c>
      <c r="V243" s="83">
        <f>U243*(1+Assumptions!$H$279)</f>
        <v>0</v>
      </c>
      <c r="W243" s="83">
        <f>V243*(1+Assumptions!$H$279)</f>
        <v>0</v>
      </c>
      <c r="X243" s="83">
        <f>W243*(1+Assumptions!$H$279)</f>
        <v>0</v>
      </c>
      <c r="Y243" s="83">
        <f>X243*(1+Assumptions!$H$279)</f>
        <v>0</v>
      </c>
      <c r="Z243" s="83">
        <f>Y243*(1+Assumptions!$H$279)</f>
        <v>0</v>
      </c>
      <c r="AA243" s="83">
        <f>Z243*(1+Assumptions!$H$279)</f>
        <v>0</v>
      </c>
    </row>
    <row r="244" spans="1:27" x14ac:dyDescent="0.45">
      <c r="A244" s="37"/>
      <c r="B244" s="4"/>
      <c r="C244" s="2" t="s">
        <v>114</v>
      </c>
      <c r="D244" s="2" t="str">
        <f>Assumptions!D244</f>
        <v>Market 7: TBC</v>
      </c>
      <c r="E244" s="23" t="s">
        <v>809</v>
      </c>
      <c r="G244" s="83">
        <f>Assumptions!H244</f>
        <v>0</v>
      </c>
      <c r="H244" s="83">
        <f>G244*(1+Assumptions!$H$279)</f>
        <v>0</v>
      </c>
      <c r="I244" s="83">
        <f>H244*(1+Assumptions!$H$279)</f>
        <v>0</v>
      </c>
      <c r="J244" s="83">
        <f>I244*(1+Assumptions!$H$279)</f>
        <v>0</v>
      </c>
      <c r="K244" s="83">
        <f>J244*(1+Assumptions!$H$279)</f>
        <v>0</v>
      </c>
      <c r="L244" s="83">
        <f>K244*(1+Assumptions!$H$279)</f>
        <v>0</v>
      </c>
      <c r="M244" s="83">
        <f>L244*(1+Assumptions!$H$279)</f>
        <v>0</v>
      </c>
      <c r="N244" s="83">
        <f>M244*(1+Assumptions!$H$279)</f>
        <v>0</v>
      </c>
      <c r="O244" s="83">
        <f>N244*(1+Assumptions!$H$279)</f>
        <v>0</v>
      </c>
      <c r="P244" s="83">
        <f>O244*(1+Assumptions!$H$279)</f>
        <v>0</v>
      </c>
      <c r="Q244" s="83">
        <f>P244*(1+Assumptions!$H$279)</f>
        <v>0</v>
      </c>
      <c r="R244" s="83">
        <f>Q244*(1+Assumptions!$H$279)</f>
        <v>0</v>
      </c>
      <c r="S244" s="83">
        <f>R244*(1+Assumptions!$H$279)</f>
        <v>0</v>
      </c>
      <c r="T244" s="83">
        <f>S244*(1+Assumptions!$H$279)</f>
        <v>0</v>
      </c>
      <c r="U244" s="83">
        <f>T244*(1+Assumptions!$H$279)</f>
        <v>0</v>
      </c>
      <c r="V244" s="83">
        <f>U244*(1+Assumptions!$H$279)</f>
        <v>0</v>
      </c>
      <c r="W244" s="83">
        <f>V244*(1+Assumptions!$H$279)</f>
        <v>0</v>
      </c>
      <c r="X244" s="83">
        <f>W244*(1+Assumptions!$H$279)</f>
        <v>0</v>
      </c>
      <c r="Y244" s="83">
        <f>X244*(1+Assumptions!$H$279)</f>
        <v>0</v>
      </c>
      <c r="Z244" s="83">
        <f>Y244*(1+Assumptions!$H$279)</f>
        <v>0</v>
      </c>
      <c r="AA244" s="83">
        <f>Z244*(1+Assumptions!$H$279)</f>
        <v>0</v>
      </c>
    </row>
    <row r="245" spans="1:27" x14ac:dyDescent="0.45">
      <c r="A245" s="37"/>
      <c r="B245" s="4"/>
      <c r="C245" s="2" t="s">
        <v>114</v>
      </c>
      <c r="D245" s="2" t="str">
        <f>Assumptions!D245</f>
        <v>Market 8: TBC</v>
      </c>
      <c r="E245" s="23" t="s">
        <v>809</v>
      </c>
      <c r="G245" s="83">
        <f>Assumptions!H245</f>
        <v>0</v>
      </c>
      <c r="H245" s="83">
        <f>G245*(1+Assumptions!$H$279)</f>
        <v>0</v>
      </c>
      <c r="I245" s="83">
        <f>H245*(1+Assumptions!$H$279)</f>
        <v>0</v>
      </c>
      <c r="J245" s="83">
        <f>I245*(1+Assumptions!$H$279)</f>
        <v>0</v>
      </c>
      <c r="K245" s="83">
        <f>J245*(1+Assumptions!$H$279)</f>
        <v>0</v>
      </c>
      <c r="L245" s="83">
        <f>K245*(1+Assumptions!$H$279)</f>
        <v>0</v>
      </c>
      <c r="M245" s="83">
        <f>L245*(1+Assumptions!$H$279)</f>
        <v>0</v>
      </c>
      <c r="N245" s="83">
        <f>M245*(1+Assumptions!$H$279)</f>
        <v>0</v>
      </c>
      <c r="O245" s="83">
        <f>N245*(1+Assumptions!$H$279)</f>
        <v>0</v>
      </c>
      <c r="P245" s="83">
        <f>O245*(1+Assumptions!$H$279)</f>
        <v>0</v>
      </c>
      <c r="Q245" s="83">
        <f>P245*(1+Assumptions!$H$279)</f>
        <v>0</v>
      </c>
      <c r="R245" s="83">
        <f>Q245*(1+Assumptions!$H$279)</f>
        <v>0</v>
      </c>
      <c r="S245" s="83">
        <f>R245*(1+Assumptions!$H$279)</f>
        <v>0</v>
      </c>
      <c r="T245" s="83">
        <f>S245*(1+Assumptions!$H$279)</f>
        <v>0</v>
      </c>
      <c r="U245" s="83">
        <f>T245*(1+Assumptions!$H$279)</f>
        <v>0</v>
      </c>
      <c r="V245" s="83">
        <f>U245*(1+Assumptions!$H$279)</f>
        <v>0</v>
      </c>
      <c r="W245" s="83">
        <f>V245*(1+Assumptions!$H$279)</f>
        <v>0</v>
      </c>
      <c r="X245" s="83">
        <f>W245*(1+Assumptions!$H$279)</f>
        <v>0</v>
      </c>
      <c r="Y245" s="83">
        <f>X245*(1+Assumptions!$H$279)</f>
        <v>0</v>
      </c>
      <c r="Z245" s="83">
        <f>Y245*(1+Assumptions!$H$279)</f>
        <v>0</v>
      </c>
      <c r="AA245" s="83">
        <f>Z245*(1+Assumptions!$H$279)</f>
        <v>0</v>
      </c>
    </row>
    <row r="246" spans="1:27" x14ac:dyDescent="0.45">
      <c r="A246" s="37"/>
      <c r="B246" s="4"/>
      <c r="C246" s="2" t="s">
        <v>114</v>
      </c>
      <c r="D246" s="2" t="s">
        <v>763</v>
      </c>
      <c r="E246" s="23" t="s">
        <v>812</v>
      </c>
      <c r="G246" s="83">
        <f>G216*Assumptions!$H$206*G237</f>
        <v>0</v>
      </c>
      <c r="H246" s="83">
        <f>H216*Assumptions!$H$206*H237</f>
        <v>0</v>
      </c>
      <c r="I246" s="83">
        <f>I216*Assumptions!$H$206*I237</f>
        <v>0</v>
      </c>
      <c r="J246" s="83">
        <f>J216*Assumptions!$H$206*J237</f>
        <v>0</v>
      </c>
      <c r="K246" s="83">
        <f>K216*Assumptions!$H$206*K237</f>
        <v>0</v>
      </c>
      <c r="L246" s="83">
        <f>L216*Assumptions!$H$206*L237</f>
        <v>0</v>
      </c>
      <c r="M246" s="83">
        <f>M216*Assumptions!$H$206*M237</f>
        <v>0</v>
      </c>
      <c r="N246" s="83">
        <f>N216*Assumptions!$H$206*N237</f>
        <v>0</v>
      </c>
      <c r="O246" s="83">
        <f>O216*Assumptions!$H$206*O237</f>
        <v>0</v>
      </c>
      <c r="P246" s="83">
        <f>P216*Assumptions!$H$206*P237</f>
        <v>0</v>
      </c>
      <c r="Q246" s="83">
        <f>Q216*Assumptions!$H$206*Q237</f>
        <v>0</v>
      </c>
      <c r="R246" s="83">
        <f>R216*Assumptions!$H$206*R237</f>
        <v>0</v>
      </c>
      <c r="S246" s="83">
        <f>S216*Assumptions!$H$206*S237</f>
        <v>0</v>
      </c>
      <c r="T246" s="83">
        <f>T216*Assumptions!$H$206*T237</f>
        <v>0</v>
      </c>
      <c r="U246" s="83">
        <f>U216*Assumptions!$H$206*U237</f>
        <v>0</v>
      </c>
      <c r="V246" s="83">
        <f>V216*Assumptions!$H$206*V237</f>
        <v>0</v>
      </c>
      <c r="W246" s="83">
        <f>W216*Assumptions!$H$206*W237</f>
        <v>0</v>
      </c>
      <c r="X246" s="83">
        <f>X216*Assumptions!$H$206*X237</f>
        <v>0</v>
      </c>
      <c r="Y246" s="83">
        <f>Y216*Assumptions!$H$206*Y237</f>
        <v>0</v>
      </c>
      <c r="Z246" s="83">
        <f>Z216*Assumptions!$H$206*Z237</f>
        <v>0</v>
      </c>
      <c r="AA246" s="83">
        <f>AA216*Assumptions!$H$206*AA237</f>
        <v>0</v>
      </c>
    </row>
    <row r="247" spans="1:27" x14ac:dyDescent="0.45">
      <c r="A247" s="37"/>
      <c r="B247" s="4"/>
      <c r="C247" s="2" t="s">
        <v>114</v>
      </c>
      <c r="D247" s="2" t="s">
        <v>290</v>
      </c>
      <c r="E247" s="23" t="s">
        <v>812</v>
      </c>
      <c r="G247" s="83">
        <f>Assumptions!I275</f>
        <v>30000</v>
      </c>
      <c r="H247" s="83">
        <f>G247*(1+Assumptions!$H$279)</f>
        <v>30600</v>
      </c>
      <c r="I247" s="83">
        <f>H247*(1+Assumptions!$H$279)</f>
        <v>31212</v>
      </c>
      <c r="J247" s="83">
        <f>I247*(1+Assumptions!$H$279)</f>
        <v>31836.240000000002</v>
      </c>
      <c r="K247" s="83">
        <f>J247*(1+Assumptions!$H$279)</f>
        <v>32472.964800000002</v>
      </c>
      <c r="L247" s="83">
        <f>K247*(1+Assumptions!$H$279)</f>
        <v>33122.424096000002</v>
      </c>
      <c r="M247" s="83">
        <f>L247*(1+Assumptions!$H$279)</f>
        <v>33784.872577920003</v>
      </c>
      <c r="N247" s="83">
        <f>M247*(1+Assumptions!$H$279)</f>
        <v>34460.570029478404</v>
      </c>
      <c r="O247" s="83">
        <f>N247*(1+Assumptions!$H$279)</f>
        <v>35149.781430067975</v>
      </c>
      <c r="P247" s="83">
        <f>O247*(1+Assumptions!$H$279)</f>
        <v>35852.777058669337</v>
      </c>
      <c r="Q247" s="83">
        <f>P247*(1+Assumptions!$H$279)</f>
        <v>36569.832599842724</v>
      </c>
      <c r="R247" s="83">
        <f>Q247*(1+Assumptions!$H$279)</f>
        <v>37301.229251839577</v>
      </c>
      <c r="S247" s="83">
        <f>R247*(1+Assumptions!$H$279)</f>
        <v>38047.253836876371</v>
      </c>
      <c r="T247" s="83">
        <f>S247*(1+Assumptions!$H$279)</f>
        <v>38808.198913613902</v>
      </c>
      <c r="U247" s="83">
        <f>T247*(1+Assumptions!$H$279)</f>
        <v>39584.36289188618</v>
      </c>
      <c r="V247" s="83">
        <f>U247*(1+Assumptions!$H$279)</f>
        <v>40376.050149723902</v>
      </c>
      <c r="W247" s="83">
        <f>V247*(1+Assumptions!$H$279)</f>
        <v>41183.571152718381</v>
      </c>
      <c r="X247" s="83">
        <f>W247*(1+Assumptions!$H$279)</f>
        <v>42007.242575772747</v>
      </c>
      <c r="Y247" s="83">
        <f>X247*(1+Assumptions!$H$279)</f>
        <v>42847.387427288202</v>
      </c>
      <c r="Z247" s="83">
        <f>Y247*(1+Assumptions!$H$279)</f>
        <v>43704.33517583397</v>
      </c>
      <c r="AA247" s="83">
        <f>Z247*(1+Assumptions!$H$279)</f>
        <v>44578.421879350652</v>
      </c>
    </row>
    <row r="248" spans="1:27" x14ac:dyDescent="0.45">
      <c r="A248" s="37"/>
      <c r="B248" s="4"/>
      <c r="C248" s="2" t="s">
        <v>114</v>
      </c>
      <c r="D248" s="2" t="s">
        <v>765</v>
      </c>
      <c r="E248" s="23" t="s">
        <v>812</v>
      </c>
      <c r="G248" s="83">
        <f>Assumptions!I276</f>
        <v>15000</v>
      </c>
      <c r="H248" s="83">
        <f>G248*(1+Assumptions!$H$279)</f>
        <v>15300</v>
      </c>
      <c r="I248" s="83">
        <f>H248*(1+Assumptions!$H$279)</f>
        <v>15606</v>
      </c>
      <c r="J248" s="83">
        <f>I248*(1+Assumptions!$H$279)</f>
        <v>15918.12</v>
      </c>
      <c r="K248" s="83">
        <f>J248*(1+Assumptions!$H$279)</f>
        <v>16236.482400000001</v>
      </c>
      <c r="L248" s="83">
        <f>K248*(1+Assumptions!$H$279)</f>
        <v>16561.212048000001</v>
      </c>
      <c r="M248" s="83">
        <f>L248*(1+Assumptions!$H$279)</f>
        <v>16892.436288960002</v>
      </c>
      <c r="N248" s="83">
        <f>M248*(1+Assumptions!$H$279)</f>
        <v>17230.285014739202</v>
      </c>
      <c r="O248" s="83">
        <f>N248*(1+Assumptions!$H$279)</f>
        <v>17574.890715033987</v>
      </c>
      <c r="P248" s="83">
        <f>O248*(1+Assumptions!$H$279)</f>
        <v>17926.388529334668</v>
      </c>
      <c r="Q248" s="83">
        <f>P248*(1+Assumptions!$H$279)</f>
        <v>18284.916299921362</v>
      </c>
      <c r="R248" s="83">
        <f>Q248*(1+Assumptions!$H$279)</f>
        <v>18650.614625919789</v>
      </c>
      <c r="S248" s="83">
        <f>R248*(1+Assumptions!$H$279)</f>
        <v>19023.626918438185</v>
      </c>
      <c r="T248" s="83">
        <f>S248*(1+Assumptions!$H$279)</f>
        <v>19404.099456806951</v>
      </c>
      <c r="U248" s="83">
        <f>T248*(1+Assumptions!$H$279)</f>
        <v>19792.18144594309</v>
      </c>
      <c r="V248" s="83">
        <f>U248*(1+Assumptions!$H$279)</f>
        <v>20188.025074861951</v>
      </c>
      <c r="W248" s="83">
        <f>V248*(1+Assumptions!$H$279)</f>
        <v>20591.785576359191</v>
      </c>
      <c r="X248" s="83">
        <f>W248*(1+Assumptions!$H$279)</f>
        <v>21003.621287886373</v>
      </c>
      <c r="Y248" s="83">
        <f>X248*(1+Assumptions!$H$279)</f>
        <v>21423.693713644101</v>
      </c>
      <c r="Z248" s="83">
        <f>Y248*(1+Assumptions!$H$279)</f>
        <v>21852.167587916985</v>
      </c>
      <c r="AA248" s="83">
        <f>Z248*(1+Assumptions!$H$279)</f>
        <v>22289.210939675326</v>
      </c>
    </row>
    <row r="249" spans="1:27" x14ac:dyDescent="0.45">
      <c r="A249" s="37"/>
      <c r="B249" s="4"/>
      <c r="C249" s="2" t="s">
        <v>114</v>
      </c>
      <c r="D249" s="2" t="s">
        <v>291</v>
      </c>
      <c r="E249" s="23" t="s">
        <v>813</v>
      </c>
      <c r="G249" s="83">
        <f>Assumptions!I277</f>
        <v>0</v>
      </c>
      <c r="H249" s="83">
        <f>G249*(1+Assumptions!$H$279)</f>
        <v>0</v>
      </c>
      <c r="I249" s="83">
        <f>H249*(1+Assumptions!$H$279)</f>
        <v>0</v>
      </c>
      <c r="J249" s="83">
        <f>I249*(1+Assumptions!$H$279)</f>
        <v>0</v>
      </c>
      <c r="K249" s="83">
        <f>J249*(1+Assumptions!$H$279)</f>
        <v>0</v>
      </c>
      <c r="L249" s="83">
        <f>K249*(1+Assumptions!$H$279)</f>
        <v>0</v>
      </c>
      <c r="M249" s="83">
        <f>L249*(1+Assumptions!$H$279)</f>
        <v>0</v>
      </c>
      <c r="N249" s="83">
        <f>M249*(1+Assumptions!$H$279)</f>
        <v>0</v>
      </c>
      <c r="O249" s="83">
        <f>N249*(1+Assumptions!$H$279)</f>
        <v>0</v>
      </c>
      <c r="P249" s="83">
        <f>O249*(1+Assumptions!$H$279)</f>
        <v>0</v>
      </c>
      <c r="Q249" s="83">
        <f>P249*(1+Assumptions!$H$279)</f>
        <v>0</v>
      </c>
      <c r="R249" s="83">
        <f>Q249*(1+Assumptions!$H$279)</f>
        <v>0</v>
      </c>
      <c r="S249" s="83">
        <f>R249*(1+Assumptions!$H$279)</f>
        <v>0</v>
      </c>
      <c r="T249" s="83">
        <f>S249*(1+Assumptions!$H$279)</f>
        <v>0</v>
      </c>
      <c r="U249" s="83">
        <f>T249*(1+Assumptions!$H$279)</f>
        <v>0</v>
      </c>
      <c r="V249" s="83">
        <f>U249*(1+Assumptions!$H$279)</f>
        <v>0</v>
      </c>
      <c r="W249" s="83">
        <f>V249*(1+Assumptions!$H$279)</f>
        <v>0</v>
      </c>
      <c r="X249" s="83">
        <f>W249*(1+Assumptions!$H$279)</f>
        <v>0</v>
      </c>
      <c r="Y249" s="83">
        <f>X249*(1+Assumptions!$H$279)</f>
        <v>0</v>
      </c>
      <c r="Z249" s="83">
        <f>Y249*(1+Assumptions!$H$279)</f>
        <v>0</v>
      </c>
      <c r="AA249" s="83">
        <f>Z249*(1+Assumptions!$H$279)</f>
        <v>0</v>
      </c>
    </row>
    <row r="250" spans="1:27" customFormat="1" x14ac:dyDescent="0.45">
      <c r="H250" s="401">
        <f>SUM(H251:H252)/3</f>
        <v>204000</v>
      </c>
      <c r="I250" s="401">
        <f t="shared" ref="I250:AA250" si="27">SUM(I251:I252)/3</f>
        <v>208080</v>
      </c>
      <c r="J250" s="401">
        <f t="shared" si="27"/>
        <v>212241.6</v>
      </c>
      <c r="K250" s="401">
        <f t="shared" si="27"/>
        <v>216486.432</v>
      </c>
      <c r="L250" s="401">
        <f t="shared" si="27"/>
        <v>220816.16064000002</v>
      </c>
      <c r="M250" s="401">
        <f t="shared" si="27"/>
        <v>225232.48385280001</v>
      </c>
      <c r="N250" s="401">
        <f t="shared" si="27"/>
        <v>229737.13352985602</v>
      </c>
      <c r="O250" s="401">
        <f t="shared" si="27"/>
        <v>234331.87620045315</v>
      </c>
      <c r="P250" s="401">
        <f t="shared" si="27"/>
        <v>239018.51372446222</v>
      </c>
      <c r="Q250" s="401">
        <f t="shared" si="27"/>
        <v>243798.88399895144</v>
      </c>
      <c r="R250" s="401">
        <f t="shared" si="27"/>
        <v>248674.86167893047</v>
      </c>
      <c r="S250" s="401">
        <f t="shared" si="27"/>
        <v>253648.35891250914</v>
      </c>
      <c r="T250" s="401">
        <f t="shared" si="27"/>
        <v>258721.32609075928</v>
      </c>
      <c r="U250" s="401">
        <f t="shared" si="27"/>
        <v>263895.75261257449</v>
      </c>
      <c r="V250" s="401">
        <f t="shared" si="27"/>
        <v>269173.66766482597</v>
      </c>
      <c r="W250" s="401">
        <f t="shared" si="27"/>
        <v>274557.14101812255</v>
      </c>
      <c r="X250" s="401">
        <f t="shared" si="27"/>
        <v>280048.28383848502</v>
      </c>
      <c r="Y250" s="401">
        <f t="shared" si="27"/>
        <v>285649.24951525469</v>
      </c>
      <c r="Z250" s="401">
        <f t="shared" si="27"/>
        <v>291362.23450555978</v>
      </c>
      <c r="AA250" s="401">
        <f t="shared" si="27"/>
        <v>297189.47919567104</v>
      </c>
    </row>
    <row r="251" spans="1:27" x14ac:dyDescent="0.45">
      <c r="A251" s="37"/>
      <c r="B251" s="4"/>
      <c r="C251" s="2" t="s">
        <v>114</v>
      </c>
      <c r="D251" s="2" t="s">
        <v>758</v>
      </c>
      <c r="E251" s="23" t="s">
        <v>806</v>
      </c>
      <c r="G251" s="83">
        <f>G219*G235</f>
        <v>0</v>
      </c>
      <c r="H251" s="83">
        <f>H219*H235</f>
        <v>612000</v>
      </c>
      <c r="I251" s="83">
        <f t="shared" ref="I251:AA251" si="28">I219*I235</f>
        <v>624240</v>
      </c>
      <c r="J251" s="83">
        <f t="shared" si="28"/>
        <v>636724.80000000005</v>
      </c>
      <c r="K251" s="83">
        <f t="shared" si="28"/>
        <v>649459.29599999997</v>
      </c>
      <c r="L251" s="83">
        <f t="shared" si="28"/>
        <v>662448.48192000005</v>
      </c>
      <c r="M251" s="83">
        <f t="shared" si="28"/>
        <v>675697.45155840006</v>
      </c>
      <c r="N251" s="83">
        <f t="shared" si="28"/>
        <v>689211.40058956807</v>
      </c>
      <c r="O251" s="83">
        <f t="shared" si="28"/>
        <v>702995.62860135944</v>
      </c>
      <c r="P251" s="83">
        <f t="shared" si="28"/>
        <v>717055.54117338662</v>
      </c>
      <c r="Q251" s="83">
        <f t="shared" si="28"/>
        <v>731396.65199685434</v>
      </c>
      <c r="R251" s="83">
        <f t="shared" si="28"/>
        <v>746024.5850367914</v>
      </c>
      <c r="S251" s="83">
        <f t="shared" si="28"/>
        <v>760945.07673752739</v>
      </c>
      <c r="T251" s="83">
        <f t="shared" si="28"/>
        <v>776163.97827227786</v>
      </c>
      <c r="U251" s="83">
        <f t="shared" si="28"/>
        <v>791687.25783772347</v>
      </c>
      <c r="V251" s="83">
        <f t="shared" si="28"/>
        <v>807521.00299447798</v>
      </c>
      <c r="W251" s="83">
        <f t="shared" si="28"/>
        <v>823671.42305436765</v>
      </c>
      <c r="X251" s="83">
        <f t="shared" si="28"/>
        <v>840144.85151545506</v>
      </c>
      <c r="Y251" s="83">
        <f t="shared" si="28"/>
        <v>856947.74854576413</v>
      </c>
      <c r="Z251" s="83">
        <f t="shared" si="28"/>
        <v>874086.70351667935</v>
      </c>
      <c r="AA251" s="83">
        <f t="shared" si="28"/>
        <v>891568.43758701312</v>
      </c>
    </row>
    <row r="252" spans="1:27" x14ac:dyDescent="0.45">
      <c r="A252" s="37"/>
      <c r="B252" s="4"/>
      <c r="C252" s="2" t="s">
        <v>114</v>
      </c>
      <c r="D252" s="2" t="s">
        <v>759</v>
      </c>
      <c r="E252" s="23" t="s">
        <v>806</v>
      </c>
      <c r="G252" s="83">
        <f>G221*G236</f>
        <v>0</v>
      </c>
      <c r="H252" s="83">
        <f>H221*H236</f>
        <v>0</v>
      </c>
      <c r="I252" s="83">
        <f t="shared" ref="I252:AA252" si="29">I221*I236</f>
        <v>0</v>
      </c>
      <c r="J252" s="83">
        <f t="shared" si="29"/>
        <v>0</v>
      </c>
      <c r="K252" s="83">
        <f t="shared" si="29"/>
        <v>0</v>
      </c>
      <c r="L252" s="83">
        <f t="shared" si="29"/>
        <v>0</v>
      </c>
      <c r="M252" s="83">
        <f t="shared" si="29"/>
        <v>0</v>
      </c>
      <c r="N252" s="83">
        <f t="shared" si="29"/>
        <v>0</v>
      </c>
      <c r="O252" s="83">
        <f t="shared" si="29"/>
        <v>0</v>
      </c>
      <c r="P252" s="83">
        <f t="shared" si="29"/>
        <v>0</v>
      </c>
      <c r="Q252" s="83">
        <f t="shared" si="29"/>
        <v>0</v>
      </c>
      <c r="R252" s="83">
        <f t="shared" si="29"/>
        <v>0</v>
      </c>
      <c r="S252" s="83">
        <f t="shared" si="29"/>
        <v>0</v>
      </c>
      <c r="T252" s="83">
        <f t="shared" si="29"/>
        <v>0</v>
      </c>
      <c r="U252" s="83">
        <f t="shared" si="29"/>
        <v>0</v>
      </c>
      <c r="V252" s="83">
        <f t="shared" si="29"/>
        <v>0</v>
      </c>
      <c r="W252" s="83">
        <f t="shared" si="29"/>
        <v>0</v>
      </c>
      <c r="X252" s="83">
        <f t="shared" si="29"/>
        <v>0</v>
      </c>
      <c r="Y252" s="83">
        <f t="shared" si="29"/>
        <v>0</v>
      </c>
      <c r="Z252" s="83">
        <f t="shared" si="29"/>
        <v>0</v>
      </c>
      <c r="AA252" s="83">
        <f t="shared" si="29"/>
        <v>0</v>
      </c>
    </row>
    <row r="253" spans="1:27" x14ac:dyDescent="0.45">
      <c r="A253" s="37"/>
      <c r="B253" s="4"/>
      <c r="C253" s="2" t="s">
        <v>114</v>
      </c>
      <c r="D253" s="2" t="str">
        <f t="shared" ref="D253:D260" si="30">D238</f>
        <v>Market 1: Cosmetic markets (standard)</v>
      </c>
      <c r="E253" s="23" t="s">
        <v>806</v>
      </c>
      <c r="G253" s="83">
        <f t="shared" ref="G253:AA253" si="31">G238*G222</f>
        <v>0</v>
      </c>
      <c r="H253" s="83">
        <f t="shared" si="31"/>
        <v>6266880</v>
      </c>
      <c r="I253" s="83">
        <f t="shared" si="31"/>
        <v>6392217.6000000006</v>
      </c>
      <c r="J253" s="83">
        <f t="shared" si="31"/>
        <v>6520061.9520000005</v>
      </c>
      <c r="K253" s="83">
        <f t="shared" si="31"/>
        <v>6650463.1910399999</v>
      </c>
      <c r="L253" s="83">
        <f t="shared" si="31"/>
        <v>6783472.4548608009</v>
      </c>
      <c r="M253" s="83">
        <f t="shared" si="31"/>
        <v>6919141.9039580161</v>
      </c>
      <c r="N253" s="83">
        <f t="shared" si="31"/>
        <v>7057524.7420371771</v>
      </c>
      <c r="O253" s="83">
        <f t="shared" si="31"/>
        <v>7198675.2368779201</v>
      </c>
      <c r="P253" s="83">
        <f t="shared" si="31"/>
        <v>7342648.7416154789</v>
      </c>
      <c r="Q253" s="83">
        <f t="shared" si="31"/>
        <v>7489501.7164477883</v>
      </c>
      <c r="R253" s="83">
        <f t="shared" si="31"/>
        <v>7639291.7507767444</v>
      </c>
      <c r="S253" s="83">
        <f t="shared" si="31"/>
        <v>7792077.5857922798</v>
      </c>
      <c r="T253" s="83">
        <f t="shared" si="31"/>
        <v>7947919.137508126</v>
      </c>
      <c r="U253" s="83">
        <f t="shared" si="31"/>
        <v>8106877.5202582879</v>
      </c>
      <c r="V253" s="83">
        <f t="shared" si="31"/>
        <v>8269015.070663454</v>
      </c>
      <c r="W253" s="83">
        <f t="shared" si="31"/>
        <v>8434395.3720767237</v>
      </c>
      <c r="X253" s="83">
        <f t="shared" si="31"/>
        <v>8603083.2795182597</v>
      </c>
      <c r="Y253" s="83">
        <f t="shared" si="31"/>
        <v>8775144.945108626</v>
      </c>
      <c r="Z253" s="83">
        <f t="shared" si="31"/>
        <v>8950647.8440107964</v>
      </c>
      <c r="AA253" s="83">
        <f t="shared" si="31"/>
        <v>9129660.8008910138</v>
      </c>
    </row>
    <row r="254" spans="1:27" x14ac:dyDescent="0.45">
      <c r="A254" s="37"/>
      <c r="B254" s="4"/>
      <c r="C254" s="2" t="s">
        <v>114</v>
      </c>
      <c r="D254" s="2" t="str">
        <f t="shared" si="30"/>
        <v>Market 2: Cosmetic markets (organic)</v>
      </c>
      <c r="E254" s="23" t="s">
        <v>806</v>
      </c>
      <c r="G254" s="83">
        <f t="shared" ref="G254:AA254" si="32">G239*G223</f>
        <v>0</v>
      </c>
      <c r="H254" s="83">
        <f t="shared" si="32"/>
        <v>1811520</v>
      </c>
      <c r="I254" s="83">
        <f t="shared" si="32"/>
        <v>1847750.4</v>
      </c>
      <c r="J254" s="83">
        <f t="shared" si="32"/>
        <v>1884705.4080000001</v>
      </c>
      <c r="K254" s="83">
        <f t="shared" si="32"/>
        <v>1922399.5161599999</v>
      </c>
      <c r="L254" s="83">
        <f t="shared" si="32"/>
        <v>1960847.5064832</v>
      </c>
      <c r="M254" s="83">
        <f t="shared" si="32"/>
        <v>2000064.456612864</v>
      </c>
      <c r="N254" s="83">
        <f t="shared" si="32"/>
        <v>2040065.7457451215</v>
      </c>
      <c r="O254" s="83">
        <f t="shared" si="32"/>
        <v>2080867.0606600242</v>
      </c>
      <c r="P254" s="83">
        <f t="shared" si="32"/>
        <v>2122484.4018732249</v>
      </c>
      <c r="Q254" s="83">
        <f t="shared" si="32"/>
        <v>2164934.0899106893</v>
      </c>
      <c r="R254" s="83">
        <f t="shared" si="32"/>
        <v>2208232.7717089029</v>
      </c>
      <c r="S254" s="83">
        <f t="shared" si="32"/>
        <v>2252397.4271430811</v>
      </c>
      <c r="T254" s="83">
        <f t="shared" si="32"/>
        <v>2297445.3756859428</v>
      </c>
      <c r="U254" s="83">
        <f t="shared" si="32"/>
        <v>2343394.2831996619</v>
      </c>
      <c r="V254" s="83">
        <f t="shared" si="32"/>
        <v>2390262.1688636551</v>
      </c>
      <c r="W254" s="83">
        <f t="shared" si="32"/>
        <v>2438067.412240928</v>
      </c>
      <c r="X254" s="83">
        <f t="shared" si="32"/>
        <v>2486828.7604857469</v>
      </c>
      <c r="Y254" s="83">
        <f t="shared" si="32"/>
        <v>2536565.3356954618</v>
      </c>
      <c r="Z254" s="83">
        <f t="shared" si="32"/>
        <v>2587296.6424093712</v>
      </c>
      <c r="AA254" s="83">
        <f t="shared" si="32"/>
        <v>2639042.5752575588</v>
      </c>
    </row>
    <row r="255" spans="1:27" x14ac:dyDescent="0.45">
      <c r="A255" s="37"/>
      <c r="B255" s="4"/>
      <c r="C255" s="2" t="s">
        <v>114</v>
      </c>
      <c r="D255" s="2" t="str">
        <f t="shared" si="30"/>
        <v>Market 3: Food / confectionary market</v>
      </c>
      <c r="E255" s="23" t="s">
        <v>806</v>
      </c>
      <c r="G255" s="83">
        <f t="shared" ref="G255:AA255" si="33">G240*G224</f>
        <v>0</v>
      </c>
      <c r="H255" s="83">
        <f t="shared" si="33"/>
        <v>0</v>
      </c>
      <c r="I255" s="83">
        <f t="shared" si="33"/>
        <v>0</v>
      </c>
      <c r="J255" s="83">
        <f t="shared" si="33"/>
        <v>0</v>
      </c>
      <c r="K255" s="83">
        <f t="shared" si="33"/>
        <v>0</v>
      </c>
      <c r="L255" s="83">
        <f t="shared" si="33"/>
        <v>0</v>
      </c>
      <c r="M255" s="83">
        <f t="shared" si="33"/>
        <v>0</v>
      </c>
      <c r="N255" s="83">
        <f t="shared" si="33"/>
        <v>0</v>
      </c>
      <c r="O255" s="83">
        <f t="shared" si="33"/>
        <v>0</v>
      </c>
      <c r="P255" s="83">
        <f t="shared" si="33"/>
        <v>0</v>
      </c>
      <c r="Q255" s="83">
        <f t="shared" si="33"/>
        <v>0</v>
      </c>
      <c r="R255" s="83">
        <f t="shared" si="33"/>
        <v>0</v>
      </c>
      <c r="S255" s="83">
        <f t="shared" si="33"/>
        <v>0</v>
      </c>
      <c r="T255" s="83">
        <f t="shared" si="33"/>
        <v>0</v>
      </c>
      <c r="U255" s="83">
        <f t="shared" si="33"/>
        <v>0</v>
      </c>
      <c r="V255" s="83">
        <f t="shared" si="33"/>
        <v>0</v>
      </c>
      <c r="W255" s="83">
        <f t="shared" si="33"/>
        <v>0</v>
      </c>
      <c r="X255" s="83">
        <f t="shared" si="33"/>
        <v>0</v>
      </c>
      <c r="Y255" s="83">
        <f t="shared" si="33"/>
        <v>0</v>
      </c>
      <c r="Z255" s="83">
        <f t="shared" si="33"/>
        <v>0</v>
      </c>
      <c r="AA255" s="83">
        <f t="shared" si="33"/>
        <v>0</v>
      </c>
    </row>
    <row r="256" spans="1:27" x14ac:dyDescent="0.45">
      <c r="A256" s="37"/>
      <c r="B256" s="4"/>
      <c r="C256" s="2" t="s">
        <v>114</v>
      </c>
      <c r="D256" s="2" t="str">
        <f t="shared" si="30"/>
        <v>Market 4: TBC</v>
      </c>
      <c r="E256" s="23" t="s">
        <v>806</v>
      </c>
      <c r="G256" s="83">
        <f t="shared" ref="G256:AA256" si="34">G241*G225</f>
        <v>0</v>
      </c>
      <c r="H256" s="83">
        <f t="shared" si="34"/>
        <v>0</v>
      </c>
      <c r="I256" s="83">
        <f t="shared" si="34"/>
        <v>0</v>
      </c>
      <c r="J256" s="83">
        <f t="shared" si="34"/>
        <v>0</v>
      </c>
      <c r="K256" s="83">
        <f t="shared" si="34"/>
        <v>0</v>
      </c>
      <c r="L256" s="83">
        <f t="shared" si="34"/>
        <v>0</v>
      </c>
      <c r="M256" s="83">
        <f t="shared" si="34"/>
        <v>0</v>
      </c>
      <c r="N256" s="83">
        <f t="shared" si="34"/>
        <v>0</v>
      </c>
      <c r="O256" s="83">
        <f t="shared" si="34"/>
        <v>0</v>
      </c>
      <c r="P256" s="83">
        <f t="shared" si="34"/>
        <v>0</v>
      </c>
      <c r="Q256" s="83">
        <f t="shared" si="34"/>
        <v>0</v>
      </c>
      <c r="R256" s="83">
        <f t="shared" si="34"/>
        <v>0</v>
      </c>
      <c r="S256" s="83">
        <f t="shared" si="34"/>
        <v>0</v>
      </c>
      <c r="T256" s="83">
        <f t="shared" si="34"/>
        <v>0</v>
      </c>
      <c r="U256" s="83">
        <f t="shared" si="34"/>
        <v>0</v>
      </c>
      <c r="V256" s="83">
        <f t="shared" si="34"/>
        <v>0</v>
      </c>
      <c r="W256" s="83">
        <f t="shared" si="34"/>
        <v>0</v>
      </c>
      <c r="X256" s="83">
        <f t="shared" si="34"/>
        <v>0</v>
      </c>
      <c r="Y256" s="83">
        <f t="shared" si="34"/>
        <v>0</v>
      </c>
      <c r="Z256" s="83">
        <f t="shared" si="34"/>
        <v>0</v>
      </c>
      <c r="AA256" s="83">
        <f t="shared" si="34"/>
        <v>0</v>
      </c>
    </row>
    <row r="257" spans="1:27" x14ac:dyDescent="0.45">
      <c r="A257" s="37"/>
      <c r="B257" s="4"/>
      <c r="C257" s="2" t="s">
        <v>114</v>
      </c>
      <c r="D257" s="2" t="str">
        <f t="shared" si="30"/>
        <v>Market 5: TBC</v>
      </c>
      <c r="E257" s="23" t="s">
        <v>806</v>
      </c>
      <c r="G257" s="83">
        <f t="shared" ref="G257:AA257" si="35">G242*G226</f>
        <v>0</v>
      </c>
      <c r="H257" s="83">
        <f t="shared" si="35"/>
        <v>0</v>
      </c>
      <c r="I257" s="83">
        <f t="shared" si="35"/>
        <v>0</v>
      </c>
      <c r="J257" s="83">
        <f t="shared" si="35"/>
        <v>0</v>
      </c>
      <c r="K257" s="83">
        <f t="shared" si="35"/>
        <v>0</v>
      </c>
      <c r="L257" s="83">
        <f t="shared" si="35"/>
        <v>0</v>
      </c>
      <c r="M257" s="83">
        <f t="shared" si="35"/>
        <v>0</v>
      </c>
      <c r="N257" s="83">
        <f t="shared" si="35"/>
        <v>0</v>
      </c>
      <c r="O257" s="83">
        <f t="shared" si="35"/>
        <v>0</v>
      </c>
      <c r="P257" s="83">
        <f t="shared" si="35"/>
        <v>0</v>
      </c>
      <c r="Q257" s="83">
        <f t="shared" si="35"/>
        <v>0</v>
      </c>
      <c r="R257" s="83">
        <f t="shared" si="35"/>
        <v>0</v>
      </c>
      <c r="S257" s="83">
        <f t="shared" si="35"/>
        <v>0</v>
      </c>
      <c r="T257" s="83">
        <f t="shared" si="35"/>
        <v>0</v>
      </c>
      <c r="U257" s="83">
        <f t="shared" si="35"/>
        <v>0</v>
      </c>
      <c r="V257" s="83">
        <f t="shared" si="35"/>
        <v>0</v>
      </c>
      <c r="W257" s="83">
        <f t="shared" si="35"/>
        <v>0</v>
      </c>
      <c r="X257" s="83">
        <f t="shared" si="35"/>
        <v>0</v>
      </c>
      <c r="Y257" s="83">
        <f t="shared" si="35"/>
        <v>0</v>
      </c>
      <c r="Z257" s="83">
        <f t="shared" si="35"/>
        <v>0</v>
      </c>
      <c r="AA257" s="83">
        <f t="shared" si="35"/>
        <v>0</v>
      </c>
    </row>
    <row r="258" spans="1:27" x14ac:dyDescent="0.45">
      <c r="A258" s="37"/>
      <c r="B258" s="4"/>
      <c r="C258" s="2" t="s">
        <v>114</v>
      </c>
      <c r="D258" s="2" t="str">
        <f t="shared" si="30"/>
        <v>Market 6: TBC</v>
      </c>
      <c r="E258" s="23" t="s">
        <v>806</v>
      </c>
      <c r="G258" s="83">
        <f t="shared" ref="G258:AA258" si="36">G243*G227</f>
        <v>0</v>
      </c>
      <c r="H258" s="83">
        <f t="shared" si="36"/>
        <v>0</v>
      </c>
      <c r="I258" s="83">
        <f t="shared" si="36"/>
        <v>0</v>
      </c>
      <c r="J258" s="83">
        <f t="shared" si="36"/>
        <v>0</v>
      </c>
      <c r="K258" s="83">
        <f t="shared" si="36"/>
        <v>0</v>
      </c>
      <c r="L258" s="83">
        <f t="shared" si="36"/>
        <v>0</v>
      </c>
      <c r="M258" s="83">
        <f t="shared" si="36"/>
        <v>0</v>
      </c>
      <c r="N258" s="83">
        <f t="shared" si="36"/>
        <v>0</v>
      </c>
      <c r="O258" s="83">
        <f t="shared" si="36"/>
        <v>0</v>
      </c>
      <c r="P258" s="83">
        <f t="shared" si="36"/>
        <v>0</v>
      </c>
      <c r="Q258" s="83">
        <f t="shared" si="36"/>
        <v>0</v>
      </c>
      <c r="R258" s="83">
        <f t="shared" si="36"/>
        <v>0</v>
      </c>
      <c r="S258" s="83">
        <f t="shared" si="36"/>
        <v>0</v>
      </c>
      <c r="T258" s="83">
        <f t="shared" si="36"/>
        <v>0</v>
      </c>
      <c r="U258" s="83">
        <f t="shared" si="36"/>
        <v>0</v>
      </c>
      <c r="V258" s="83">
        <f t="shared" si="36"/>
        <v>0</v>
      </c>
      <c r="W258" s="83">
        <f t="shared" si="36"/>
        <v>0</v>
      </c>
      <c r="X258" s="83">
        <f t="shared" si="36"/>
        <v>0</v>
      </c>
      <c r="Y258" s="83">
        <f t="shared" si="36"/>
        <v>0</v>
      </c>
      <c r="Z258" s="83">
        <f t="shared" si="36"/>
        <v>0</v>
      </c>
      <c r="AA258" s="83">
        <f t="shared" si="36"/>
        <v>0</v>
      </c>
    </row>
    <row r="259" spans="1:27" x14ac:dyDescent="0.45">
      <c r="A259" s="37"/>
      <c r="B259" s="4"/>
      <c r="C259" s="2" t="s">
        <v>114</v>
      </c>
      <c r="D259" s="2" t="str">
        <f t="shared" si="30"/>
        <v>Market 7: TBC</v>
      </c>
      <c r="E259" s="23" t="s">
        <v>806</v>
      </c>
      <c r="G259" s="83">
        <f t="shared" ref="G259:AA259" si="37">G244*G228</f>
        <v>0</v>
      </c>
      <c r="H259" s="83">
        <f t="shared" si="37"/>
        <v>0</v>
      </c>
      <c r="I259" s="83">
        <f t="shared" si="37"/>
        <v>0</v>
      </c>
      <c r="J259" s="83">
        <f t="shared" si="37"/>
        <v>0</v>
      </c>
      <c r="K259" s="83">
        <f t="shared" si="37"/>
        <v>0</v>
      </c>
      <c r="L259" s="83">
        <f t="shared" si="37"/>
        <v>0</v>
      </c>
      <c r="M259" s="83">
        <f t="shared" si="37"/>
        <v>0</v>
      </c>
      <c r="N259" s="83">
        <f t="shared" si="37"/>
        <v>0</v>
      </c>
      <c r="O259" s="83">
        <f t="shared" si="37"/>
        <v>0</v>
      </c>
      <c r="P259" s="83">
        <f t="shared" si="37"/>
        <v>0</v>
      </c>
      <c r="Q259" s="83">
        <f t="shared" si="37"/>
        <v>0</v>
      </c>
      <c r="R259" s="83">
        <f t="shared" si="37"/>
        <v>0</v>
      </c>
      <c r="S259" s="83">
        <f t="shared" si="37"/>
        <v>0</v>
      </c>
      <c r="T259" s="83">
        <f t="shared" si="37"/>
        <v>0</v>
      </c>
      <c r="U259" s="83">
        <f t="shared" si="37"/>
        <v>0</v>
      </c>
      <c r="V259" s="83">
        <f t="shared" si="37"/>
        <v>0</v>
      </c>
      <c r="W259" s="83">
        <f t="shared" si="37"/>
        <v>0</v>
      </c>
      <c r="X259" s="83">
        <f t="shared" si="37"/>
        <v>0</v>
      </c>
      <c r="Y259" s="83">
        <f t="shared" si="37"/>
        <v>0</v>
      </c>
      <c r="Z259" s="83">
        <f t="shared" si="37"/>
        <v>0</v>
      </c>
      <c r="AA259" s="83">
        <f t="shared" si="37"/>
        <v>0</v>
      </c>
    </row>
    <row r="260" spans="1:27" x14ac:dyDescent="0.45">
      <c r="A260" s="37"/>
      <c r="B260" s="4"/>
      <c r="C260" s="2" t="s">
        <v>114</v>
      </c>
      <c r="D260" s="2" t="str">
        <f t="shared" si="30"/>
        <v>Market 8: TBC</v>
      </c>
      <c r="E260" s="23" t="s">
        <v>806</v>
      </c>
      <c r="G260" s="83">
        <f t="shared" ref="G260:AA260" si="38">G245*G229</f>
        <v>0</v>
      </c>
      <c r="H260" s="83">
        <f t="shared" si="38"/>
        <v>0</v>
      </c>
      <c r="I260" s="83">
        <f t="shared" si="38"/>
        <v>0</v>
      </c>
      <c r="J260" s="83">
        <f t="shared" si="38"/>
        <v>0</v>
      </c>
      <c r="K260" s="83">
        <f t="shared" si="38"/>
        <v>0</v>
      </c>
      <c r="L260" s="83">
        <f t="shared" si="38"/>
        <v>0</v>
      </c>
      <c r="M260" s="83">
        <f t="shared" si="38"/>
        <v>0</v>
      </c>
      <c r="N260" s="83">
        <f t="shared" si="38"/>
        <v>0</v>
      </c>
      <c r="O260" s="83">
        <f t="shared" si="38"/>
        <v>0</v>
      </c>
      <c r="P260" s="83">
        <f t="shared" si="38"/>
        <v>0</v>
      </c>
      <c r="Q260" s="83">
        <f t="shared" si="38"/>
        <v>0</v>
      </c>
      <c r="R260" s="83">
        <f t="shared" si="38"/>
        <v>0</v>
      </c>
      <c r="S260" s="83">
        <f t="shared" si="38"/>
        <v>0</v>
      </c>
      <c r="T260" s="83">
        <f t="shared" si="38"/>
        <v>0</v>
      </c>
      <c r="U260" s="83">
        <f t="shared" si="38"/>
        <v>0</v>
      </c>
      <c r="V260" s="83">
        <f t="shared" si="38"/>
        <v>0</v>
      </c>
      <c r="W260" s="83">
        <f t="shared" si="38"/>
        <v>0</v>
      </c>
      <c r="X260" s="83">
        <f t="shared" si="38"/>
        <v>0</v>
      </c>
      <c r="Y260" s="83">
        <f t="shared" si="38"/>
        <v>0</v>
      </c>
      <c r="Z260" s="83">
        <f t="shared" si="38"/>
        <v>0</v>
      </c>
      <c r="AA260" s="83">
        <f t="shared" si="38"/>
        <v>0</v>
      </c>
    </row>
    <row r="261" spans="1:27" x14ac:dyDescent="0.45">
      <c r="A261" s="37"/>
      <c r="B261" s="4"/>
      <c r="C261" s="2" t="s">
        <v>114</v>
      </c>
      <c r="D261" s="2" t="s">
        <v>763</v>
      </c>
      <c r="E261" s="23" t="s">
        <v>806</v>
      </c>
      <c r="G261" s="83">
        <f t="shared" ref="G261:AA261" si="39">G210*G246</f>
        <v>0</v>
      </c>
      <c r="H261" s="83">
        <f t="shared" si="39"/>
        <v>0</v>
      </c>
      <c r="I261" s="83">
        <f t="shared" si="39"/>
        <v>0</v>
      </c>
      <c r="J261" s="83">
        <f t="shared" si="39"/>
        <v>0</v>
      </c>
      <c r="K261" s="83">
        <f t="shared" si="39"/>
        <v>0</v>
      </c>
      <c r="L261" s="83">
        <f t="shared" si="39"/>
        <v>0</v>
      </c>
      <c r="M261" s="83">
        <f t="shared" si="39"/>
        <v>0</v>
      </c>
      <c r="N261" s="83">
        <f t="shared" si="39"/>
        <v>0</v>
      </c>
      <c r="O261" s="83">
        <f t="shared" si="39"/>
        <v>0</v>
      </c>
      <c r="P261" s="83">
        <f t="shared" si="39"/>
        <v>0</v>
      </c>
      <c r="Q261" s="83">
        <f t="shared" si="39"/>
        <v>0</v>
      </c>
      <c r="R261" s="83">
        <f t="shared" si="39"/>
        <v>0</v>
      </c>
      <c r="S261" s="83">
        <f t="shared" si="39"/>
        <v>0</v>
      </c>
      <c r="T261" s="83">
        <f t="shared" si="39"/>
        <v>0</v>
      </c>
      <c r="U261" s="83">
        <f t="shared" si="39"/>
        <v>0</v>
      </c>
      <c r="V261" s="83">
        <f t="shared" si="39"/>
        <v>0</v>
      </c>
      <c r="W261" s="83">
        <f t="shared" si="39"/>
        <v>0</v>
      </c>
      <c r="X261" s="83">
        <f t="shared" si="39"/>
        <v>0</v>
      </c>
      <c r="Y261" s="83">
        <f t="shared" si="39"/>
        <v>0</v>
      </c>
      <c r="Z261" s="83">
        <f t="shared" si="39"/>
        <v>0</v>
      </c>
      <c r="AA261" s="83">
        <f t="shared" si="39"/>
        <v>0</v>
      </c>
    </row>
    <row r="262" spans="1:27" x14ac:dyDescent="0.45">
      <c r="A262" s="37"/>
      <c r="B262" s="4"/>
      <c r="C262" s="2" t="s">
        <v>114</v>
      </c>
      <c r="D262" s="2" t="s">
        <v>290</v>
      </c>
      <c r="E262" s="23" t="s">
        <v>806</v>
      </c>
      <c r="G262" s="83">
        <f t="shared" ref="G262:AA262" si="40">G210*G247</f>
        <v>0</v>
      </c>
      <c r="H262" s="83">
        <f t="shared" si="40"/>
        <v>244800</v>
      </c>
      <c r="I262" s="83">
        <f t="shared" si="40"/>
        <v>249696</v>
      </c>
      <c r="J262" s="83">
        <f t="shared" si="40"/>
        <v>254689.92000000001</v>
      </c>
      <c r="K262" s="83">
        <f t="shared" si="40"/>
        <v>259783.71840000001</v>
      </c>
      <c r="L262" s="83">
        <f t="shared" si="40"/>
        <v>264979.39276800002</v>
      </c>
      <c r="M262" s="83">
        <f t="shared" si="40"/>
        <v>270278.98062336002</v>
      </c>
      <c r="N262" s="83">
        <f t="shared" si="40"/>
        <v>275684.56023582723</v>
      </c>
      <c r="O262" s="83">
        <f t="shared" si="40"/>
        <v>281198.2514405438</v>
      </c>
      <c r="P262" s="83">
        <f t="shared" si="40"/>
        <v>286822.21646935469</v>
      </c>
      <c r="Q262" s="83">
        <f t="shared" si="40"/>
        <v>292558.6607987418</v>
      </c>
      <c r="R262" s="83">
        <f t="shared" si="40"/>
        <v>298409.83401471662</v>
      </c>
      <c r="S262" s="83">
        <f t="shared" si="40"/>
        <v>304378.03069501097</v>
      </c>
      <c r="T262" s="83">
        <f t="shared" si="40"/>
        <v>310465.59130891121</v>
      </c>
      <c r="U262" s="83">
        <f t="shared" si="40"/>
        <v>316674.90313508944</v>
      </c>
      <c r="V262" s="83">
        <f t="shared" si="40"/>
        <v>323008.40119779122</v>
      </c>
      <c r="W262" s="83">
        <f t="shared" si="40"/>
        <v>329468.56922174705</v>
      </c>
      <c r="X262" s="83">
        <f t="shared" si="40"/>
        <v>336057.94060618198</v>
      </c>
      <c r="Y262" s="83">
        <f t="shared" si="40"/>
        <v>342779.09941830562</v>
      </c>
      <c r="Z262" s="83">
        <f t="shared" si="40"/>
        <v>349634.68140667176</v>
      </c>
      <c r="AA262" s="83">
        <f t="shared" si="40"/>
        <v>356627.37503480521</v>
      </c>
    </row>
    <row r="263" spans="1:27" x14ac:dyDescent="0.45">
      <c r="A263" s="37"/>
      <c r="B263" s="4"/>
      <c r="C263" s="2" t="s">
        <v>114</v>
      </c>
      <c r="D263" s="2" t="s">
        <v>765</v>
      </c>
      <c r="E263" s="23" t="s">
        <v>806</v>
      </c>
      <c r="G263" s="83">
        <f t="shared" ref="G263:AA263" si="41">G210*G248</f>
        <v>0</v>
      </c>
      <c r="H263" s="83">
        <f t="shared" si="41"/>
        <v>122400</v>
      </c>
      <c r="I263" s="83">
        <f t="shared" si="41"/>
        <v>124848</v>
      </c>
      <c r="J263" s="83">
        <f t="shared" si="41"/>
        <v>127344.96000000001</v>
      </c>
      <c r="K263" s="83">
        <f t="shared" si="41"/>
        <v>129891.85920000001</v>
      </c>
      <c r="L263" s="83">
        <f t="shared" si="41"/>
        <v>132489.69638400001</v>
      </c>
      <c r="M263" s="83">
        <f t="shared" si="41"/>
        <v>135139.49031168001</v>
      </c>
      <c r="N263" s="83">
        <f t="shared" si="41"/>
        <v>137842.28011791361</v>
      </c>
      <c r="O263" s="83">
        <f t="shared" si="41"/>
        <v>140599.1257202719</v>
      </c>
      <c r="P263" s="83">
        <f t="shared" si="41"/>
        <v>143411.10823467735</v>
      </c>
      <c r="Q263" s="83">
        <f t="shared" si="41"/>
        <v>146279.3303993709</v>
      </c>
      <c r="R263" s="83">
        <f t="shared" si="41"/>
        <v>149204.91700735831</v>
      </c>
      <c r="S263" s="83">
        <f t="shared" si="41"/>
        <v>152189.01534750548</v>
      </c>
      <c r="T263" s="83">
        <f t="shared" si="41"/>
        <v>155232.79565445561</v>
      </c>
      <c r="U263" s="83">
        <f t="shared" si="41"/>
        <v>158337.45156754472</v>
      </c>
      <c r="V263" s="83">
        <f t="shared" si="41"/>
        <v>161504.20059889561</v>
      </c>
      <c r="W263" s="83">
        <f t="shared" si="41"/>
        <v>164734.28461087352</v>
      </c>
      <c r="X263" s="83">
        <f t="shared" si="41"/>
        <v>168028.97030309099</v>
      </c>
      <c r="Y263" s="83">
        <f t="shared" si="41"/>
        <v>171389.54970915281</v>
      </c>
      <c r="Z263" s="83">
        <f t="shared" si="41"/>
        <v>174817.34070333588</v>
      </c>
      <c r="AA263" s="83">
        <f t="shared" si="41"/>
        <v>178313.68751740261</v>
      </c>
    </row>
    <row r="264" spans="1:27" x14ac:dyDescent="0.45">
      <c r="A264" s="37"/>
      <c r="B264" s="4"/>
      <c r="C264" s="2" t="s">
        <v>114</v>
      </c>
      <c r="D264" s="2" t="s">
        <v>291</v>
      </c>
      <c r="E264" s="23" t="s">
        <v>806</v>
      </c>
      <c r="G264" s="83">
        <f t="shared" ref="G264:AA264" si="42">G231*G249</f>
        <v>0</v>
      </c>
      <c r="H264" s="83">
        <f t="shared" si="42"/>
        <v>0</v>
      </c>
      <c r="I264" s="83">
        <f t="shared" si="42"/>
        <v>0</v>
      </c>
      <c r="J264" s="83">
        <f t="shared" si="42"/>
        <v>0</v>
      </c>
      <c r="K264" s="83">
        <f t="shared" si="42"/>
        <v>0</v>
      </c>
      <c r="L264" s="83">
        <f t="shared" si="42"/>
        <v>0</v>
      </c>
      <c r="M264" s="83">
        <f t="shared" si="42"/>
        <v>0</v>
      </c>
      <c r="N264" s="83">
        <f t="shared" si="42"/>
        <v>0</v>
      </c>
      <c r="O264" s="83">
        <f t="shared" si="42"/>
        <v>0</v>
      </c>
      <c r="P264" s="83">
        <f t="shared" si="42"/>
        <v>0</v>
      </c>
      <c r="Q264" s="83">
        <f t="shared" si="42"/>
        <v>0</v>
      </c>
      <c r="R264" s="83">
        <f t="shared" si="42"/>
        <v>0</v>
      </c>
      <c r="S264" s="83">
        <f t="shared" si="42"/>
        <v>0</v>
      </c>
      <c r="T264" s="83">
        <f t="shared" si="42"/>
        <v>0</v>
      </c>
      <c r="U264" s="83">
        <f t="shared" si="42"/>
        <v>0</v>
      </c>
      <c r="V264" s="83">
        <f t="shared" si="42"/>
        <v>0</v>
      </c>
      <c r="W264" s="83">
        <f t="shared" si="42"/>
        <v>0</v>
      </c>
      <c r="X264" s="83">
        <f t="shared" si="42"/>
        <v>0</v>
      </c>
      <c r="Y264" s="83">
        <f t="shared" si="42"/>
        <v>0</v>
      </c>
      <c r="Z264" s="83">
        <f t="shared" si="42"/>
        <v>0</v>
      </c>
      <c r="AA264" s="83">
        <f t="shared" si="42"/>
        <v>0</v>
      </c>
    </row>
    <row r="265" spans="1:27" x14ac:dyDescent="0.45">
      <c r="A265" s="37"/>
      <c r="B265" s="4"/>
      <c r="C265" s="4"/>
      <c r="G265" s="46"/>
      <c r="H265" s="46"/>
      <c r="I265" s="46"/>
      <c r="J265" s="46"/>
      <c r="K265" s="46"/>
      <c r="L265" s="46"/>
      <c r="M265" s="46"/>
      <c r="N265" s="46"/>
      <c r="O265" s="46"/>
      <c r="P265" s="46"/>
      <c r="Q265" s="46"/>
      <c r="R265" s="46"/>
      <c r="S265" s="46"/>
      <c r="T265" s="46"/>
      <c r="U265" s="46"/>
      <c r="V265" s="46"/>
      <c r="W265" s="46"/>
      <c r="X265" s="46"/>
      <c r="Y265" s="46"/>
      <c r="Z265" s="46"/>
      <c r="AA265" s="46"/>
    </row>
    <row r="266" spans="1:27" s="4" customFormat="1" x14ac:dyDescent="0.45">
      <c r="A266" s="41"/>
      <c r="D266" s="4" t="s">
        <v>155</v>
      </c>
      <c r="E266" s="42" t="s">
        <v>806</v>
      </c>
      <c r="F266" s="43"/>
      <c r="G266" s="132">
        <f>SUM(G251:G265)</f>
        <v>0</v>
      </c>
      <c r="H266" s="132">
        <f t="shared" ref="H266:AA266" si="43">SUM(H251:H265)</f>
        <v>9057600</v>
      </c>
      <c r="I266" s="132">
        <f t="shared" si="43"/>
        <v>9238752</v>
      </c>
      <c r="J266" s="132">
        <f t="shared" si="43"/>
        <v>9423527.040000001</v>
      </c>
      <c r="K266" s="132">
        <f t="shared" si="43"/>
        <v>9611997.5808000006</v>
      </c>
      <c r="L266" s="132">
        <f t="shared" si="43"/>
        <v>9804237.5324159991</v>
      </c>
      <c r="M266" s="132">
        <f t="shared" si="43"/>
        <v>10000322.283064321</v>
      </c>
      <c r="N266" s="132">
        <f t="shared" si="43"/>
        <v>10200328.728725608</v>
      </c>
      <c r="O266" s="132">
        <f t="shared" si="43"/>
        <v>10404335.303300118</v>
      </c>
      <c r="P266" s="132">
        <f t="shared" si="43"/>
        <v>10612422.009366123</v>
      </c>
      <c r="Q266" s="132">
        <f t="shared" si="43"/>
        <v>10824670.449553445</v>
      </c>
      <c r="R266" s="132">
        <f t="shared" si="43"/>
        <v>11041163.858544515</v>
      </c>
      <c r="S266" s="132">
        <f t="shared" si="43"/>
        <v>11261987.135715406</v>
      </c>
      <c r="T266" s="132">
        <f t="shared" si="43"/>
        <v>11487226.878429713</v>
      </c>
      <c r="U266" s="132">
        <f t="shared" si="43"/>
        <v>11716971.415998308</v>
      </c>
      <c r="V266" s="132">
        <f t="shared" si="43"/>
        <v>11951310.844318274</v>
      </c>
      <c r="W266" s="132">
        <f t="shared" si="43"/>
        <v>12190337.061204638</v>
      </c>
      <c r="X266" s="132">
        <f t="shared" si="43"/>
        <v>12434143.802428734</v>
      </c>
      <c r="Y266" s="132">
        <f t="shared" si="43"/>
        <v>12682826.67847731</v>
      </c>
      <c r="Z266" s="132">
        <f t="shared" si="43"/>
        <v>12936483.212046854</v>
      </c>
      <c r="AA266" s="132">
        <f t="shared" si="43"/>
        <v>13195212.876287794</v>
      </c>
    </row>
    <row r="267" spans="1:27" x14ac:dyDescent="0.45">
      <c r="A267" s="37"/>
      <c r="B267" s="4"/>
      <c r="C267" s="4"/>
      <c r="E267" s="3"/>
      <c r="F267" s="38"/>
      <c r="G267" s="47" t="s">
        <v>22</v>
      </c>
      <c r="H267" s="47" t="s">
        <v>22</v>
      </c>
      <c r="I267" s="47" t="s">
        <v>22</v>
      </c>
      <c r="J267" s="47" t="s">
        <v>22</v>
      </c>
      <c r="K267" s="47" t="s">
        <v>22</v>
      </c>
      <c r="L267" s="47" t="s">
        <v>22</v>
      </c>
      <c r="M267" s="47" t="s">
        <v>22</v>
      </c>
      <c r="N267" s="47" t="s">
        <v>22</v>
      </c>
      <c r="O267" s="47" t="s">
        <v>22</v>
      </c>
      <c r="P267" s="47" t="s">
        <v>22</v>
      </c>
      <c r="Q267" s="47" t="s">
        <v>22</v>
      </c>
      <c r="R267" s="47" t="s">
        <v>22</v>
      </c>
      <c r="S267" s="47" t="s">
        <v>22</v>
      </c>
      <c r="T267" s="47" t="s">
        <v>22</v>
      </c>
      <c r="U267" s="47" t="s">
        <v>22</v>
      </c>
      <c r="V267" s="47" t="s">
        <v>22</v>
      </c>
      <c r="W267" s="47" t="s">
        <v>22</v>
      </c>
      <c r="X267" s="47" t="s">
        <v>22</v>
      </c>
      <c r="Y267" s="47" t="s">
        <v>22</v>
      </c>
      <c r="Z267" s="47" t="s">
        <v>22</v>
      </c>
      <c r="AA267" s="47" t="s">
        <v>22</v>
      </c>
    </row>
    <row r="268" spans="1:27" s="4" customFormat="1" x14ac:dyDescent="0.45">
      <c r="A268" s="41"/>
      <c r="D268" s="4" t="s">
        <v>25</v>
      </c>
      <c r="E268" s="42" t="s">
        <v>806</v>
      </c>
      <c r="F268" s="43"/>
      <c r="G268" s="44">
        <f>SUM(G266:G266)</f>
        <v>0</v>
      </c>
      <c r="H268" s="44">
        <f t="shared" ref="H268:U268" si="44">SUM(H266:H267)</f>
        <v>9057600</v>
      </c>
      <c r="I268" s="44">
        <f t="shared" si="44"/>
        <v>9238752</v>
      </c>
      <c r="J268" s="44">
        <f t="shared" si="44"/>
        <v>9423527.040000001</v>
      </c>
      <c r="K268" s="44">
        <f>SUM(K266:K267)</f>
        <v>9611997.5808000006</v>
      </c>
      <c r="L268" s="44">
        <f t="shared" si="44"/>
        <v>9804237.5324159991</v>
      </c>
      <c r="M268" s="44">
        <f t="shared" si="44"/>
        <v>10000322.283064321</v>
      </c>
      <c r="N268" s="44">
        <f t="shared" si="44"/>
        <v>10200328.728725608</v>
      </c>
      <c r="O268" s="44">
        <f t="shared" si="44"/>
        <v>10404335.303300118</v>
      </c>
      <c r="P268" s="44">
        <f t="shared" si="44"/>
        <v>10612422.009366123</v>
      </c>
      <c r="Q268" s="44">
        <f t="shared" si="44"/>
        <v>10824670.449553445</v>
      </c>
      <c r="R268" s="44">
        <f t="shared" si="44"/>
        <v>11041163.858544515</v>
      </c>
      <c r="S268" s="44">
        <f t="shared" si="44"/>
        <v>11261987.135715406</v>
      </c>
      <c r="T268" s="44">
        <f t="shared" si="44"/>
        <v>11487226.878429713</v>
      </c>
      <c r="U268" s="44">
        <f t="shared" si="44"/>
        <v>11716971.415998308</v>
      </c>
      <c r="V268" s="44">
        <f t="shared" ref="V268:AA268" si="45">SUM(V266:V267)</f>
        <v>11951310.844318274</v>
      </c>
      <c r="W268" s="44">
        <f t="shared" si="45"/>
        <v>12190337.061204638</v>
      </c>
      <c r="X268" s="44">
        <f t="shared" si="45"/>
        <v>12434143.802428734</v>
      </c>
      <c r="Y268" s="44">
        <f t="shared" si="45"/>
        <v>12682826.67847731</v>
      </c>
      <c r="Z268" s="44">
        <f t="shared" si="45"/>
        <v>12936483.212046854</v>
      </c>
      <c r="AA268" s="44">
        <f t="shared" si="45"/>
        <v>13195212.876287794</v>
      </c>
    </row>
    <row r="269" spans="1:27" ht="15" customHeight="1" x14ac:dyDescent="0.45">
      <c r="A269" s="37"/>
      <c r="B269" s="4"/>
      <c r="C269" s="4"/>
      <c r="E269" s="3"/>
      <c r="F269" s="38"/>
      <c r="G269" s="48"/>
      <c r="H269" s="48"/>
      <c r="I269" s="48"/>
      <c r="J269" s="48"/>
      <c r="K269" s="48"/>
      <c r="L269" s="48"/>
      <c r="M269" s="48"/>
      <c r="N269" s="48"/>
      <c r="O269" s="48"/>
      <c r="P269" s="48"/>
      <c r="Q269" s="48"/>
      <c r="R269" s="48"/>
      <c r="S269" s="48"/>
      <c r="T269" s="48"/>
      <c r="U269" s="48"/>
      <c r="V269" s="48"/>
      <c r="W269" s="48"/>
      <c r="X269" s="48"/>
      <c r="Y269" s="48"/>
      <c r="Z269" s="48"/>
      <c r="AA269" s="48"/>
    </row>
    <row r="270" spans="1:27" x14ac:dyDescent="0.45">
      <c r="A270" s="37"/>
      <c r="B270" s="4"/>
      <c r="C270" s="4"/>
      <c r="D270" s="2" t="s">
        <v>2</v>
      </c>
      <c r="E270" s="3" t="s">
        <v>806</v>
      </c>
      <c r="F270" s="38"/>
      <c r="G270" s="39">
        <f>G206</f>
        <v>2128800</v>
      </c>
      <c r="H270" s="39">
        <f t="shared" ref="H270:AA270" si="46">H206</f>
        <v>5953536</v>
      </c>
      <c r="I270" s="39">
        <f t="shared" si="46"/>
        <v>6072606.7200000007</v>
      </c>
      <c r="J270" s="39">
        <f t="shared" si="46"/>
        <v>6194058.8544000005</v>
      </c>
      <c r="K270" s="39">
        <f t="shared" si="46"/>
        <v>6317940.0314880004</v>
      </c>
      <c r="L270" s="39">
        <f t="shared" si="46"/>
        <v>6444298.8321177606</v>
      </c>
      <c r="M270" s="39">
        <f t="shared" si="46"/>
        <v>6573184.8087601159</v>
      </c>
      <c r="N270" s="39">
        <f t="shared" si="46"/>
        <v>6704648.5049353177</v>
      </c>
      <c r="O270" s="39">
        <f t="shared" si="46"/>
        <v>6838741.4750340246</v>
      </c>
      <c r="P270" s="39">
        <f t="shared" si="46"/>
        <v>6975516.3045347054</v>
      </c>
      <c r="Q270" s="39">
        <f t="shared" si="46"/>
        <v>7115026.6306253988</v>
      </c>
      <c r="R270" s="39">
        <f t="shared" si="46"/>
        <v>7257327.1632379079</v>
      </c>
      <c r="S270" s="39">
        <f t="shared" si="46"/>
        <v>7402473.7065026658</v>
      </c>
      <c r="T270" s="39">
        <f t="shared" si="46"/>
        <v>7550523.1806327188</v>
      </c>
      <c r="U270" s="39">
        <f t="shared" si="46"/>
        <v>7701533.644245374</v>
      </c>
      <c r="V270" s="39">
        <f t="shared" si="46"/>
        <v>7855564.3171302825</v>
      </c>
      <c r="W270" s="39">
        <f t="shared" si="46"/>
        <v>8012675.6034728875</v>
      </c>
      <c r="X270" s="39">
        <f t="shared" si="46"/>
        <v>8172929.1155423466</v>
      </c>
      <c r="Y270" s="39">
        <f t="shared" si="46"/>
        <v>8336387.6978531908</v>
      </c>
      <c r="Z270" s="39">
        <f t="shared" si="46"/>
        <v>8503115.4518102556</v>
      </c>
      <c r="AA270" s="39">
        <f t="shared" si="46"/>
        <v>8673177.7608464602</v>
      </c>
    </row>
    <row r="271" spans="1:27" x14ac:dyDescent="0.45">
      <c r="A271" s="37"/>
      <c r="B271" s="4"/>
      <c r="C271" s="4"/>
      <c r="D271" s="2" t="s">
        <v>1</v>
      </c>
      <c r="E271" s="3" t="s">
        <v>806</v>
      </c>
      <c r="F271" s="38"/>
      <c r="G271" s="39">
        <f t="shared" ref="G271:AA271" ca="1" si="47">G163</f>
        <v>259867.19836090453</v>
      </c>
      <c r="H271" s="39">
        <f t="shared" ca="1" si="47"/>
        <v>259867.19836090453</v>
      </c>
      <c r="I271" s="39">
        <f t="shared" ca="1" si="47"/>
        <v>259867.19836090453</v>
      </c>
      <c r="J271" s="39">
        <f t="shared" ca="1" si="47"/>
        <v>259867.19836090453</v>
      </c>
      <c r="K271" s="39">
        <f t="shared" ca="1" si="47"/>
        <v>259867.19836090453</v>
      </c>
      <c r="L271" s="39">
        <f t="shared" ca="1" si="47"/>
        <v>259867.19836090453</v>
      </c>
      <c r="M271" s="39">
        <f t="shared" ca="1" si="47"/>
        <v>259867.19836090453</v>
      </c>
      <c r="N271" s="39">
        <f t="shared" ca="1" si="47"/>
        <v>259867.19836090453</v>
      </c>
      <c r="O271" s="39">
        <f t="shared" ca="1" si="47"/>
        <v>259867.19836090453</v>
      </c>
      <c r="P271" s="39">
        <f t="shared" ca="1" si="47"/>
        <v>259867.19836090453</v>
      </c>
      <c r="Q271" s="39">
        <f t="shared" ca="1" si="47"/>
        <v>259867.19836090453</v>
      </c>
      <c r="R271" s="39">
        <f t="shared" ca="1" si="47"/>
        <v>259867.19836090453</v>
      </c>
      <c r="S271" s="39">
        <f t="shared" ca="1" si="47"/>
        <v>259867.19836090453</v>
      </c>
      <c r="T271" s="39">
        <f t="shared" ca="1" si="47"/>
        <v>259867.19836090453</v>
      </c>
      <c r="U271" s="39">
        <f t="shared" ca="1" si="47"/>
        <v>259867.19836090453</v>
      </c>
      <c r="V271" s="39">
        <f t="shared" ca="1" si="47"/>
        <v>259867.19836090453</v>
      </c>
      <c r="W271" s="39">
        <f t="shared" ca="1" si="47"/>
        <v>259867.19836090453</v>
      </c>
      <c r="X271" s="39">
        <f t="shared" ca="1" si="47"/>
        <v>259867.19836090453</v>
      </c>
      <c r="Y271" s="39">
        <f t="shared" ca="1" si="47"/>
        <v>259867.19836090453</v>
      </c>
      <c r="Z271" s="39">
        <f t="shared" ca="1" si="47"/>
        <v>259867.19836090453</v>
      </c>
      <c r="AA271" s="39">
        <f t="shared" ca="1" si="47"/>
        <v>259867.19836090453</v>
      </c>
    </row>
    <row r="272" spans="1:27" x14ac:dyDescent="0.45">
      <c r="A272" s="37"/>
      <c r="B272" s="4"/>
      <c r="C272" s="4"/>
      <c r="D272" s="2" t="s">
        <v>488</v>
      </c>
      <c r="E272" s="3" t="s">
        <v>806</v>
      </c>
      <c r="F272" s="38"/>
      <c r="G272" s="426"/>
      <c r="H272" s="426"/>
      <c r="I272" s="426"/>
      <c r="J272" s="426"/>
      <c r="K272" s="426"/>
      <c r="L272" s="426"/>
      <c r="M272" s="426"/>
      <c r="N272" s="426"/>
      <c r="O272" s="426"/>
      <c r="P272" s="426"/>
      <c r="Q272" s="426"/>
      <c r="R272" s="426"/>
      <c r="S272" s="426"/>
      <c r="T272" s="426"/>
      <c r="U272" s="426"/>
      <c r="V272" s="426"/>
      <c r="W272" s="426"/>
      <c r="X272" s="426"/>
      <c r="Y272" s="426"/>
      <c r="Z272" s="426"/>
      <c r="AA272" s="426"/>
    </row>
    <row r="273" spans="1:27" x14ac:dyDescent="0.45">
      <c r="A273" s="37"/>
      <c r="B273" s="4"/>
      <c r="C273" s="4"/>
      <c r="D273" s="2" t="s">
        <v>489</v>
      </c>
      <c r="E273" s="3" t="s">
        <v>806</v>
      </c>
      <c r="F273" s="38"/>
      <c r="G273" s="39"/>
      <c r="H273" s="39"/>
      <c r="I273" s="39"/>
      <c r="J273" s="39"/>
      <c r="K273" s="39"/>
      <c r="L273" s="39"/>
      <c r="M273" s="39"/>
      <c r="N273" s="39"/>
      <c r="O273" s="39"/>
      <c r="P273" s="39"/>
      <c r="Q273" s="39"/>
      <c r="R273" s="39"/>
      <c r="S273" s="39"/>
      <c r="T273" s="39"/>
      <c r="U273" s="39"/>
      <c r="V273" s="39"/>
      <c r="W273" s="39"/>
      <c r="X273" s="39"/>
      <c r="Y273" s="39"/>
      <c r="Z273" s="39"/>
      <c r="AA273" s="39"/>
    </row>
    <row r="274" spans="1:27" x14ac:dyDescent="0.45">
      <c r="A274" s="37"/>
      <c r="B274" s="4"/>
      <c r="C274" s="4"/>
      <c r="F274" s="38"/>
      <c r="G274" s="40" t="s">
        <v>22</v>
      </c>
      <c r="H274" s="40" t="s">
        <v>22</v>
      </c>
      <c r="I274" s="40" t="s">
        <v>22</v>
      </c>
      <c r="J274" s="40" t="s">
        <v>22</v>
      </c>
      <c r="K274" s="40" t="s">
        <v>22</v>
      </c>
      <c r="L274" s="40" t="s">
        <v>22</v>
      </c>
      <c r="M274" s="40" t="s">
        <v>22</v>
      </c>
      <c r="N274" s="40" t="s">
        <v>22</v>
      </c>
      <c r="O274" s="40" t="s">
        <v>22</v>
      </c>
      <c r="P274" s="40" t="s">
        <v>22</v>
      </c>
      <c r="Q274" s="40" t="s">
        <v>22</v>
      </c>
      <c r="R274" s="40" t="s">
        <v>22</v>
      </c>
      <c r="S274" s="40" t="s">
        <v>22</v>
      </c>
      <c r="T274" s="40" t="s">
        <v>22</v>
      </c>
      <c r="U274" s="40" t="s">
        <v>22</v>
      </c>
      <c r="V274" s="40" t="s">
        <v>22</v>
      </c>
      <c r="W274" s="40" t="s">
        <v>22</v>
      </c>
      <c r="X274" s="40" t="s">
        <v>22</v>
      </c>
      <c r="Y274" s="40" t="s">
        <v>22</v>
      </c>
      <c r="Z274" s="40" t="s">
        <v>22</v>
      </c>
      <c r="AA274" s="40" t="s">
        <v>22</v>
      </c>
    </row>
    <row r="275" spans="1:27" x14ac:dyDescent="0.45">
      <c r="A275" s="37"/>
      <c r="B275" s="4"/>
      <c r="C275" s="4"/>
      <c r="D275" s="2" t="s">
        <v>3</v>
      </c>
      <c r="E275" s="3" t="s">
        <v>806</v>
      </c>
      <c r="F275" s="38"/>
      <c r="G275" s="46">
        <f t="shared" ref="G275:AA275" ca="1" si="48">SUM(G270:G274)</f>
        <v>2388667.1983609046</v>
      </c>
      <c r="H275" s="46">
        <f t="shared" ca="1" si="48"/>
        <v>6213403.1983609041</v>
      </c>
      <c r="I275" s="46">
        <f t="shared" ca="1" si="48"/>
        <v>6332473.9183609048</v>
      </c>
      <c r="J275" s="46">
        <f t="shared" ca="1" si="48"/>
        <v>6453926.0527609047</v>
      </c>
      <c r="K275" s="46">
        <f t="shared" ca="1" si="48"/>
        <v>6577807.2298489045</v>
      </c>
      <c r="L275" s="46">
        <f t="shared" ca="1" si="48"/>
        <v>6704166.0304786647</v>
      </c>
      <c r="M275" s="46">
        <f t="shared" ca="1" si="48"/>
        <v>6833052.00712102</v>
      </c>
      <c r="N275" s="46">
        <f t="shared" ca="1" si="48"/>
        <v>6964515.7032962218</v>
      </c>
      <c r="O275" s="46">
        <f t="shared" ca="1" si="48"/>
        <v>7098608.6733949287</v>
      </c>
      <c r="P275" s="46">
        <f t="shared" ca="1" si="48"/>
        <v>7235383.5028956095</v>
      </c>
      <c r="Q275" s="46">
        <f t="shared" ca="1" si="48"/>
        <v>7374893.8289863029</v>
      </c>
      <c r="R275" s="46">
        <f t="shared" ca="1" si="48"/>
        <v>7517194.361598812</v>
      </c>
      <c r="S275" s="46">
        <f t="shared" ca="1" si="48"/>
        <v>7662340.9048635699</v>
      </c>
      <c r="T275" s="46">
        <f t="shared" ca="1" si="48"/>
        <v>7810390.378993623</v>
      </c>
      <c r="U275" s="46">
        <f t="shared" ca="1" si="48"/>
        <v>7961400.8426062781</v>
      </c>
      <c r="V275" s="46">
        <f t="shared" ca="1" si="48"/>
        <v>8115431.5154911866</v>
      </c>
      <c r="W275" s="46">
        <f t="shared" ca="1" si="48"/>
        <v>8272542.8018337917</v>
      </c>
      <c r="X275" s="46">
        <f t="shared" ca="1" si="48"/>
        <v>8432796.3139032517</v>
      </c>
      <c r="Y275" s="46">
        <f t="shared" ca="1" si="48"/>
        <v>8596254.8962140959</v>
      </c>
      <c r="Z275" s="46">
        <f t="shared" ca="1" si="48"/>
        <v>8762982.6501711607</v>
      </c>
      <c r="AA275" s="46">
        <f t="shared" ca="1" si="48"/>
        <v>8933044.9592073653</v>
      </c>
    </row>
    <row r="276" spans="1:27" x14ac:dyDescent="0.45">
      <c r="A276" s="37"/>
      <c r="B276" s="4"/>
      <c r="C276" s="4"/>
      <c r="G276" s="49"/>
      <c r="H276" s="49"/>
      <c r="I276" s="49"/>
      <c r="J276" s="49"/>
      <c r="K276" s="49"/>
      <c r="L276" s="49"/>
      <c r="M276" s="49"/>
      <c r="N276" s="49"/>
      <c r="O276" s="49"/>
      <c r="P276" s="49"/>
      <c r="Q276" s="49"/>
      <c r="R276" s="49"/>
      <c r="S276" s="49"/>
      <c r="T276" s="49"/>
      <c r="U276" s="49"/>
      <c r="V276" s="49"/>
      <c r="W276" s="49"/>
      <c r="X276" s="49"/>
      <c r="Y276" s="49"/>
      <c r="Z276" s="49"/>
      <c r="AA276" s="49"/>
    </row>
    <row r="277" spans="1:27" s="4" customFormat="1" x14ac:dyDescent="0.45">
      <c r="A277" s="41"/>
      <c r="D277" s="4" t="s">
        <v>5</v>
      </c>
      <c r="E277" s="42" t="s">
        <v>806</v>
      </c>
      <c r="F277" s="43"/>
      <c r="G277" s="133">
        <f t="shared" ref="G277:AA277" ca="1" si="49">G268-G275</f>
        <v>-2388667.1983609046</v>
      </c>
      <c r="H277" s="133">
        <f t="shared" ca="1" si="49"/>
        <v>2844196.8016390959</v>
      </c>
      <c r="I277" s="133">
        <f t="shared" ca="1" si="49"/>
        <v>2906278.0816390952</v>
      </c>
      <c r="J277" s="133">
        <f t="shared" ca="1" si="49"/>
        <v>2969600.9872390963</v>
      </c>
      <c r="K277" s="133">
        <f t="shared" ca="1" si="49"/>
        <v>3034190.350951096</v>
      </c>
      <c r="L277" s="133">
        <f t="shared" ca="1" si="49"/>
        <v>3100071.5019373344</v>
      </c>
      <c r="M277" s="133">
        <f t="shared" ca="1" si="49"/>
        <v>3167270.2759433007</v>
      </c>
      <c r="N277" s="133">
        <f t="shared" ca="1" si="49"/>
        <v>3235813.0254293866</v>
      </c>
      <c r="O277" s="133">
        <f t="shared" ca="1" si="49"/>
        <v>3305726.6299051894</v>
      </c>
      <c r="P277" s="133">
        <f t="shared" ca="1" si="49"/>
        <v>3377038.5064705135</v>
      </c>
      <c r="Q277" s="133">
        <f t="shared" ca="1" si="49"/>
        <v>3449776.620567142</v>
      </c>
      <c r="R277" s="133">
        <f t="shared" ca="1" si="49"/>
        <v>3523969.4969457034</v>
      </c>
      <c r="S277" s="133">
        <f t="shared" ca="1" si="49"/>
        <v>3599646.2308518365</v>
      </c>
      <c r="T277" s="133">
        <f t="shared" ca="1" si="49"/>
        <v>3676836.4994360898</v>
      </c>
      <c r="U277" s="133">
        <f t="shared" ca="1" si="49"/>
        <v>3755570.5733920299</v>
      </c>
      <c r="V277" s="133">
        <f t="shared" ca="1" si="49"/>
        <v>3835879.3288270878</v>
      </c>
      <c r="W277" s="133">
        <f t="shared" ca="1" si="49"/>
        <v>3917794.2593708467</v>
      </c>
      <c r="X277" s="133">
        <f t="shared" ca="1" si="49"/>
        <v>4001347.4885254819</v>
      </c>
      <c r="Y277" s="133">
        <f t="shared" ca="1" si="49"/>
        <v>4086571.7822632138</v>
      </c>
      <c r="Z277" s="133">
        <f t="shared" ca="1" si="49"/>
        <v>4173500.5618756935</v>
      </c>
      <c r="AA277" s="133">
        <f t="shared" ca="1" si="49"/>
        <v>4262167.9170804285</v>
      </c>
    </row>
    <row r="278" spans="1:27" x14ac:dyDescent="0.45">
      <c r="A278" s="37"/>
      <c r="B278" s="4"/>
      <c r="C278" s="4"/>
      <c r="E278" s="3"/>
      <c r="F278" s="38"/>
      <c r="G278" s="49"/>
      <c r="H278" s="49"/>
      <c r="I278" s="49"/>
      <c r="J278" s="49"/>
      <c r="K278" s="49"/>
      <c r="L278" s="49"/>
      <c r="M278" s="49"/>
      <c r="N278" s="49"/>
      <c r="O278" s="49"/>
      <c r="P278" s="49"/>
      <c r="Q278" s="49"/>
      <c r="R278" s="49"/>
      <c r="S278" s="49"/>
      <c r="T278" s="49"/>
      <c r="U278" s="49"/>
      <c r="V278" s="49"/>
      <c r="W278" s="49"/>
      <c r="X278" s="49"/>
      <c r="Y278" s="49"/>
      <c r="Z278" s="49"/>
      <c r="AA278" s="49"/>
    </row>
    <row r="279" spans="1:27" x14ac:dyDescent="0.45">
      <c r="A279" s="37"/>
      <c r="B279" s="4"/>
      <c r="C279" s="4"/>
      <c r="D279" s="2" t="s">
        <v>26</v>
      </c>
      <c r="E279" s="3" t="s">
        <v>806</v>
      </c>
      <c r="F279" s="38"/>
      <c r="G279" s="49">
        <f ca="1">G350+'Financing Template'!G153+'Financing Template'!G173+'Financing Template'!G193+'Financing Template'!G211+'Financing Template'!G229+'Financing Template'!G247+'Financing Template'!G274</f>
        <v>-17381.786068104375</v>
      </c>
      <c r="H279" s="49">
        <f ca="1">H350+'Financing Template'!H153+'Financing Template'!H173+'Financing Template'!H193+'Financing Template'!H211+'Financing Template'!H229+'Financing Template'!H247+'Financing Template'!H274</f>
        <v>-41969.294564926931</v>
      </c>
      <c r="I279" s="49">
        <f ca="1">I350+'Financing Template'!I153+'Financing Template'!I173+'Financing Template'!I193+'Financing Template'!I211+'Financing Template'!I229+'Financing Template'!I247+'Financing Template'!I274</f>
        <v>-121729.87498324328</v>
      </c>
      <c r="J279" s="49">
        <f ca="1">J350+'Financing Template'!J153+'Financing Template'!J173+'Financing Template'!J193+'Financing Template'!J211+'Financing Template'!J229+'Financing Template'!J247+'Financing Template'!J274</f>
        <v>-267127.68201571703</v>
      </c>
      <c r="K279" s="49">
        <f ca="1">K350+'Financing Template'!K153+'Financing Template'!K173+'Financing Template'!K193+'Financing Template'!K211+'Financing Template'!K229+'Financing Template'!K247+'Financing Template'!K274</f>
        <v>-400130.49700335029</v>
      </c>
      <c r="L279" s="49">
        <f ca="1">L350+'Financing Template'!L153+'Financing Template'!L173+'Financing Template'!L193+'Financing Template'!L211+'Financing Template'!L229+'Financing Template'!L247+'Financing Template'!L274</f>
        <v>-540901.99169758172</v>
      </c>
      <c r="M279" s="49">
        <f ca="1">M350+'Financing Template'!M153+'Financing Template'!M173+'Financing Template'!M193+'Financing Template'!M211+'Financing Template'!M229+'Financing Template'!M247+'Financing Template'!M274</f>
        <v>-689995.8060199623</v>
      </c>
      <c r="N279" s="49">
        <f ca="1">N350+'Financing Template'!N153+'Financing Template'!N173+'Financing Template'!N193+'Financing Template'!N211+'Financing Template'!N229+'Financing Template'!N247+'Financing Template'!N274</f>
        <v>-847813.26012884057</v>
      </c>
      <c r="O279" s="49">
        <f ca="1">O350+'Financing Template'!O153+'Financing Template'!O173+'Financing Template'!O193+'Financing Template'!O211+'Financing Template'!O229+'Financing Template'!O247+'Financing Template'!O274</f>
        <v>-1014772.0947508407</v>
      </c>
      <c r="P279" s="49">
        <f ca="1">P350+'Financing Template'!P153+'Financing Template'!P173+'Financing Template'!P193+'Financing Template'!P211+'Financing Template'!P229+'Financing Template'!P247+'Financing Template'!P274</f>
        <v>-1191308.6982277029</v>
      </c>
      <c r="Q279" s="49">
        <f ca="1">Q350+'Financing Template'!Q153+'Financing Template'!Q173+'Financing Template'!Q193+'Financing Template'!Q211+'Financing Template'!Q229+'Financing Template'!Q247+'Financing Template'!Q274</f>
        <v>-1377878.9288539295</v>
      </c>
      <c r="R279" s="49">
        <f ca="1">R350+'Financing Template'!R153+'Financing Template'!R173+'Financing Template'!R193+'Financing Template'!R211+'Financing Template'!R229+'Financing Template'!R247+'Financing Template'!R274</f>
        <v>-1574958.9594921169</v>
      </c>
      <c r="S279" s="49">
        <f ca="1">S350+'Financing Template'!S153+'Financing Template'!S173+'Financing Template'!S193+'Financing Template'!S211+'Financing Template'!S229+'Financing Template'!S247+'Financing Template'!S274</f>
        <v>-1783046.1582521577</v>
      </c>
      <c r="T279" s="49">
        <f ca="1">T350+'Financing Template'!T153+'Financing Template'!T173+'Financing Template'!T193+'Financing Template'!T211+'Financing Template'!T229+'Financing Template'!T247+'Financing Template'!T274</f>
        <v>-2002660.0068808573</v>
      </c>
      <c r="U279" s="49">
        <f ca="1">U350+'Financing Template'!U153+'Financing Template'!U173+'Financing Template'!U193+'Financing Template'!U211+'Financing Template'!U229+'Financing Template'!U247+'Financing Template'!U274</f>
        <v>-2234343.0584685728</v>
      </c>
      <c r="V279" s="49">
        <f ca="1">V350+'Financing Template'!V153+'Financing Template'!V173+'Financing Template'!V193+'Financing Template'!V211+'Financing Template'!V229+'Financing Template'!V247+'Financing Template'!V274</f>
        <v>-2478661.9361467524</v>
      </c>
      <c r="W279" s="49">
        <f ca="1">W350+'Financing Template'!W153+'Financing Template'!W173+'Financing Template'!W193+'Financing Template'!W211+'Financing Template'!W229+'Financing Template'!W247+'Financing Template'!W274</f>
        <v>-2736208.3745213221</v>
      </c>
      <c r="X279" s="49">
        <f ca="1">X350+'Financing Template'!X153+'Financing Template'!X173+'Financing Template'!X193+'Financing Template'!X211+'Financing Template'!X229+'Financing Template'!X247+'Financing Template'!X274</f>
        <v>-3007600.3056609649</v>
      </c>
      <c r="Y279" s="49">
        <f ca="1">Y350+'Financing Template'!Y153+'Financing Template'!Y173+'Financing Template'!Y193+'Financing Template'!Y211+'Financing Template'!Y229+'Financing Template'!Y247+'Financing Template'!Y274</f>
        <v>-3293482.991536574</v>
      </c>
      <c r="Z279" s="49">
        <f ca="1">Z350+'Financing Template'!Z153+'Financing Template'!Z173+'Financing Template'!Z193+'Financing Template'!Z211+'Financing Template'!Z229+'Financing Template'!Z247+'Financing Template'!Z274</f>
        <v>-3594530.2048886609</v>
      </c>
      <c r="AA279" s="49">
        <f ca="1">AA350+'Financing Template'!AA153+'Financing Template'!AA173+'Financing Template'!AA193+'Financing Template'!AA211+'Financing Template'!AA229+'Financing Template'!AA247+'Financing Template'!AA274</f>
        <v>-3911445.4605834461</v>
      </c>
    </row>
    <row r="280" spans="1:27" x14ac:dyDescent="0.45">
      <c r="A280" s="37"/>
      <c r="B280" s="4"/>
      <c r="C280" s="4"/>
      <c r="D280" s="2" t="s">
        <v>748</v>
      </c>
      <c r="E280" s="3" t="s">
        <v>806</v>
      </c>
      <c r="F280" s="38"/>
      <c r="G280" s="49">
        <f ca="1">IF((G277-G279)&gt;0,IF(G279&gt;0,(G277-G279)*Assumptions!$H$265,G277*Assumptions!$H$265),0)</f>
        <v>0</v>
      </c>
      <c r="H280" s="49">
        <f ca="1">IF((H277-H279)&gt;0,IF(H279&gt;0,(H277-H279)*Assumptions!$H$265,H277*Assumptions!$H$265),0)</f>
        <v>284419.68016390962</v>
      </c>
      <c r="I280" s="49">
        <f ca="1">IF((I277-I279)&gt;0,IF(I279&gt;0,(I277-I279)*Assumptions!$H$265,I277*Assumptions!$H$265),0)</f>
        <v>290627.80816390953</v>
      </c>
      <c r="J280" s="49">
        <f ca="1">IF((J277-J279)&gt;0,IF(J279&gt;0,(J277-J279)*Assumptions!$H$265,J277*Assumptions!$H$265),0)</f>
        <v>296960.09872390964</v>
      </c>
      <c r="K280" s="49">
        <f ca="1">IF((K277-K279)&gt;0,IF(K279&gt;0,(K277-K279)*Assumptions!$H$265,K277*Assumptions!$H$265),0)</f>
        <v>303419.0350951096</v>
      </c>
      <c r="L280" s="49">
        <f ca="1">IF((L277-L279)&gt;0,IF(L279&gt;0,(L277-L279)*Assumptions!$H$265,L277*Assumptions!$H$265),0)</f>
        <v>310007.15019373345</v>
      </c>
      <c r="M280" s="49">
        <f ca="1">IF((M277-M279)&gt;0,IF(M279&gt;0,(M277-M279)*Assumptions!$H$265,M277*Assumptions!$H$265),0)</f>
        <v>316727.02759433008</v>
      </c>
      <c r="N280" s="49">
        <f ca="1">IF((N277-N279)&gt;0,IF(N279&gt;0,(N277-N279)*Assumptions!$H$265,N277*Assumptions!$H$265),0)</f>
        <v>323581.30254293868</v>
      </c>
      <c r="O280" s="49">
        <f ca="1">IF((O277-O279)&gt;0,IF(O279&gt;0,(O277-O279)*Assumptions!$H$265,O277*Assumptions!$H$265),0)</f>
        <v>330572.66299051896</v>
      </c>
      <c r="P280" s="49">
        <f ca="1">IF((P277-P279)&gt;0,IF(P279&gt;0,(P277-P279)*Assumptions!$H$265,P277*Assumptions!$H$265),0)</f>
        <v>337703.85064705135</v>
      </c>
      <c r="Q280" s="49">
        <f ca="1">IF((Q277-Q279)&gt;0,IF(Q279&gt;0,(Q277-Q279)*Assumptions!$H$265,Q277*Assumptions!$H$265),0)</f>
        <v>344977.66205671424</v>
      </c>
      <c r="R280" s="49">
        <f ca="1">IF((R277-R279)&gt;0,IF(R279&gt;0,(R277-R279)*Assumptions!$H$265,R277*Assumptions!$H$265),0)</f>
        <v>352396.94969457039</v>
      </c>
      <c r="S280" s="49">
        <f ca="1">IF((S277-S279)&gt;0,IF(S279&gt;0,(S277-S279)*Assumptions!$H$265,S277*Assumptions!$H$265),0)</f>
        <v>359964.62308518367</v>
      </c>
      <c r="T280" s="49">
        <f ca="1">IF((T277-T279)&gt;0,IF(T279&gt;0,(T277-T279)*Assumptions!$H$265,T277*Assumptions!$H$265),0)</f>
        <v>367683.64994360902</v>
      </c>
      <c r="U280" s="49">
        <f ca="1">IF((U277-U279)&gt;0,IF(U279&gt;0,(U277-U279)*Assumptions!$H$265,U277*Assumptions!$H$265),0)</f>
        <v>375557.05733920302</v>
      </c>
      <c r="V280" s="49">
        <f ca="1">IF((V277-V279)&gt;0,IF(V279&gt;0,(V277-V279)*Assumptions!$H$265,V277*Assumptions!$H$265),0)</f>
        <v>383587.93288270879</v>
      </c>
      <c r="W280" s="49">
        <f ca="1">IF((W277-W279)&gt;0,IF(W279&gt;0,(W277-W279)*Assumptions!$H$265,W277*Assumptions!$H$265),0)</f>
        <v>391779.42593708471</v>
      </c>
      <c r="X280" s="49">
        <f ca="1">IF((X277-X279)&gt;0,IF(X279&gt;0,(X277-X279)*Assumptions!$H$265,X277*Assumptions!$H$265),0)</f>
        <v>400134.74885254819</v>
      </c>
      <c r="Y280" s="49">
        <f ca="1">IF((Y277-Y279)&gt;0,IF(Y279&gt;0,(Y277-Y279)*Assumptions!$H$265,Y277*Assumptions!$H$265),0)</f>
        <v>408657.17822632141</v>
      </c>
      <c r="Z280" s="49">
        <f ca="1">IF((Z277-Z279)&gt;0,IF(Z279&gt;0,(Z277-Z279)*Assumptions!$H$265,Z277*Assumptions!$H$265),0)</f>
        <v>417350.0561875694</v>
      </c>
      <c r="AA280" s="49">
        <f ca="1">IF((AA277-AA279)&gt;0,IF(AA279&gt;0,(AA277-AA279)*Assumptions!$H$265,AA277*Assumptions!$H$265),0)</f>
        <v>426216.79170804285</v>
      </c>
    </row>
    <row r="281" spans="1:27" x14ac:dyDescent="0.45">
      <c r="A281" s="37"/>
      <c r="B281" s="4"/>
      <c r="C281" s="4"/>
      <c r="D281" s="2" t="s">
        <v>27</v>
      </c>
      <c r="E281" s="3" t="s">
        <v>806</v>
      </c>
      <c r="F281" s="38"/>
      <c r="G281" s="49"/>
      <c r="H281" s="49"/>
      <c r="I281" s="49"/>
      <c r="J281" s="49"/>
      <c r="K281" s="49"/>
      <c r="L281" s="49"/>
      <c r="M281" s="49"/>
      <c r="N281" s="49"/>
      <c r="O281" s="49"/>
      <c r="P281" s="49"/>
      <c r="Q281" s="49"/>
      <c r="R281" s="49"/>
      <c r="S281" s="49"/>
      <c r="T281" s="49"/>
      <c r="U281" s="49"/>
      <c r="V281" s="49"/>
      <c r="W281" s="49"/>
      <c r="X281" s="49"/>
      <c r="Y281" s="49"/>
      <c r="Z281" s="49"/>
      <c r="AA281" s="49"/>
    </row>
    <row r="282" spans="1:27" x14ac:dyDescent="0.45">
      <c r="A282" s="37"/>
      <c r="B282" s="4"/>
      <c r="C282" s="4"/>
      <c r="E282" s="3"/>
      <c r="F282" s="38"/>
      <c r="G282" s="40" t="s">
        <v>22</v>
      </c>
      <c r="H282" s="40" t="s">
        <v>22</v>
      </c>
      <c r="I282" s="40" t="s">
        <v>22</v>
      </c>
      <c r="J282" s="40" t="s">
        <v>22</v>
      </c>
      <c r="K282" s="40" t="s">
        <v>22</v>
      </c>
      <c r="L282" s="40" t="s">
        <v>22</v>
      </c>
      <c r="M282" s="40" t="s">
        <v>22</v>
      </c>
      <c r="N282" s="40" t="s">
        <v>22</v>
      </c>
      <c r="O282" s="40" t="s">
        <v>22</v>
      </c>
      <c r="P282" s="40" t="s">
        <v>22</v>
      </c>
      <c r="Q282" s="40" t="s">
        <v>22</v>
      </c>
      <c r="R282" s="40" t="s">
        <v>22</v>
      </c>
      <c r="S282" s="40" t="s">
        <v>22</v>
      </c>
      <c r="T282" s="40" t="s">
        <v>22</v>
      </c>
      <c r="U282" s="40" t="s">
        <v>22</v>
      </c>
      <c r="V282" s="40" t="s">
        <v>22</v>
      </c>
      <c r="W282" s="40" t="s">
        <v>22</v>
      </c>
      <c r="X282" s="40" t="s">
        <v>22</v>
      </c>
      <c r="Y282" s="40" t="s">
        <v>22</v>
      </c>
      <c r="Z282" s="40" t="s">
        <v>22</v>
      </c>
      <c r="AA282" s="40" t="s">
        <v>22</v>
      </c>
    </row>
    <row r="283" spans="1:27" x14ac:dyDescent="0.45">
      <c r="A283" s="37"/>
      <c r="B283" s="4"/>
      <c r="C283" s="4"/>
      <c r="D283" s="2" t="s">
        <v>28</v>
      </c>
      <c r="E283" s="3" t="s">
        <v>806</v>
      </c>
      <c r="F283" s="38"/>
      <c r="G283" s="49">
        <f ca="1">SUM(G279:G282)</f>
        <v>-17381.786068104375</v>
      </c>
      <c r="H283" s="49">
        <f ca="1">SUM(H279:H282)</f>
        <v>242450.38559898268</v>
      </c>
      <c r="I283" s="49">
        <f t="shared" ref="I283:U283" ca="1" si="50">SUM(I279:I282)</f>
        <v>168897.93318066624</v>
      </c>
      <c r="J283" s="49">
        <f t="shared" ca="1" si="50"/>
        <v>29832.416708192613</v>
      </c>
      <c r="K283" s="49">
        <f t="shared" ca="1" si="50"/>
        <v>-96711.461908240686</v>
      </c>
      <c r="L283" s="49">
        <f t="shared" ca="1" si="50"/>
        <v>-230894.84150384826</v>
      </c>
      <c r="M283" s="49">
        <f t="shared" ca="1" si="50"/>
        <v>-373268.77842563222</v>
      </c>
      <c r="N283" s="49">
        <f t="shared" ca="1" si="50"/>
        <v>-524231.9575859019</v>
      </c>
      <c r="O283" s="49">
        <f t="shared" ca="1" si="50"/>
        <v>-684199.43176032172</v>
      </c>
      <c r="P283" s="49">
        <f t="shared" ca="1" si="50"/>
        <v>-853604.84758065152</v>
      </c>
      <c r="Q283" s="49">
        <f t="shared" ca="1" si="50"/>
        <v>-1032901.2667972152</v>
      </c>
      <c r="R283" s="49">
        <f t="shared" ca="1" si="50"/>
        <v>-1222562.0097975465</v>
      </c>
      <c r="S283" s="49">
        <f t="shared" ca="1" si="50"/>
        <v>-1423081.5351669742</v>
      </c>
      <c r="T283" s="49">
        <f t="shared" ca="1" si="50"/>
        <v>-1634976.3569372483</v>
      </c>
      <c r="U283" s="49">
        <f t="shared" ca="1" si="50"/>
        <v>-1858786.0011293697</v>
      </c>
      <c r="V283" s="49">
        <f t="shared" ref="V283:AA283" ca="1" si="51">SUM(V279:V282)</f>
        <v>-2095074.0032640437</v>
      </c>
      <c r="W283" s="49">
        <f t="shared" ca="1" si="51"/>
        <v>-2344428.9485842371</v>
      </c>
      <c r="X283" s="49">
        <f t="shared" ca="1" si="51"/>
        <v>-2607465.5568084167</v>
      </c>
      <c r="Y283" s="49">
        <f t="shared" ca="1" si="51"/>
        <v>-2884825.8133102525</v>
      </c>
      <c r="Z283" s="49">
        <f t="shared" ca="1" si="51"/>
        <v>-3177180.1487010913</v>
      </c>
      <c r="AA283" s="49">
        <f t="shared" ca="1" si="51"/>
        <v>-3485228.6688754032</v>
      </c>
    </row>
    <row r="284" spans="1:27" x14ac:dyDescent="0.45">
      <c r="A284" s="37"/>
      <c r="B284" s="4"/>
      <c r="C284" s="4"/>
      <c r="G284" s="49"/>
      <c r="H284" s="49"/>
      <c r="I284" s="49"/>
      <c r="J284" s="49"/>
      <c r="K284" s="49"/>
      <c r="L284" s="49"/>
      <c r="M284" s="49"/>
      <c r="N284" s="49"/>
      <c r="O284" s="49"/>
      <c r="P284" s="49"/>
      <c r="Q284" s="49"/>
      <c r="R284" s="49"/>
      <c r="S284" s="49"/>
      <c r="T284" s="49"/>
      <c r="U284" s="49"/>
      <c r="V284" s="49"/>
      <c r="W284" s="49"/>
      <c r="X284" s="49"/>
      <c r="Y284" s="49"/>
      <c r="Z284" s="49"/>
      <c r="AA284" s="49"/>
    </row>
    <row r="285" spans="1:27" x14ac:dyDescent="0.45">
      <c r="A285" s="37"/>
      <c r="B285" s="4"/>
      <c r="C285" s="4"/>
      <c r="D285" s="2" t="s">
        <v>29</v>
      </c>
      <c r="E285" s="3" t="s">
        <v>806</v>
      </c>
      <c r="F285" s="38"/>
      <c r="G285" s="49">
        <f t="shared" ref="G285:U285" ca="1" si="52">G277-G283</f>
        <v>-2371285.4122928004</v>
      </c>
      <c r="H285" s="49">
        <f t="shared" ca="1" si="52"/>
        <v>2601746.4160401132</v>
      </c>
      <c r="I285" s="49">
        <f t="shared" ca="1" si="52"/>
        <v>2737380.1484584291</v>
      </c>
      <c r="J285" s="49">
        <f t="shared" ca="1" si="52"/>
        <v>2939768.5705309035</v>
      </c>
      <c r="K285" s="49">
        <f t="shared" ca="1" si="52"/>
        <v>3130901.8128593368</v>
      </c>
      <c r="L285" s="49">
        <f t="shared" ca="1" si="52"/>
        <v>3330966.3434411827</v>
      </c>
      <c r="M285" s="49">
        <f t="shared" ca="1" si="52"/>
        <v>3540539.0543689327</v>
      </c>
      <c r="N285" s="49">
        <f t="shared" ca="1" si="52"/>
        <v>3760044.9830152886</v>
      </c>
      <c r="O285" s="49">
        <f t="shared" ca="1" si="52"/>
        <v>3989926.0616655112</v>
      </c>
      <c r="P285" s="49">
        <f t="shared" ca="1" si="52"/>
        <v>4230643.3540511653</v>
      </c>
      <c r="Q285" s="49">
        <f t="shared" ca="1" si="52"/>
        <v>4482677.8873643577</v>
      </c>
      <c r="R285" s="49">
        <f t="shared" ca="1" si="52"/>
        <v>4746531.5067432504</v>
      </c>
      <c r="S285" s="49">
        <f t="shared" ca="1" si="52"/>
        <v>5022727.7660188107</v>
      </c>
      <c r="T285" s="49">
        <f t="shared" ca="1" si="52"/>
        <v>5311812.856373338</v>
      </c>
      <c r="U285" s="49">
        <f t="shared" ca="1" si="52"/>
        <v>5614356.5745214</v>
      </c>
      <c r="V285" s="49">
        <f t="shared" ref="V285:AA285" ca="1" si="53">V277-V283</f>
        <v>5930953.3320911312</v>
      </c>
      <c r="W285" s="49">
        <f t="shared" ca="1" si="53"/>
        <v>6262223.2079550838</v>
      </c>
      <c r="X285" s="49">
        <f t="shared" ca="1" si="53"/>
        <v>6608813.0453338986</v>
      </c>
      <c r="Y285" s="49">
        <f t="shared" ca="1" si="53"/>
        <v>6971397.5955734663</v>
      </c>
      <c r="Z285" s="49">
        <f t="shared" ca="1" si="53"/>
        <v>7350680.7105767848</v>
      </c>
      <c r="AA285" s="49">
        <f t="shared" ca="1" si="53"/>
        <v>7747396.5859558322</v>
      </c>
    </row>
    <row r="286" spans="1:27" x14ac:dyDescent="0.45">
      <c r="A286" s="37"/>
      <c r="B286" s="4"/>
      <c r="C286" s="4"/>
      <c r="D286" s="2" t="s">
        <v>30</v>
      </c>
      <c r="E286" s="3" t="s">
        <v>806</v>
      </c>
      <c r="F286" s="50">
        <f>Assumptions!H13</f>
        <v>0.3</v>
      </c>
      <c r="G286" s="49">
        <f t="shared" ref="G286:U286" ca="1" si="54">G285*$F$286</f>
        <v>-711385.62368784007</v>
      </c>
      <c r="H286" s="49">
        <f t="shared" ca="1" si="54"/>
        <v>780523.92481203389</v>
      </c>
      <c r="I286" s="49">
        <f t="shared" ca="1" si="54"/>
        <v>821214.04453752877</v>
      </c>
      <c r="J286" s="49">
        <f t="shared" ca="1" si="54"/>
        <v>881930.57115927106</v>
      </c>
      <c r="K286" s="49">
        <f t="shared" ca="1" si="54"/>
        <v>939270.54385780101</v>
      </c>
      <c r="L286" s="49">
        <f t="shared" ca="1" si="54"/>
        <v>999289.90303235478</v>
      </c>
      <c r="M286" s="49">
        <f t="shared" ca="1" si="54"/>
        <v>1062161.7163106797</v>
      </c>
      <c r="N286" s="49">
        <f t="shared" ca="1" si="54"/>
        <v>1128013.4949045866</v>
      </c>
      <c r="O286" s="49">
        <f t="shared" ca="1" si="54"/>
        <v>1196977.8184996534</v>
      </c>
      <c r="P286" s="49">
        <f t="shared" ca="1" si="54"/>
        <v>1269193.0062153495</v>
      </c>
      <c r="Q286" s="49">
        <f t="shared" ca="1" si="54"/>
        <v>1344803.3662093072</v>
      </c>
      <c r="R286" s="49">
        <f t="shared" ca="1" si="54"/>
        <v>1423959.4520229751</v>
      </c>
      <c r="S286" s="49">
        <f t="shared" ca="1" si="54"/>
        <v>1506818.3298056431</v>
      </c>
      <c r="T286" s="49">
        <f t="shared" ca="1" si="54"/>
        <v>1593543.8569120013</v>
      </c>
      <c r="U286" s="49">
        <f t="shared" ca="1" si="54"/>
        <v>1684306.97235642</v>
      </c>
      <c r="V286" s="49">
        <f t="shared" ref="V286:AA286" ca="1" si="55">V285*$F$286</f>
        <v>1779285.9996273394</v>
      </c>
      <c r="W286" s="49">
        <f t="shared" ca="1" si="55"/>
        <v>1878666.962386525</v>
      </c>
      <c r="X286" s="49">
        <f t="shared" ca="1" si="55"/>
        <v>1982643.9136001696</v>
      </c>
      <c r="Y286" s="49">
        <f t="shared" ca="1" si="55"/>
        <v>2091419.2786720397</v>
      </c>
      <c r="Z286" s="49">
        <f t="shared" ca="1" si="55"/>
        <v>2205204.2131730355</v>
      </c>
      <c r="AA286" s="49">
        <f t="shared" ca="1" si="55"/>
        <v>2324218.9757867497</v>
      </c>
    </row>
    <row r="287" spans="1:27" x14ac:dyDescent="0.45">
      <c r="A287" s="37"/>
      <c r="B287" s="4"/>
      <c r="C287" s="4"/>
      <c r="G287" s="49"/>
      <c r="H287" s="49"/>
      <c r="I287" s="49"/>
      <c r="J287" s="49"/>
      <c r="K287" s="49"/>
      <c r="L287" s="49"/>
      <c r="M287" s="49"/>
      <c r="N287" s="49"/>
      <c r="O287" s="49"/>
      <c r="P287" s="49"/>
      <c r="Q287" s="49"/>
      <c r="R287" s="49"/>
      <c r="S287" s="49"/>
      <c r="T287" s="49"/>
      <c r="U287" s="49"/>
      <c r="V287" s="49"/>
      <c r="W287" s="49"/>
      <c r="X287" s="49"/>
      <c r="Y287" s="49"/>
      <c r="Z287" s="49"/>
      <c r="AA287" s="49"/>
    </row>
    <row r="288" spans="1:27" x14ac:dyDescent="0.45">
      <c r="A288" s="37"/>
      <c r="B288" s="4"/>
      <c r="C288" s="4"/>
      <c r="D288" s="2" t="s">
        <v>31</v>
      </c>
      <c r="E288" s="3" t="s">
        <v>806</v>
      </c>
      <c r="F288" s="38"/>
      <c r="G288" s="49">
        <f ca="1">G285-G286</f>
        <v>-1659899.7886049603</v>
      </c>
      <c r="H288" s="49">
        <f t="shared" ref="H288:U288" ca="1" si="56">H285-H286</f>
        <v>1821222.4912280794</v>
      </c>
      <c r="I288" s="49">
        <f t="shared" ca="1" si="56"/>
        <v>1916166.1039209003</v>
      </c>
      <c r="J288" s="49">
        <f t="shared" ca="1" si="56"/>
        <v>2057837.9993716325</v>
      </c>
      <c r="K288" s="49">
        <f t="shared" ca="1" si="56"/>
        <v>2191631.2690015361</v>
      </c>
      <c r="L288" s="49">
        <f t="shared" ca="1" si="56"/>
        <v>2331676.4404088277</v>
      </c>
      <c r="M288" s="49">
        <f t="shared" ca="1" si="56"/>
        <v>2478377.3380582528</v>
      </c>
      <c r="N288" s="49">
        <f t="shared" ca="1" si="56"/>
        <v>2632031.488110702</v>
      </c>
      <c r="O288" s="49">
        <f t="shared" ca="1" si="56"/>
        <v>2792948.2431658581</v>
      </c>
      <c r="P288" s="49">
        <f t="shared" ca="1" si="56"/>
        <v>2961450.3478358155</v>
      </c>
      <c r="Q288" s="49">
        <f t="shared" ca="1" si="56"/>
        <v>3137874.5211550505</v>
      </c>
      <c r="R288" s="49">
        <f t="shared" ca="1" si="56"/>
        <v>3322572.0547202751</v>
      </c>
      <c r="S288" s="49">
        <f t="shared" ca="1" si="56"/>
        <v>3515909.4362131674</v>
      </c>
      <c r="T288" s="49">
        <f t="shared" ca="1" si="56"/>
        <v>3718268.999461337</v>
      </c>
      <c r="U288" s="49">
        <f t="shared" ca="1" si="56"/>
        <v>3930049.60216498</v>
      </c>
      <c r="V288" s="49">
        <f t="shared" ref="V288:AA288" ca="1" si="57">V285-V286</f>
        <v>4151667.3324637916</v>
      </c>
      <c r="W288" s="49">
        <f t="shared" ca="1" si="57"/>
        <v>4383556.2455685586</v>
      </c>
      <c r="X288" s="49">
        <f t="shared" ca="1" si="57"/>
        <v>4626169.1317337286</v>
      </c>
      <c r="Y288" s="49">
        <f t="shared" ca="1" si="57"/>
        <v>4879978.3169014268</v>
      </c>
      <c r="Z288" s="49">
        <f t="shared" ca="1" si="57"/>
        <v>5145476.4974037493</v>
      </c>
      <c r="AA288" s="49">
        <f t="shared" ca="1" si="57"/>
        <v>5423177.6101690829</v>
      </c>
    </row>
    <row r="289" spans="1:27" ht="15" customHeight="1" x14ac:dyDescent="0.45">
      <c r="A289" s="37"/>
      <c r="B289" s="4"/>
      <c r="C289" s="4"/>
      <c r="E289" s="3"/>
      <c r="F289" s="38"/>
      <c r="G289" s="49"/>
      <c r="H289" s="49"/>
      <c r="I289" s="49"/>
      <c r="J289" s="49"/>
      <c r="K289" s="49"/>
      <c r="L289" s="49"/>
      <c r="M289" s="49"/>
      <c r="N289" s="49"/>
      <c r="O289" s="49"/>
      <c r="P289" s="49"/>
      <c r="Q289" s="49"/>
      <c r="R289" s="49"/>
      <c r="S289" s="49"/>
      <c r="T289" s="49"/>
      <c r="U289" s="49"/>
      <c r="V289" s="49"/>
      <c r="W289" s="49"/>
      <c r="X289" s="49"/>
      <c r="Y289" s="49"/>
      <c r="Z289" s="49"/>
      <c r="AA289" s="49"/>
    </row>
    <row r="290" spans="1:27" ht="15" customHeight="1" x14ac:dyDescent="0.45">
      <c r="A290" s="37"/>
      <c r="B290" s="4"/>
      <c r="C290" s="4"/>
      <c r="D290" s="2" t="s">
        <v>187</v>
      </c>
      <c r="E290" s="3" t="s">
        <v>806</v>
      </c>
      <c r="F290" s="38"/>
      <c r="G290" s="158">
        <v>0</v>
      </c>
      <c r="H290" s="158">
        <v>0</v>
      </c>
      <c r="I290" s="158">
        <v>0</v>
      </c>
      <c r="J290" s="158">
        <v>0</v>
      </c>
      <c r="K290" s="158">
        <v>0</v>
      </c>
      <c r="L290" s="158">
        <v>0</v>
      </c>
      <c r="M290" s="158">
        <v>0</v>
      </c>
      <c r="N290" s="158">
        <v>0</v>
      </c>
      <c r="O290" s="158">
        <v>0</v>
      </c>
      <c r="P290" s="158">
        <v>0</v>
      </c>
      <c r="Q290" s="158">
        <v>0</v>
      </c>
      <c r="R290" s="158">
        <v>0</v>
      </c>
      <c r="S290" s="158">
        <v>0</v>
      </c>
      <c r="T290" s="158">
        <v>0</v>
      </c>
      <c r="U290" s="158">
        <v>0</v>
      </c>
      <c r="V290" s="158">
        <v>0</v>
      </c>
      <c r="W290" s="158">
        <v>0</v>
      </c>
      <c r="X290" s="158">
        <v>0</v>
      </c>
      <c r="Y290" s="158">
        <v>0</v>
      </c>
      <c r="Z290" s="158">
        <v>0</v>
      </c>
      <c r="AA290" s="158">
        <v>0</v>
      </c>
    </row>
    <row r="291" spans="1:27" ht="15" customHeight="1" x14ac:dyDescent="0.45">
      <c r="A291" s="37"/>
      <c r="B291" s="4"/>
      <c r="C291" s="4"/>
      <c r="E291" s="3"/>
      <c r="F291" s="38"/>
      <c r="G291" s="49"/>
      <c r="H291" s="49"/>
      <c r="I291" s="49"/>
      <c r="J291" s="49"/>
      <c r="K291" s="49"/>
      <c r="L291" s="49"/>
      <c r="M291" s="49"/>
      <c r="N291" s="49"/>
      <c r="O291" s="49"/>
      <c r="P291" s="49"/>
      <c r="Q291" s="49"/>
      <c r="R291" s="49"/>
      <c r="S291" s="49"/>
      <c r="T291" s="49"/>
      <c r="U291" s="49"/>
      <c r="V291" s="49"/>
      <c r="W291" s="49"/>
      <c r="X291" s="49"/>
      <c r="Y291" s="49"/>
      <c r="Z291" s="49"/>
      <c r="AA291" s="49"/>
    </row>
    <row r="292" spans="1:27" ht="15" customHeight="1" x14ac:dyDescent="0.45">
      <c r="A292" s="37"/>
      <c r="B292" s="4"/>
      <c r="C292" s="4"/>
      <c r="D292" s="2" t="s">
        <v>180</v>
      </c>
      <c r="E292" s="3" t="s">
        <v>806</v>
      </c>
      <c r="F292" s="38"/>
      <c r="G292" s="49">
        <f ca="1">G288-G290</f>
        <v>-1659899.7886049603</v>
      </c>
      <c r="H292" s="49">
        <f t="shared" ref="H292:AA292" ca="1" si="58">H288-H290</f>
        <v>1821222.4912280794</v>
      </c>
      <c r="I292" s="49">
        <f t="shared" ca="1" si="58"/>
        <v>1916166.1039209003</v>
      </c>
      <c r="J292" s="49">
        <f t="shared" ca="1" si="58"/>
        <v>2057837.9993716325</v>
      </c>
      <c r="K292" s="49">
        <f t="shared" ca="1" si="58"/>
        <v>2191631.2690015361</v>
      </c>
      <c r="L292" s="49">
        <f t="shared" ca="1" si="58"/>
        <v>2331676.4404088277</v>
      </c>
      <c r="M292" s="49">
        <f t="shared" ca="1" si="58"/>
        <v>2478377.3380582528</v>
      </c>
      <c r="N292" s="49">
        <f t="shared" ca="1" si="58"/>
        <v>2632031.488110702</v>
      </c>
      <c r="O292" s="49">
        <f t="shared" ca="1" si="58"/>
        <v>2792948.2431658581</v>
      </c>
      <c r="P292" s="49">
        <f t="shared" ca="1" si="58"/>
        <v>2961450.3478358155</v>
      </c>
      <c r="Q292" s="49">
        <f t="shared" ca="1" si="58"/>
        <v>3137874.5211550505</v>
      </c>
      <c r="R292" s="49">
        <f t="shared" ca="1" si="58"/>
        <v>3322572.0547202751</v>
      </c>
      <c r="S292" s="49">
        <f t="shared" ca="1" si="58"/>
        <v>3515909.4362131674</v>
      </c>
      <c r="T292" s="49">
        <f t="shared" ca="1" si="58"/>
        <v>3718268.999461337</v>
      </c>
      <c r="U292" s="49">
        <f t="shared" ca="1" si="58"/>
        <v>3930049.60216498</v>
      </c>
      <c r="V292" s="49">
        <f t="shared" ca="1" si="58"/>
        <v>4151667.3324637916</v>
      </c>
      <c r="W292" s="49">
        <f t="shared" ca="1" si="58"/>
        <v>4383556.2455685586</v>
      </c>
      <c r="X292" s="49">
        <f t="shared" ca="1" si="58"/>
        <v>4626169.1317337286</v>
      </c>
      <c r="Y292" s="49">
        <f t="shared" ca="1" si="58"/>
        <v>4879978.3169014268</v>
      </c>
      <c r="Z292" s="49">
        <f t="shared" ca="1" si="58"/>
        <v>5145476.4974037493</v>
      </c>
      <c r="AA292" s="49">
        <f t="shared" ca="1" si="58"/>
        <v>5423177.6101690829</v>
      </c>
    </row>
    <row r="293" spans="1:27" ht="15" customHeight="1" x14ac:dyDescent="0.45">
      <c r="A293" s="37"/>
      <c r="B293" s="4"/>
      <c r="C293" s="4"/>
      <c r="G293" s="51"/>
      <c r="H293" s="51"/>
      <c r="I293" s="51"/>
      <c r="J293" s="51"/>
      <c r="K293" s="51"/>
      <c r="L293" s="51"/>
      <c r="M293" s="51"/>
      <c r="N293" s="51"/>
      <c r="O293" s="51"/>
      <c r="P293" s="51"/>
      <c r="Q293" s="51"/>
      <c r="R293" s="51"/>
      <c r="S293" s="51"/>
      <c r="T293" s="51"/>
      <c r="U293" s="51"/>
      <c r="V293" s="51"/>
      <c r="W293" s="51"/>
      <c r="X293" s="51"/>
      <c r="Y293" s="51"/>
      <c r="Z293" s="51"/>
      <c r="AA293" s="51"/>
    </row>
    <row r="294" spans="1:27" ht="15" customHeight="1" x14ac:dyDescent="0.45">
      <c r="A294" s="37"/>
      <c r="B294" s="4" t="s">
        <v>32</v>
      </c>
      <c r="C294" s="4"/>
    </row>
    <row r="295" spans="1:27" ht="15" customHeight="1" x14ac:dyDescent="0.45">
      <c r="A295" s="37"/>
      <c r="B295" s="4"/>
      <c r="C295" s="4"/>
      <c r="D295" s="2" t="s">
        <v>33</v>
      </c>
      <c r="E295" s="3" t="s">
        <v>806</v>
      </c>
    </row>
    <row r="296" spans="1:27" ht="15" customHeight="1" x14ac:dyDescent="0.45">
      <c r="A296" s="37"/>
      <c r="B296" s="4"/>
      <c r="C296" s="4"/>
      <c r="D296" s="2" t="s">
        <v>34</v>
      </c>
      <c r="E296" s="3" t="s">
        <v>806</v>
      </c>
      <c r="F296" s="38"/>
      <c r="G296" s="49">
        <f t="shared" ref="G296:U296" ca="1" si="59">F296+G389</f>
        <v>5717078.3639399</v>
      </c>
      <c r="H296" s="49">
        <f t="shared" ca="1" si="59"/>
        <v>5786458.4213288818</v>
      </c>
      <c r="I296" s="49">
        <f t="shared" ca="1" si="59"/>
        <v>5857226.0798656428</v>
      </c>
      <c r="J296" s="49">
        <f t="shared" ca="1" si="59"/>
        <v>5929409.0915731397</v>
      </c>
      <c r="K296" s="49">
        <f t="shared" ca="1" si="59"/>
        <v>6003035.763514786</v>
      </c>
      <c r="L296" s="49">
        <f t="shared" ca="1" si="59"/>
        <v>6078134.9688952658</v>
      </c>
      <c r="M296" s="49">
        <f t="shared" ca="1" si="59"/>
        <v>6154736.1583833545</v>
      </c>
      <c r="N296" s="49">
        <f t="shared" ca="1" si="59"/>
        <v>6232869.3716612048</v>
      </c>
      <c r="O296" s="49">
        <f t="shared" ca="1" si="59"/>
        <v>6312565.2492046123</v>
      </c>
      <c r="P296" s="49">
        <f t="shared" ca="1" si="59"/>
        <v>6393855.0442988882</v>
      </c>
      <c r="Q296" s="49">
        <f t="shared" ca="1" si="59"/>
        <v>6476770.6352950493</v>
      </c>
      <c r="R296" s="49">
        <f t="shared" ca="1" si="59"/>
        <v>6561344.5381111335</v>
      </c>
      <c r="S296" s="49">
        <f t="shared" ca="1" si="59"/>
        <v>6647609.9189835396</v>
      </c>
      <c r="T296" s="49">
        <f t="shared" ca="1" si="59"/>
        <v>6735600.6074733939</v>
      </c>
      <c r="U296" s="49">
        <f t="shared" ca="1" si="59"/>
        <v>6825351.1097330451</v>
      </c>
      <c r="V296" s="49">
        <f t="shared" ref="V296:AA296" ca="1" si="60">U296+V389</f>
        <v>6916896.6220378894</v>
      </c>
      <c r="W296" s="49">
        <f t="shared" ca="1" si="60"/>
        <v>7010273.0445888313</v>
      </c>
      <c r="X296" s="49">
        <f t="shared" ca="1" si="60"/>
        <v>7105516.995590792</v>
      </c>
      <c r="Y296" s="49">
        <f t="shared" ca="1" si="60"/>
        <v>7202665.8256127918</v>
      </c>
      <c r="Z296" s="49">
        <f t="shared" ca="1" si="60"/>
        <v>7301757.6322352309</v>
      </c>
      <c r="AA296" s="49">
        <f t="shared" ca="1" si="60"/>
        <v>7402831.274990119</v>
      </c>
    </row>
    <row r="297" spans="1:27" ht="15" customHeight="1" x14ac:dyDescent="0.45">
      <c r="A297" s="37"/>
      <c r="B297" s="4"/>
      <c r="C297" s="4"/>
      <c r="D297" s="2" t="s">
        <v>35</v>
      </c>
      <c r="E297" s="3" t="s">
        <v>806</v>
      </c>
      <c r="F297" s="38"/>
      <c r="G297" s="49">
        <f t="shared" ref="G297:AA297" ca="1" si="61">F297+G271</f>
        <v>259867.19836090453</v>
      </c>
      <c r="H297" s="49">
        <f t="shared" ca="1" si="61"/>
        <v>519734.39672180905</v>
      </c>
      <c r="I297" s="49">
        <f t="shared" ca="1" si="61"/>
        <v>779601.59508271352</v>
      </c>
      <c r="J297" s="49">
        <f t="shared" ca="1" si="61"/>
        <v>1039468.7934436181</v>
      </c>
      <c r="K297" s="49">
        <f t="shared" ca="1" si="61"/>
        <v>1299335.9918045227</v>
      </c>
      <c r="L297" s="49">
        <f t="shared" ca="1" si="61"/>
        <v>1559203.1901654273</v>
      </c>
      <c r="M297" s="49">
        <f t="shared" ca="1" si="61"/>
        <v>1819070.3885263319</v>
      </c>
      <c r="N297" s="49">
        <f t="shared" ca="1" si="61"/>
        <v>2078937.5868872365</v>
      </c>
      <c r="O297" s="49">
        <f t="shared" ca="1" si="61"/>
        <v>2338804.7852481408</v>
      </c>
      <c r="P297" s="49">
        <f t="shared" ca="1" si="61"/>
        <v>2598671.9836090454</v>
      </c>
      <c r="Q297" s="49">
        <f t="shared" ca="1" si="61"/>
        <v>2858539.18196995</v>
      </c>
      <c r="R297" s="49">
        <f t="shared" ca="1" si="61"/>
        <v>3118406.3803308546</v>
      </c>
      <c r="S297" s="49">
        <f t="shared" ca="1" si="61"/>
        <v>3378273.5786917591</v>
      </c>
      <c r="T297" s="49">
        <f t="shared" ca="1" si="61"/>
        <v>3638140.7770526637</v>
      </c>
      <c r="U297" s="49">
        <f t="shared" ca="1" si="61"/>
        <v>3898007.9754135683</v>
      </c>
      <c r="V297" s="49">
        <f t="shared" ca="1" si="61"/>
        <v>4157875.1737744729</v>
      </c>
      <c r="W297" s="49">
        <f t="shared" ca="1" si="61"/>
        <v>4417742.3721353775</v>
      </c>
      <c r="X297" s="49">
        <f t="shared" ca="1" si="61"/>
        <v>4677609.5704962816</v>
      </c>
      <c r="Y297" s="49">
        <f t="shared" ca="1" si="61"/>
        <v>4937476.7688571857</v>
      </c>
      <c r="Z297" s="49">
        <f t="shared" ca="1" si="61"/>
        <v>5197343.9672180898</v>
      </c>
      <c r="AA297" s="49">
        <f t="shared" ca="1" si="61"/>
        <v>5457211.165578994</v>
      </c>
    </row>
    <row r="298" spans="1:27" ht="15" customHeight="1" x14ac:dyDescent="0.45">
      <c r="A298" s="37"/>
      <c r="B298" s="4"/>
      <c r="C298" s="4"/>
      <c r="G298" s="47" t="s">
        <v>22</v>
      </c>
      <c r="H298" s="47" t="s">
        <v>22</v>
      </c>
      <c r="I298" s="47" t="s">
        <v>22</v>
      </c>
      <c r="J298" s="47" t="s">
        <v>22</v>
      </c>
      <c r="K298" s="47" t="s">
        <v>22</v>
      </c>
      <c r="L298" s="47" t="s">
        <v>22</v>
      </c>
      <c r="M298" s="47" t="s">
        <v>22</v>
      </c>
      <c r="N298" s="47" t="s">
        <v>22</v>
      </c>
      <c r="O298" s="47" t="s">
        <v>22</v>
      </c>
      <c r="P298" s="47" t="s">
        <v>22</v>
      </c>
      <c r="Q298" s="47" t="s">
        <v>22</v>
      </c>
      <c r="R298" s="47" t="s">
        <v>22</v>
      </c>
      <c r="S298" s="47" t="s">
        <v>22</v>
      </c>
      <c r="T298" s="47" t="s">
        <v>22</v>
      </c>
      <c r="U298" s="47" t="s">
        <v>22</v>
      </c>
      <c r="V298" s="47" t="s">
        <v>22</v>
      </c>
      <c r="W298" s="47" t="s">
        <v>22</v>
      </c>
      <c r="X298" s="47" t="s">
        <v>22</v>
      </c>
      <c r="Y298" s="47" t="s">
        <v>22</v>
      </c>
      <c r="Z298" s="47" t="s">
        <v>22</v>
      </c>
      <c r="AA298" s="47" t="s">
        <v>22</v>
      </c>
    </row>
    <row r="299" spans="1:27" ht="15" customHeight="1" x14ac:dyDescent="0.45">
      <c r="A299" s="37"/>
      <c r="B299" s="4"/>
      <c r="C299" s="4"/>
      <c r="D299" s="2" t="s">
        <v>285</v>
      </c>
      <c r="E299" s="3" t="s">
        <v>806</v>
      </c>
      <c r="F299" s="38"/>
      <c r="G299" s="49">
        <f ca="1">G296-G297</f>
        <v>5457211.1655789958</v>
      </c>
      <c r="H299" s="49">
        <f t="shared" ref="H299:P299" ca="1" si="62">H296-H297</f>
        <v>5266724.0246070726</v>
      </c>
      <c r="I299" s="49">
        <f t="shared" ca="1" si="62"/>
        <v>5077624.4847829295</v>
      </c>
      <c r="J299" s="49">
        <f ca="1">J296-J297</f>
        <v>4889940.2981295213</v>
      </c>
      <c r="K299" s="49">
        <f ca="1">K296-K297</f>
        <v>4703699.7717102636</v>
      </c>
      <c r="L299" s="49">
        <f t="shared" ca="1" si="62"/>
        <v>4518931.7787298383</v>
      </c>
      <c r="M299" s="49">
        <f t="shared" ca="1" si="62"/>
        <v>4335665.7698570229</v>
      </c>
      <c r="N299" s="49">
        <f t="shared" ca="1" si="62"/>
        <v>4153931.7847739682</v>
      </c>
      <c r="O299" s="49">
        <f t="shared" ca="1" si="62"/>
        <v>3973760.4639564715</v>
      </c>
      <c r="P299" s="49">
        <f t="shared" ca="1" si="62"/>
        <v>3795183.0606898428</v>
      </c>
      <c r="Q299" s="49">
        <f ca="1">Q296-Q297</f>
        <v>3618231.4533250993</v>
      </c>
      <c r="R299" s="49">
        <f ca="1">R296-R297</f>
        <v>3442938.1577802789</v>
      </c>
      <c r="S299" s="49">
        <f ca="1">S296-S297</f>
        <v>3269336.3402917804</v>
      </c>
      <c r="T299" s="49">
        <f ca="1">T296-T297</f>
        <v>3097459.8304207302</v>
      </c>
      <c r="U299" s="49">
        <f ca="1">U296-U297</f>
        <v>2927343.1343194768</v>
      </c>
      <c r="V299" s="49">
        <f t="shared" ref="V299:AA299" ca="1" si="63">V296-V297</f>
        <v>2759021.4482634165</v>
      </c>
      <c r="W299" s="49">
        <f t="shared" ca="1" si="63"/>
        <v>2592530.6724534538</v>
      </c>
      <c r="X299" s="49">
        <f t="shared" ca="1" si="63"/>
        <v>2427907.4250945104</v>
      </c>
      <c r="Y299" s="49">
        <f t="shared" ca="1" si="63"/>
        <v>2265189.0567556061</v>
      </c>
      <c r="Z299" s="49">
        <f t="shared" ca="1" si="63"/>
        <v>2104413.665017141</v>
      </c>
      <c r="AA299" s="49">
        <f t="shared" ca="1" si="63"/>
        <v>1945620.1094111251</v>
      </c>
    </row>
    <row r="300" spans="1:27" ht="15" customHeight="1" x14ac:dyDescent="0.45">
      <c r="A300" s="37"/>
      <c r="B300" s="4"/>
      <c r="C300" s="4"/>
      <c r="G300" s="49"/>
      <c r="H300" s="49"/>
      <c r="I300" s="49"/>
      <c r="J300" s="49"/>
      <c r="K300" s="49"/>
      <c r="L300" s="49"/>
      <c r="M300" s="49"/>
      <c r="N300" s="49"/>
      <c r="O300" s="49"/>
      <c r="P300" s="49"/>
      <c r="Q300" s="49"/>
      <c r="R300" s="49"/>
      <c r="S300" s="49"/>
      <c r="T300" s="49"/>
      <c r="U300" s="49"/>
      <c r="V300" s="49"/>
      <c r="W300" s="49"/>
      <c r="X300" s="49"/>
      <c r="Y300" s="49"/>
      <c r="Z300" s="49"/>
      <c r="AA300" s="49"/>
    </row>
    <row r="301" spans="1:27" ht="15" customHeight="1" x14ac:dyDescent="0.45">
      <c r="A301" s="37"/>
      <c r="B301" s="4"/>
      <c r="C301" s="4"/>
      <c r="D301" s="2" t="s">
        <v>36</v>
      </c>
      <c r="G301" s="49">
        <f t="shared" ref="G301:U301" si="64">G372</f>
        <v>1574728.7671232875</v>
      </c>
      <c r="H301" s="49">
        <f t="shared" si="64"/>
        <v>4403985.5342465751</v>
      </c>
      <c r="I301" s="49">
        <f t="shared" si="64"/>
        <v>4492065.2449315069</v>
      </c>
      <c r="J301" s="49">
        <f t="shared" si="64"/>
        <v>4581906.5498301368</v>
      </c>
      <c r="K301" s="49">
        <f t="shared" si="64"/>
        <v>4673544.6808267394</v>
      </c>
      <c r="L301" s="49">
        <f t="shared" si="64"/>
        <v>4767015.5744432751</v>
      </c>
      <c r="M301" s="49">
        <f t="shared" si="64"/>
        <v>4862355.8859321401</v>
      </c>
      <c r="N301" s="49">
        <f t="shared" si="64"/>
        <v>4959603.0036507826</v>
      </c>
      <c r="O301" s="49">
        <f t="shared" si="64"/>
        <v>5058795.0637237988</v>
      </c>
      <c r="P301" s="49">
        <f t="shared" si="64"/>
        <v>5159970.964998275</v>
      </c>
      <c r="Q301" s="49">
        <f t="shared" si="64"/>
        <v>5263170.3842982398</v>
      </c>
      <c r="R301" s="49">
        <f t="shared" si="64"/>
        <v>5368433.7919842051</v>
      </c>
      <c r="S301" s="49">
        <f t="shared" si="64"/>
        <v>5475802.4678238891</v>
      </c>
      <c r="T301" s="49">
        <f t="shared" si="64"/>
        <v>5585318.5171803674</v>
      </c>
      <c r="U301" s="49">
        <f t="shared" si="64"/>
        <v>5697024.8875239752</v>
      </c>
      <c r="V301" s="49">
        <f t="shared" ref="V301:AA301" si="65">V372</f>
        <v>5810965.385274455</v>
      </c>
      <c r="W301" s="49">
        <f t="shared" si="65"/>
        <v>5927184.6929799439</v>
      </c>
      <c r="X301" s="49">
        <f t="shared" si="65"/>
        <v>6045728.3868395435</v>
      </c>
      <c r="Y301" s="49">
        <f t="shared" si="65"/>
        <v>6166642.9545763331</v>
      </c>
      <c r="Z301" s="49">
        <f t="shared" si="65"/>
        <v>6289975.8136678599</v>
      </c>
      <c r="AA301" s="49">
        <f t="shared" si="65"/>
        <v>6415775.3299412169</v>
      </c>
    </row>
    <row r="302" spans="1:27" ht="12.75" customHeight="1" x14ac:dyDescent="0.45">
      <c r="A302" s="37"/>
      <c r="B302" s="4"/>
      <c r="C302" s="4"/>
      <c r="G302" s="49"/>
      <c r="H302" s="49"/>
      <c r="I302" s="49"/>
      <c r="J302" s="49"/>
      <c r="K302" s="49"/>
      <c r="L302" s="49"/>
      <c r="M302" s="49"/>
      <c r="N302" s="49"/>
      <c r="O302" s="49"/>
      <c r="P302" s="49"/>
      <c r="Q302" s="49"/>
      <c r="R302" s="49"/>
      <c r="S302" s="49"/>
      <c r="T302" s="49"/>
      <c r="U302" s="49"/>
      <c r="V302" s="49"/>
      <c r="W302" s="49"/>
      <c r="X302" s="49"/>
      <c r="Y302" s="49"/>
      <c r="Z302" s="49"/>
      <c r="AA302" s="49"/>
    </row>
    <row r="303" spans="1:27" ht="15" customHeight="1" x14ac:dyDescent="0.45">
      <c r="A303" s="37"/>
      <c r="B303" s="4"/>
      <c r="C303" s="4"/>
      <c r="D303" s="2" t="s">
        <v>37</v>
      </c>
      <c r="E303" s="3" t="s">
        <v>806</v>
      </c>
      <c r="F303" s="38"/>
      <c r="G303" s="49">
        <f ca="1">F303+G364</f>
        <v>596774.65500491671</v>
      </c>
      <c r="H303" s="49">
        <f t="shared" ref="H303:U303" ca="1" si="66">G303+H364</f>
        <v>559751.44489366515</v>
      </c>
      <c r="I303" s="49">
        <f t="shared" ca="1" si="66"/>
        <v>3329013.1213671113</v>
      </c>
      <c r="J303" s="49">
        <f ca="1">I303+J364</f>
        <v>5545410.5291152643</v>
      </c>
      <c r="K303" s="49">
        <f t="shared" ca="1" si="66"/>
        <v>7888984.1662379857</v>
      </c>
      <c r="L303" s="49">
        <f t="shared" ca="1" si="66"/>
        <v>10371977.065185256</v>
      </c>
      <c r="M303" s="49">
        <f t="shared" ca="1" si="66"/>
        <v>13001151.913905784</v>
      </c>
      <c r="N303" s="49">
        <f t="shared" ca="1" si="66"/>
        <v>15783522.047974804</v>
      </c>
      <c r="O303" s="49">
        <f t="shared" ca="1" si="66"/>
        <v>18726413.875480209</v>
      </c>
      <c r="P303" s="49">
        <f t="shared" ca="1" si="66"/>
        <v>21837480.913023874</v>
      </c>
      <c r="Q303" s="49">
        <f t="shared" ca="1" si="66"/>
        <v>25124717.982237659</v>
      </c>
      <c r="R303" s="49">
        <f t="shared" ca="1" si="66"/>
        <v>28596476.010630459</v>
      </c>
      <c r="S303" s="49">
        <f t="shared" ca="1" si="66"/>
        <v>32261477.466275111</v>
      </c>
      <c r="T303" s="49">
        <f t="shared" ca="1" si="66"/>
        <v>36128832.453357376</v>
      </c>
      <c r="U303" s="49">
        <f t="shared" ca="1" si="66"/>
        <v>40208055.496724419</v>
      </c>
      <c r="V303" s="49">
        <f t="shared" ref="V303:AA303" ca="1" si="67">U303+V364</f>
        <v>44509083.044764712</v>
      </c>
      <c r="W303" s="49">
        <f t="shared" ca="1" si="67"/>
        <v>49042291.721196935</v>
      </c>
      <c r="X303" s="49">
        <f t="shared" ca="1" si="67"/>
        <v>53818517.357643649</v>
      </c>
      <c r="Y303" s="49">
        <f t="shared" ca="1" si="67"/>
        <v>58849074.840219058</v>
      </c>
      <c r="Z303" s="49">
        <f t="shared" ca="1" si="67"/>
        <v>64145778.804770738</v>
      </c>
      <c r="AA303" s="49">
        <f t="shared" ca="1" si="67"/>
        <v>69720965.216886193</v>
      </c>
    </row>
    <row r="304" spans="1:27" ht="15" customHeight="1" x14ac:dyDescent="0.45">
      <c r="A304" s="37"/>
      <c r="B304" s="4"/>
      <c r="C304" s="4"/>
      <c r="G304" s="52" t="s">
        <v>38</v>
      </c>
      <c r="H304" s="52" t="s">
        <v>38</v>
      </c>
      <c r="I304" s="52" t="s">
        <v>38</v>
      </c>
      <c r="J304" s="52" t="s">
        <v>38</v>
      </c>
      <c r="K304" s="52" t="s">
        <v>38</v>
      </c>
      <c r="L304" s="52" t="s">
        <v>38</v>
      </c>
      <c r="M304" s="52" t="s">
        <v>38</v>
      </c>
      <c r="N304" s="52" t="s">
        <v>38</v>
      </c>
      <c r="O304" s="52" t="s">
        <v>38</v>
      </c>
      <c r="P304" s="52" t="s">
        <v>38</v>
      </c>
      <c r="Q304" s="52" t="s">
        <v>38</v>
      </c>
      <c r="R304" s="52" t="s">
        <v>38</v>
      </c>
      <c r="S304" s="52" t="s">
        <v>38</v>
      </c>
      <c r="T304" s="52" t="s">
        <v>38</v>
      </c>
      <c r="U304" s="52" t="s">
        <v>38</v>
      </c>
      <c r="V304" s="52" t="s">
        <v>38</v>
      </c>
      <c r="W304" s="52" t="s">
        <v>38</v>
      </c>
      <c r="X304" s="52" t="s">
        <v>38</v>
      </c>
      <c r="Y304" s="52" t="s">
        <v>38</v>
      </c>
      <c r="Z304" s="52" t="s">
        <v>38</v>
      </c>
      <c r="AA304" s="52" t="s">
        <v>38</v>
      </c>
    </row>
    <row r="305" spans="1:27" ht="15" customHeight="1" x14ac:dyDescent="0.45">
      <c r="A305" s="37"/>
      <c r="B305" s="4"/>
      <c r="C305" s="4"/>
      <c r="D305" s="2" t="s">
        <v>39</v>
      </c>
      <c r="E305" s="3" t="s">
        <v>806</v>
      </c>
      <c r="F305" s="38"/>
      <c r="G305" s="49">
        <f t="shared" ref="G305:U305" ca="1" si="68">G299+G301+G303</f>
        <v>7628714.5877072001</v>
      </c>
      <c r="H305" s="49">
        <f t="shared" ca="1" si="68"/>
        <v>10230461.003747314</v>
      </c>
      <c r="I305" s="49">
        <f t="shared" ca="1" si="68"/>
        <v>12898702.851081548</v>
      </c>
      <c r="J305" s="49">
        <f t="shared" ca="1" si="68"/>
        <v>15017257.377074923</v>
      </c>
      <c r="K305" s="49">
        <f t="shared" ca="1" si="68"/>
        <v>17266228.618774988</v>
      </c>
      <c r="L305" s="49">
        <f t="shared" ca="1" si="68"/>
        <v>19657924.418358371</v>
      </c>
      <c r="M305" s="49">
        <f t="shared" ca="1" si="68"/>
        <v>22199173.569694947</v>
      </c>
      <c r="N305" s="49">
        <f t="shared" ca="1" si="68"/>
        <v>24897056.836399555</v>
      </c>
      <c r="O305" s="49">
        <f t="shared" ca="1" si="68"/>
        <v>27758969.403160479</v>
      </c>
      <c r="P305" s="49">
        <f t="shared" ca="1" si="68"/>
        <v>30792634.938711993</v>
      </c>
      <c r="Q305" s="49">
        <f t="shared" ca="1" si="68"/>
        <v>34006119.819860995</v>
      </c>
      <c r="R305" s="49">
        <f t="shared" ca="1" si="68"/>
        <v>37407847.960394941</v>
      </c>
      <c r="S305" s="49">
        <f t="shared" ca="1" si="68"/>
        <v>41006616.274390779</v>
      </c>
      <c r="T305" s="49">
        <f t="shared" ca="1" si="68"/>
        <v>44811610.80095847</v>
      </c>
      <c r="U305" s="49">
        <f t="shared" ca="1" si="68"/>
        <v>48832423.518567875</v>
      </c>
      <c r="V305" s="49">
        <f t="shared" ref="V305:AA305" ca="1" si="69">V299+V301+V303</f>
        <v>53079069.878302582</v>
      </c>
      <c r="W305" s="49">
        <f t="shared" ca="1" si="69"/>
        <v>57562007.086630329</v>
      </c>
      <c r="X305" s="49">
        <f t="shared" ca="1" si="69"/>
        <v>62292153.169577703</v>
      </c>
      <c r="Y305" s="49">
        <f t="shared" ca="1" si="69"/>
        <v>67280906.851550996</v>
      </c>
      <c r="Z305" s="49">
        <f t="shared" ca="1" si="69"/>
        <v>72540168.283455744</v>
      </c>
      <c r="AA305" s="49">
        <f t="shared" ca="1" si="69"/>
        <v>78082360.656238541</v>
      </c>
    </row>
    <row r="306" spans="1:27" ht="15" customHeight="1" x14ac:dyDescent="0.45">
      <c r="A306" s="37"/>
      <c r="B306" s="4"/>
      <c r="C306" s="4"/>
      <c r="G306" s="49"/>
      <c r="H306" s="49"/>
      <c r="I306" s="49"/>
      <c r="J306" s="49"/>
      <c r="K306" s="49"/>
      <c r="L306" s="49"/>
      <c r="M306" s="49"/>
      <c r="N306" s="49"/>
      <c r="O306" s="49"/>
      <c r="P306" s="49"/>
      <c r="Q306" s="49"/>
      <c r="R306" s="49"/>
      <c r="S306" s="49"/>
      <c r="T306" s="49"/>
      <c r="U306" s="49"/>
      <c r="V306" s="49"/>
      <c r="W306" s="49"/>
      <c r="X306" s="49"/>
      <c r="Y306" s="49"/>
      <c r="Z306" s="49"/>
      <c r="AA306" s="49"/>
    </row>
    <row r="307" spans="1:27" ht="15" customHeight="1" x14ac:dyDescent="0.45">
      <c r="A307" s="37"/>
      <c r="B307" s="4"/>
      <c r="C307" s="4"/>
      <c r="D307" s="2" t="s">
        <v>40</v>
      </c>
      <c r="E307" s="3" t="s">
        <v>806</v>
      </c>
      <c r="F307" s="38"/>
      <c r="G307" s="49">
        <f ca="1">IF(G380&lt;0,G380,F307+G286-G343)</f>
        <v>-711385.62368784007</v>
      </c>
      <c r="H307" s="49">
        <f t="shared" ref="G307:AA307" ca="1" si="70">IF(H380&lt;0,H380,G307+H286-H343)</f>
        <v>69138.301124193822</v>
      </c>
      <c r="I307" s="49">
        <f t="shared" ca="1" si="70"/>
        <v>821214.04453752877</v>
      </c>
      <c r="J307" s="49">
        <f t="shared" ca="1" si="70"/>
        <v>881930.57115927117</v>
      </c>
      <c r="K307" s="49">
        <f t="shared" ca="1" si="70"/>
        <v>939270.54385780112</v>
      </c>
      <c r="L307" s="49">
        <f t="shared" ca="1" si="70"/>
        <v>999289.90303235466</v>
      </c>
      <c r="M307" s="49">
        <f t="shared" ca="1" si="70"/>
        <v>1062161.7163106799</v>
      </c>
      <c r="N307" s="49">
        <f t="shared" ca="1" si="70"/>
        <v>1128013.4949045866</v>
      </c>
      <c r="O307" s="49">
        <f t="shared" ca="1" si="70"/>
        <v>1196977.8184996531</v>
      </c>
      <c r="P307" s="49">
        <f t="shared" ca="1" si="70"/>
        <v>1269193.0062153493</v>
      </c>
      <c r="Q307" s="49">
        <f t="shared" ca="1" si="70"/>
        <v>1344803.3662093072</v>
      </c>
      <c r="R307" s="49">
        <f t="shared" ca="1" si="70"/>
        <v>1423959.4520229748</v>
      </c>
      <c r="S307" s="49">
        <f t="shared" ca="1" si="70"/>
        <v>1506818.3298056428</v>
      </c>
      <c r="T307" s="49">
        <f t="shared" ca="1" si="70"/>
        <v>1593543.8569120015</v>
      </c>
      <c r="U307" s="49">
        <f t="shared" ca="1" si="70"/>
        <v>1684306.97235642</v>
      </c>
      <c r="V307" s="49">
        <f t="shared" ca="1" si="70"/>
        <v>1779285.9996273397</v>
      </c>
      <c r="W307" s="49">
        <f t="shared" ca="1" si="70"/>
        <v>1878666.9623865252</v>
      </c>
      <c r="X307" s="49">
        <f t="shared" ca="1" si="70"/>
        <v>1982643.9136001696</v>
      </c>
      <c r="Y307" s="49">
        <f t="shared" ca="1" si="70"/>
        <v>2091419.27867204</v>
      </c>
      <c r="Z307" s="49">
        <f t="shared" ca="1" si="70"/>
        <v>2205204.2131730351</v>
      </c>
      <c r="AA307" s="49">
        <f t="shared" ca="1" si="70"/>
        <v>2324218.9757867497</v>
      </c>
    </row>
    <row r="308" spans="1:27" ht="15" customHeight="1" x14ac:dyDescent="0.45">
      <c r="A308" s="37"/>
      <c r="B308" s="4"/>
      <c r="C308" s="4"/>
      <c r="D308" s="2" t="s">
        <v>41</v>
      </c>
      <c r="E308" s="3" t="s">
        <v>806</v>
      </c>
      <c r="F308" s="38"/>
      <c r="G308" s="49">
        <f>'Financing Template'!G149+'Financing Template'!G169</f>
        <v>0</v>
      </c>
      <c r="H308" s="49">
        <f>'Financing Template'!H149+'Financing Template'!H169</f>
        <v>0</v>
      </c>
      <c r="I308" s="49">
        <f>'Financing Template'!I149+'Financing Template'!I169</f>
        <v>0</v>
      </c>
      <c r="J308" s="49">
        <f>'Financing Template'!J149+'Financing Template'!J169</f>
        <v>0</v>
      </c>
      <c r="K308" s="49">
        <f>'Financing Template'!K149+'Financing Template'!K169</f>
        <v>0</v>
      </c>
      <c r="L308" s="49">
        <f>'Financing Template'!L149+'Financing Template'!L169</f>
        <v>0</v>
      </c>
      <c r="M308" s="49">
        <f>'Financing Template'!M149+'Financing Template'!M169</f>
        <v>0</v>
      </c>
      <c r="N308" s="49">
        <f>'Financing Template'!N149+'Financing Template'!N169</f>
        <v>0</v>
      </c>
      <c r="O308" s="49">
        <f>'Financing Template'!O149+'Financing Template'!O169</f>
        <v>0</v>
      </c>
      <c r="P308" s="49">
        <f>'Financing Template'!P149+'Financing Template'!P169</f>
        <v>0</v>
      </c>
      <c r="Q308" s="49">
        <f>'Financing Template'!Q149+'Financing Template'!Q169</f>
        <v>0</v>
      </c>
      <c r="R308" s="49">
        <f>'Financing Template'!R149+'Financing Template'!R169</f>
        <v>0</v>
      </c>
      <c r="S308" s="49">
        <f>'Financing Template'!S149+'Financing Template'!S169</f>
        <v>0</v>
      </c>
      <c r="T308" s="49">
        <f>'Financing Template'!T149+'Financing Template'!T169</f>
        <v>0</v>
      </c>
      <c r="U308" s="49">
        <f>'Financing Template'!U149+'Financing Template'!U169</f>
        <v>0</v>
      </c>
      <c r="V308" s="49">
        <f>'Financing Template'!V149+'Financing Template'!V169</f>
        <v>0</v>
      </c>
      <c r="W308" s="49">
        <f>'Financing Template'!W149+'Financing Template'!W169</f>
        <v>0</v>
      </c>
      <c r="X308" s="49">
        <f>'Financing Template'!X149+'Financing Template'!X169</f>
        <v>0</v>
      </c>
      <c r="Y308" s="49">
        <f>'Financing Template'!Y149+'Financing Template'!Y169</f>
        <v>0</v>
      </c>
      <c r="Z308" s="49">
        <f>'Financing Template'!Z149+'Financing Template'!Z169</f>
        <v>0</v>
      </c>
      <c r="AA308" s="49">
        <f>'Financing Template'!AA149+'Financing Template'!AA169</f>
        <v>0</v>
      </c>
    </row>
    <row r="309" spans="1:27" s="429" customFormat="1" ht="15" customHeight="1" x14ac:dyDescent="0.45">
      <c r="A309" s="427"/>
      <c r="B309" s="428"/>
      <c r="C309" s="428"/>
      <c r="D309" s="429" t="s">
        <v>42</v>
      </c>
      <c r="E309" s="430" t="s">
        <v>806</v>
      </c>
      <c r="F309" s="431"/>
      <c r="G309" s="432">
        <f t="shared" ref="G309:AA309" si="71">F309+G281</f>
        <v>0</v>
      </c>
      <c r="H309" s="432">
        <f t="shared" si="71"/>
        <v>0</v>
      </c>
      <c r="I309" s="432">
        <f t="shared" si="71"/>
        <v>0</v>
      </c>
      <c r="J309" s="432">
        <f t="shared" si="71"/>
        <v>0</v>
      </c>
      <c r="K309" s="432">
        <f t="shared" si="71"/>
        <v>0</v>
      </c>
      <c r="L309" s="432">
        <f t="shared" si="71"/>
        <v>0</v>
      </c>
      <c r="M309" s="432">
        <f t="shared" si="71"/>
        <v>0</v>
      </c>
      <c r="N309" s="432">
        <f t="shared" si="71"/>
        <v>0</v>
      </c>
      <c r="O309" s="432">
        <f t="shared" si="71"/>
        <v>0</v>
      </c>
      <c r="P309" s="432">
        <f t="shared" si="71"/>
        <v>0</v>
      </c>
      <c r="Q309" s="432">
        <f t="shared" si="71"/>
        <v>0</v>
      </c>
      <c r="R309" s="432">
        <f t="shared" si="71"/>
        <v>0</v>
      </c>
      <c r="S309" s="432">
        <f t="shared" si="71"/>
        <v>0</v>
      </c>
      <c r="T309" s="432">
        <f t="shared" si="71"/>
        <v>0</v>
      </c>
      <c r="U309" s="432">
        <f t="shared" si="71"/>
        <v>0</v>
      </c>
      <c r="V309" s="432">
        <f t="shared" si="71"/>
        <v>0</v>
      </c>
      <c r="W309" s="432">
        <f t="shared" si="71"/>
        <v>0</v>
      </c>
      <c r="X309" s="432">
        <f t="shared" si="71"/>
        <v>0</v>
      </c>
      <c r="Y309" s="432">
        <f t="shared" si="71"/>
        <v>0</v>
      </c>
      <c r="Z309" s="432">
        <f t="shared" si="71"/>
        <v>0</v>
      </c>
      <c r="AA309" s="432">
        <f t="shared" si="71"/>
        <v>0</v>
      </c>
    </row>
    <row r="310" spans="1:27" ht="15" customHeight="1" x14ac:dyDescent="0.45">
      <c r="A310" s="37"/>
      <c r="B310" s="4"/>
      <c r="C310" s="4"/>
      <c r="E310" s="3"/>
      <c r="F310" s="38"/>
      <c r="G310" s="49"/>
      <c r="H310" s="49"/>
      <c r="I310" s="49"/>
      <c r="J310" s="49"/>
      <c r="K310" s="49"/>
      <c r="L310" s="49"/>
      <c r="M310" s="49"/>
      <c r="N310" s="49"/>
      <c r="O310" s="49"/>
      <c r="P310" s="49"/>
      <c r="Q310" s="49"/>
      <c r="R310" s="49"/>
      <c r="S310" s="49"/>
      <c r="T310" s="49"/>
      <c r="U310" s="49"/>
      <c r="V310" s="49"/>
      <c r="W310" s="49"/>
      <c r="X310" s="49"/>
      <c r="Y310" s="49"/>
      <c r="Z310" s="49"/>
      <c r="AA310" s="49"/>
    </row>
    <row r="311" spans="1:27" ht="15" customHeight="1" x14ac:dyDescent="0.45">
      <c r="A311" s="37"/>
      <c r="B311" s="4"/>
      <c r="D311" s="2" t="s">
        <v>168</v>
      </c>
      <c r="E311" s="136"/>
      <c r="F311" s="38"/>
      <c r="G311" s="49"/>
      <c r="H311" s="49"/>
      <c r="I311" s="49"/>
      <c r="J311" s="49"/>
      <c r="K311" s="49"/>
      <c r="L311" s="49"/>
      <c r="M311" s="49"/>
      <c r="N311" s="49"/>
      <c r="O311" s="49"/>
      <c r="P311" s="49"/>
      <c r="Q311" s="49"/>
      <c r="R311" s="49"/>
      <c r="S311" s="49"/>
      <c r="T311" s="49"/>
      <c r="U311" s="49"/>
      <c r="V311" s="49"/>
      <c r="W311" s="49"/>
      <c r="X311" s="49"/>
      <c r="Y311" s="49"/>
      <c r="Z311" s="49"/>
      <c r="AA311" s="49"/>
    </row>
    <row r="312" spans="1:27" ht="15" customHeight="1" x14ac:dyDescent="0.45">
      <c r="A312" s="37"/>
      <c r="B312" s="4"/>
      <c r="D312" s="2" t="s">
        <v>188</v>
      </c>
      <c r="E312" s="136" t="s">
        <v>806</v>
      </c>
      <c r="F312" s="38"/>
      <c r="G312" s="19">
        <f>'Financing Template'!G189</f>
        <v>0</v>
      </c>
      <c r="H312" s="19">
        <f>'Financing Template'!H189</f>
        <v>0</v>
      </c>
      <c r="I312" s="19">
        <f>'Financing Template'!I189</f>
        <v>0</v>
      </c>
      <c r="J312" s="19">
        <f>'Financing Template'!J189</f>
        <v>0</v>
      </c>
      <c r="K312" s="19">
        <f>'Financing Template'!K189</f>
        <v>0</v>
      </c>
      <c r="L312" s="19">
        <f>'Financing Template'!L189</f>
        <v>0</v>
      </c>
      <c r="M312" s="19">
        <f>'Financing Template'!M189</f>
        <v>0</v>
      </c>
      <c r="N312" s="19">
        <f>'Financing Template'!N189</f>
        <v>0</v>
      </c>
      <c r="O312" s="19">
        <f>'Financing Template'!O189</f>
        <v>0</v>
      </c>
      <c r="P312" s="19">
        <f>'Financing Template'!P189</f>
        <v>0</v>
      </c>
      <c r="Q312" s="19">
        <f>'Financing Template'!Q189</f>
        <v>0</v>
      </c>
      <c r="R312" s="19">
        <f>'Financing Template'!R189</f>
        <v>0</v>
      </c>
      <c r="S312" s="19">
        <f>'Financing Template'!S189</f>
        <v>0</v>
      </c>
      <c r="T312" s="19">
        <f>'Financing Template'!T189</f>
        <v>0</v>
      </c>
      <c r="U312" s="19">
        <f>'Financing Template'!U189</f>
        <v>0</v>
      </c>
      <c r="V312" s="19">
        <f>'Financing Template'!V189</f>
        <v>0</v>
      </c>
      <c r="W312" s="19">
        <f>'Financing Template'!W189</f>
        <v>0</v>
      </c>
      <c r="X312" s="19">
        <f>'Financing Template'!X189</f>
        <v>0</v>
      </c>
      <c r="Y312" s="19">
        <f>'Financing Template'!Y189</f>
        <v>0</v>
      </c>
      <c r="Z312" s="19">
        <f>'Financing Template'!Z189</f>
        <v>0</v>
      </c>
      <c r="AA312" s="19">
        <f>'Financing Template'!AA189</f>
        <v>0</v>
      </c>
    </row>
    <row r="313" spans="1:27" ht="15" customHeight="1" x14ac:dyDescent="0.45">
      <c r="A313" s="37"/>
      <c r="B313" s="4"/>
      <c r="D313" s="2" t="s">
        <v>189</v>
      </c>
      <c r="E313" s="136" t="s">
        <v>806</v>
      </c>
      <c r="F313" s="38"/>
      <c r="G313" s="19">
        <f>'Financing Template'!G270</f>
        <v>0</v>
      </c>
      <c r="H313" s="19">
        <f>'Financing Template'!H270</f>
        <v>0</v>
      </c>
      <c r="I313" s="19">
        <f>'Financing Template'!I270</f>
        <v>0</v>
      </c>
      <c r="J313" s="19">
        <f>'Financing Template'!J270</f>
        <v>0</v>
      </c>
      <c r="K313" s="19">
        <f>'Financing Template'!K270</f>
        <v>0</v>
      </c>
      <c r="L313" s="19">
        <f>'Financing Template'!L270</f>
        <v>0</v>
      </c>
      <c r="M313" s="19">
        <f>'Financing Template'!M270</f>
        <v>0</v>
      </c>
      <c r="N313" s="19">
        <f>'Financing Template'!N270</f>
        <v>0</v>
      </c>
      <c r="O313" s="19">
        <f>'Financing Template'!O270</f>
        <v>0</v>
      </c>
      <c r="P313" s="19">
        <f>'Financing Template'!P270</f>
        <v>0</v>
      </c>
      <c r="Q313" s="19">
        <f>'Financing Template'!Q270</f>
        <v>0</v>
      </c>
      <c r="R313" s="19">
        <f>'Financing Template'!R270</f>
        <v>0</v>
      </c>
      <c r="S313" s="19">
        <f>'Financing Template'!S270</f>
        <v>0</v>
      </c>
      <c r="T313" s="19">
        <f>'Financing Template'!T270</f>
        <v>0</v>
      </c>
      <c r="U313" s="19">
        <f>'Financing Template'!U270</f>
        <v>0</v>
      </c>
      <c r="V313" s="19">
        <f>'Financing Template'!V270</f>
        <v>0</v>
      </c>
      <c r="W313" s="19">
        <f>'Financing Template'!W270</f>
        <v>0</v>
      </c>
      <c r="X313" s="19">
        <f>'Financing Template'!X270</f>
        <v>0</v>
      </c>
      <c r="Y313" s="19">
        <f>'Financing Template'!Y270</f>
        <v>0</v>
      </c>
      <c r="Z313" s="19">
        <f>'Financing Template'!Z270</f>
        <v>0</v>
      </c>
      <c r="AA313" s="19">
        <f>'Financing Template'!AA270</f>
        <v>0</v>
      </c>
    </row>
    <row r="314" spans="1:27" ht="15" customHeight="1" x14ac:dyDescent="0.45">
      <c r="A314" s="37"/>
      <c r="B314" s="4"/>
      <c r="D314" s="2" t="s">
        <v>169</v>
      </c>
      <c r="E314" s="136" t="s">
        <v>806</v>
      </c>
      <c r="F314" s="38"/>
      <c r="G314" s="19">
        <f>'Financing Template'!G207</f>
        <v>0</v>
      </c>
      <c r="H314" s="19">
        <f>'Financing Template'!H207</f>
        <v>0</v>
      </c>
      <c r="I314" s="19">
        <f>'Financing Template'!I207</f>
        <v>0</v>
      </c>
      <c r="J314" s="19">
        <f>'Financing Template'!J207</f>
        <v>0</v>
      </c>
      <c r="K314" s="19">
        <f>'Financing Template'!K207</f>
        <v>0</v>
      </c>
      <c r="L314" s="19">
        <f>'Financing Template'!L207</f>
        <v>0</v>
      </c>
      <c r="M314" s="19">
        <f>'Financing Template'!M207</f>
        <v>0</v>
      </c>
      <c r="N314" s="19">
        <f>'Financing Template'!N207</f>
        <v>0</v>
      </c>
      <c r="O314" s="19">
        <f>'Financing Template'!O207</f>
        <v>0</v>
      </c>
      <c r="P314" s="19">
        <f>'Financing Template'!P207</f>
        <v>0</v>
      </c>
      <c r="Q314" s="19">
        <f>'Financing Template'!Q207</f>
        <v>0</v>
      </c>
      <c r="R314" s="19">
        <f>'Financing Template'!R207</f>
        <v>0</v>
      </c>
      <c r="S314" s="19">
        <f>'Financing Template'!S207</f>
        <v>0</v>
      </c>
      <c r="T314" s="19">
        <f>'Financing Template'!T207</f>
        <v>0</v>
      </c>
      <c r="U314" s="19">
        <f>'Financing Template'!U207</f>
        <v>0</v>
      </c>
      <c r="V314" s="19">
        <f>'Financing Template'!V207</f>
        <v>0</v>
      </c>
      <c r="W314" s="19">
        <f>'Financing Template'!W207</f>
        <v>0</v>
      </c>
      <c r="X314" s="19">
        <f>'Financing Template'!X207</f>
        <v>0</v>
      </c>
      <c r="Y314" s="19">
        <f>'Financing Template'!Y207</f>
        <v>0</v>
      </c>
      <c r="Z314" s="19">
        <f>'Financing Template'!Z207</f>
        <v>0</v>
      </c>
      <c r="AA314" s="19">
        <f>'Financing Template'!AA207</f>
        <v>0</v>
      </c>
    </row>
    <row r="315" spans="1:27" ht="15" customHeight="1" x14ac:dyDescent="0.45">
      <c r="A315" s="37"/>
      <c r="B315" s="4"/>
      <c r="D315" s="2" t="s">
        <v>170</v>
      </c>
      <c r="E315" s="136" t="s">
        <v>806</v>
      </c>
      <c r="F315" s="38"/>
      <c r="G315" s="19">
        <f>'Financing Template'!G225+'Financing Template'!G243</f>
        <v>0</v>
      </c>
      <c r="H315" s="19">
        <f>'Financing Template'!H225+'Financing Template'!H243</f>
        <v>0</v>
      </c>
      <c r="I315" s="19">
        <f>'Financing Template'!I225+'Financing Template'!I243</f>
        <v>0</v>
      </c>
      <c r="J315" s="19">
        <f>'Financing Template'!J225+'Financing Template'!J243</f>
        <v>0</v>
      </c>
      <c r="K315" s="19">
        <f>'Financing Template'!K225+'Financing Template'!K243</f>
        <v>0</v>
      </c>
      <c r="L315" s="19">
        <f>'Financing Template'!L225+'Financing Template'!L243</f>
        <v>0</v>
      </c>
      <c r="M315" s="19">
        <f>'Financing Template'!M225+'Financing Template'!M243</f>
        <v>0</v>
      </c>
      <c r="N315" s="19">
        <f>'Financing Template'!N225+'Financing Template'!N243</f>
        <v>0</v>
      </c>
      <c r="O315" s="19">
        <f>'Financing Template'!O225+'Financing Template'!O243</f>
        <v>0</v>
      </c>
      <c r="P315" s="19">
        <f>'Financing Template'!P225+'Financing Template'!P243</f>
        <v>0</v>
      </c>
      <c r="Q315" s="19">
        <f>'Financing Template'!Q225+'Financing Template'!Q243</f>
        <v>0</v>
      </c>
      <c r="R315" s="19">
        <f>'Financing Template'!R225+'Financing Template'!R243</f>
        <v>0</v>
      </c>
      <c r="S315" s="19">
        <f>'Financing Template'!S225+'Financing Template'!S243</f>
        <v>0</v>
      </c>
      <c r="T315" s="19">
        <f>'Financing Template'!T225+'Financing Template'!T243</f>
        <v>0</v>
      </c>
      <c r="U315" s="19">
        <f>'Financing Template'!U225+'Financing Template'!U243</f>
        <v>0</v>
      </c>
      <c r="V315" s="19">
        <f>'Financing Template'!V225+'Financing Template'!V243</f>
        <v>0</v>
      </c>
      <c r="W315" s="19">
        <f>'Financing Template'!W225+'Financing Template'!W243</f>
        <v>0</v>
      </c>
      <c r="X315" s="19">
        <f>'Financing Template'!X225+'Financing Template'!X243</f>
        <v>0</v>
      </c>
      <c r="Y315" s="19">
        <f>'Financing Template'!Y225+'Financing Template'!Y243</f>
        <v>0</v>
      </c>
      <c r="Z315" s="19">
        <f>'Financing Template'!Z225+'Financing Template'!Z243</f>
        <v>0</v>
      </c>
      <c r="AA315" s="19">
        <f>'Financing Template'!AA225+'Financing Template'!AA243</f>
        <v>0</v>
      </c>
    </row>
    <row r="316" spans="1:27" ht="15" customHeight="1" x14ac:dyDescent="0.45">
      <c r="A316" s="37"/>
      <c r="B316" s="4"/>
      <c r="E316" s="136"/>
      <c r="F316" s="38"/>
      <c r="G316" s="52" t="s">
        <v>171</v>
      </c>
      <c r="H316" s="52" t="s">
        <v>171</v>
      </c>
      <c r="I316" s="52" t="s">
        <v>171</v>
      </c>
      <c r="J316" s="52" t="s">
        <v>171</v>
      </c>
      <c r="K316" s="52" t="s">
        <v>171</v>
      </c>
      <c r="L316" s="52" t="s">
        <v>171</v>
      </c>
      <c r="M316" s="52" t="s">
        <v>171</v>
      </c>
      <c r="N316" s="52" t="s">
        <v>171</v>
      </c>
      <c r="O316" s="52" t="s">
        <v>171</v>
      </c>
      <c r="P316" s="52" t="s">
        <v>171</v>
      </c>
      <c r="Q316" s="52" t="s">
        <v>171</v>
      </c>
      <c r="R316" s="52" t="s">
        <v>171</v>
      </c>
      <c r="S316" s="52" t="s">
        <v>171</v>
      </c>
      <c r="T316" s="52" t="s">
        <v>171</v>
      </c>
      <c r="U316" s="52" t="s">
        <v>171</v>
      </c>
      <c r="V316" s="52" t="s">
        <v>171</v>
      </c>
      <c r="W316" s="52" t="s">
        <v>171</v>
      </c>
      <c r="X316" s="52" t="s">
        <v>171</v>
      </c>
      <c r="Y316" s="52" t="s">
        <v>171</v>
      </c>
      <c r="Z316" s="52" t="s">
        <v>171</v>
      </c>
      <c r="AA316" s="52" t="s">
        <v>171</v>
      </c>
    </row>
    <row r="317" spans="1:27" ht="15" customHeight="1" x14ac:dyDescent="0.45">
      <c r="A317" s="434"/>
      <c r="B317" s="1"/>
      <c r="C317"/>
      <c r="D317" s="2" t="s">
        <v>284</v>
      </c>
      <c r="E317" s="136" t="s">
        <v>806</v>
      </c>
      <c r="F317" s="36"/>
      <c r="G317" s="19">
        <f>SUM(G311:G316)</f>
        <v>0</v>
      </c>
      <c r="H317" s="19">
        <f t="shared" ref="H317:AA317" si="72">SUM(H311:H316)</f>
        <v>0</v>
      </c>
      <c r="I317" s="19">
        <f t="shared" si="72"/>
        <v>0</v>
      </c>
      <c r="J317" s="19">
        <f t="shared" si="72"/>
        <v>0</v>
      </c>
      <c r="K317" s="19">
        <f t="shared" si="72"/>
        <v>0</v>
      </c>
      <c r="L317" s="19">
        <f t="shared" si="72"/>
        <v>0</v>
      </c>
      <c r="M317" s="19">
        <f t="shared" si="72"/>
        <v>0</v>
      </c>
      <c r="N317" s="19">
        <f t="shared" si="72"/>
        <v>0</v>
      </c>
      <c r="O317" s="19">
        <f t="shared" si="72"/>
        <v>0</v>
      </c>
      <c r="P317" s="19">
        <f t="shared" si="72"/>
        <v>0</v>
      </c>
      <c r="Q317" s="19">
        <f t="shared" si="72"/>
        <v>0</v>
      </c>
      <c r="R317" s="19">
        <f t="shared" si="72"/>
        <v>0</v>
      </c>
      <c r="S317" s="19">
        <f t="shared" si="72"/>
        <v>0</v>
      </c>
      <c r="T317" s="19">
        <f t="shared" si="72"/>
        <v>0</v>
      </c>
      <c r="U317" s="19">
        <f t="shared" si="72"/>
        <v>0</v>
      </c>
      <c r="V317" s="19">
        <f t="shared" si="72"/>
        <v>0</v>
      </c>
      <c r="W317" s="19">
        <f t="shared" si="72"/>
        <v>0</v>
      </c>
      <c r="X317" s="19">
        <f t="shared" si="72"/>
        <v>0</v>
      </c>
      <c r="Y317" s="19">
        <f t="shared" si="72"/>
        <v>0</v>
      </c>
      <c r="Z317" s="19">
        <f t="shared" si="72"/>
        <v>0</v>
      </c>
      <c r="AA317" s="19">
        <f t="shared" si="72"/>
        <v>0</v>
      </c>
    </row>
    <row r="318" spans="1:27" ht="15" customHeight="1" x14ac:dyDescent="0.45">
      <c r="A318" s="37"/>
      <c r="B318" s="4"/>
      <c r="C318" s="4"/>
    </row>
    <row r="319" spans="1:27" ht="15" customHeight="1" x14ac:dyDescent="0.45">
      <c r="A319" s="37"/>
      <c r="B319" s="4"/>
      <c r="C319" s="4"/>
      <c r="D319" s="2" t="s">
        <v>145</v>
      </c>
    </row>
    <row r="320" spans="1:27" ht="15" customHeight="1" x14ac:dyDescent="0.45">
      <c r="A320" s="37"/>
      <c r="B320" s="4"/>
      <c r="C320" s="4"/>
      <c r="D320" s="2" t="s">
        <v>43</v>
      </c>
      <c r="E320" s="3" t="s">
        <v>806</v>
      </c>
      <c r="F320" s="36"/>
      <c r="G320" s="49">
        <f t="shared" ref="G320:U320" si="73">F320+G361</f>
        <v>10000000</v>
      </c>
      <c r="H320" s="49">
        <f t="shared" si="73"/>
        <v>10000000</v>
      </c>
      <c r="I320" s="49">
        <f t="shared" si="73"/>
        <v>10000000</v>
      </c>
      <c r="J320" s="49">
        <f t="shared" si="73"/>
        <v>10000000</v>
      </c>
      <c r="K320" s="49">
        <f t="shared" si="73"/>
        <v>10000000</v>
      </c>
      <c r="L320" s="49">
        <f t="shared" si="73"/>
        <v>10000000</v>
      </c>
      <c r="M320" s="49">
        <f t="shared" si="73"/>
        <v>10000000</v>
      </c>
      <c r="N320" s="49">
        <f t="shared" si="73"/>
        <v>10000000</v>
      </c>
      <c r="O320" s="49">
        <f t="shared" si="73"/>
        <v>10000000</v>
      </c>
      <c r="P320" s="49">
        <f t="shared" si="73"/>
        <v>10000000</v>
      </c>
      <c r="Q320" s="49">
        <f t="shared" si="73"/>
        <v>10000000</v>
      </c>
      <c r="R320" s="49">
        <f t="shared" si="73"/>
        <v>10000000</v>
      </c>
      <c r="S320" s="49">
        <f t="shared" si="73"/>
        <v>10000000</v>
      </c>
      <c r="T320" s="49">
        <f t="shared" si="73"/>
        <v>10000000</v>
      </c>
      <c r="U320" s="49">
        <f t="shared" si="73"/>
        <v>10000000</v>
      </c>
      <c r="V320" s="49">
        <f t="shared" ref="V320:AA320" si="74">U320+V361</f>
        <v>10000000</v>
      </c>
      <c r="W320" s="49">
        <f t="shared" si="74"/>
        <v>10000000</v>
      </c>
      <c r="X320" s="49">
        <f t="shared" si="74"/>
        <v>10000000</v>
      </c>
      <c r="Y320" s="49">
        <f t="shared" si="74"/>
        <v>10000000</v>
      </c>
      <c r="Z320" s="49">
        <f t="shared" si="74"/>
        <v>10000000</v>
      </c>
      <c r="AA320" s="49">
        <f t="shared" si="74"/>
        <v>10000000</v>
      </c>
    </row>
    <row r="321" spans="1:27" ht="15" customHeight="1" x14ac:dyDescent="0.45">
      <c r="A321" s="37"/>
      <c r="B321" s="4"/>
      <c r="C321" s="4"/>
      <c r="D321" s="2" t="s">
        <v>44</v>
      </c>
      <c r="E321" s="3" t="s">
        <v>806</v>
      </c>
      <c r="F321" s="38"/>
      <c r="G321" s="49">
        <f ca="1">F321+G292</f>
        <v>-1659899.7886049603</v>
      </c>
      <c r="H321" s="49">
        <f t="shared" ref="H321:AA321" ca="1" si="75">G321+H292</f>
        <v>161322.70262311911</v>
      </c>
      <c r="I321" s="49">
        <f t="shared" ca="1" si="75"/>
        <v>2077488.8065440194</v>
      </c>
      <c r="J321" s="49">
        <f t="shared" ca="1" si="75"/>
        <v>4135326.8059156518</v>
      </c>
      <c r="K321" s="49">
        <f t="shared" ca="1" si="75"/>
        <v>6326958.0749171879</v>
      </c>
      <c r="L321" s="49">
        <f t="shared" ca="1" si="75"/>
        <v>8658634.5153260157</v>
      </c>
      <c r="M321" s="49">
        <f t="shared" ca="1" si="75"/>
        <v>11137011.853384268</v>
      </c>
      <c r="N321" s="49">
        <f t="shared" ca="1" si="75"/>
        <v>13769043.34149497</v>
      </c>
      <c r="O321" s="49">
        <f t="shared" ca="1" si="75"/>
        <v>16561991.584660828</v>
      </c>
      <c r="P321" s="49">
        <f t="shared" ca="1" si="75"/>
        <v>19523441.932496645</v>
      </c>
      <c r="Q321" s="49">
        <f t="shared" ca="1" si="75"/>
        <v>22661316.453651696</v>
      </c>
      <c r="R321" s="49">
        <f t="shared" ca="1" si="75"/>
        <v>25983888.508371972</v>
      </c>
      <c r="S321" s="49">
        <f t="shared" ca="1" si="75"/>
        <v>29499797.944585137</v>
      </c>
      <c r="T321" s="49">
        <f t="shared" ca="1" si="75"/>
        <v>33218066.944046475</v>
      </c>
      <c r="U321" s="49">
        <f t="shared" ca="1" si="75"/>
        <v>37148116.546211451</v>
      </c>
      <c r="V321" s="49">
        <f t="shared" ca="1" si="75"/>
        <v>41299783.878675245</v>
      </c>
      <c r="W321" s="49">
        <f t="shared" ca="1" si="75"/>
        <v>45683340.124243803</v>
      </c>
      <c r="X321" s="49">
        <f t="shared" ca="1" si="75"/>
        <v>50309509.255977534</v>
      </c>
      <c r="Y321" s="49">
        <f t="shared" ca="1" si="75"/>
        <v>55189487.572878957</v>
      </c>
      <c r="Z321" s="49">
        <f t="shared" ca="1" si="75"/>
        <v>60334964.070282705</v>
      </c>
      <c r="AA321" s="49">
        <f t="shared" ca="1" si="75"/>
        <v>65758141.680451788</v>
      </c>
    </row>
    <row r="322" spans="1:27" ht="15" customHeight="1" x14ac:dyDescent="0.45">
      <c r="A322" s="37"/>
      <c r="B322" s="4"/>
      <c r="C322" s="4"/>
      <c r="G322" s="49"/>
      <c r="H322" s="49"/>
      <c r="I322" s="49"/>
      <c r="J322" s="49"/>
      <c r="K322" s="49"/>
      <c r="L322" s="49"/>
      <c r="M322" s="49"/>
      <c r="N322" s="49"/>
      <c r="O322" s="49"/>
      <c r="P322" s="49"/>
      <c r="Q322" s="49"/>
      <c r="R322" s="49"/>
      <c r="S322" s="49"/>
      <c r="T322" s="49"/>
      <c r="U322" s="49"/>
      <c r="V322" s="49"/>
      <c r="W322" s="49"/>
      <c r="X322" s="49"/>
      <c r="Y322" s="49"/>
      <c r="Z322" s="49"/>
      <c r="AA322" s="49"/>
    </row>
    <row r="323" spans="1:27" ht="15" customHeight="1" x14ac:dyDescent="0.45">
      <c r="A323" s="37"/>
      <c r="B323" s="4"/>
      <c r="C323" s="4"/>
      <c r="D323" s="2" t="s">
        <v>144</v>
      </c>
      <c r="E323" s="3" t="s">
        <v>806</v>
      </c>
      <c r="F323" s="38"/>
      <c r="G323" s="49">
        <f t="shared" ref="G323:U323" ca="1" si="76">SUM(G320:G321)</f>
        <v>8340100.2113950402</v>
      </c>
      <c r="H323" s="49">
        <f t="shared" ca="1" si="76"/>
        <v>10161322.70262312</v>
      </c>
      <c r="I323" s="49">
        <f t="shared" ca="1" si="76"/>
        <v>12077488.806544019</v>
      </c>
      <c r="J323" s="49">
        <f t="shared" ca="1" si="76"/>
        <v>14135326.805915652</v>
      </c>
      <c r="K323" s="49">
        <f t="shared" ca="1" si="76"/>
        <v>16326958.074917188</v>
      </c>
      <c r="L323" s="49">
        <f t="shared" ca="1" si="76"/>
        <v>18658634.515326016</v>
      </c>
      <c r="M323" s="49">
        <f t="shared" ca="1" si="76"/>
        <v>21137011.853384268</v>
      </c>
      <c r="N323" s="49">
        <f t="shared" ca="1" si="76"/>
        <v>23769043.34149497</v>
      </c>
      <c r="O323" s="49">
        <f t="shared" ca="1" si="76"/>
        <v>26561991.584660828</v>
      </c>
      <c r="P323" s="49">
        <f t="shared" ca="1" si="76"/>
        <v>29523441.932496645</v>
      </c>
      <c r="Q323" s="49">
        <f t="shared" ca="1" si="76"/>
        <v>32661316.453651696</v>
      </c>
      <c r="R323" s="49">
        <f t="shared" ca="1" si="76"/>
        <v>35983888.508371972</v>
      </c>
      <c r="S323" s="49">
        <f t="shared" ca="1" si="76"/>
        <v>39499797.944585137</v>
      </c>
      <c r="T323" s="49">
        <f t="shared" ca="1" si="76"/>
        <v>43218066.944046475</v>
      </c>
      <c r="U323" s="49">
        <f t="shared" ca="1" si="76"/>
        <v>47148116.546211451</v>
      </c>
      <c r="V323" s="49">
        <f t="shared" ref="V323:AA323" ca="1" si="77">SUM(V320:V321)</f>
        <v>51299783.878675245</v>
      </c>
      <c r="W323" s="49">
        <f t="shared" ca="1" si="77"/>
        <v>55683340.124243803</v>
      </c>
      <c r="X323" s="49">
        <f t="shared" ca="1" si="77"/>
        <v>60309509.255977534</v>
      </c>
      <c r="Y323" s="49">
        <f t="shared" ca="1" si="77"/>
        <v>65189487.572878957</v>
      </c>
      <c r="Z323" s="49">
        <f t="shared" ca="1" si="77"/>
        <v>70334964.070282698</v>
      </c>
      <c r="AA323" s="49">
        <f t="shared" ca="1" si="77"/>
        <v>75758141.680451781</v>
      </c>
    </row>
    <row r="324" spans="1:27" ht="15" customHeight="1" x14ac:dyDescent="0.45">
      <c r="A324" s="37"/>
      <c r="B324" s="4"/>
      <c r="C324" s="4"/>
      <c r="G324" s="49"/>
      <c r="H324" s="49"/>
      <c r="I324" s="49"/>
      <c r="J324" s="49"/>
      <c r="K324" s="49"/>
      <c r="L324" s="49"/>
      <c r="M324" s="49"/>
      <c r="N324" s="49"/>
      <c r="O324" s="49"/>
      <c r="P324" s="49"/>
      <c r="Q324" s="49"/>
      <c r="R324" s="49"/>
      <c r="S324" s="49"/>
      <c r="T324" s="49"/>
      <c r="U324" s="49"/>
      <c r="V324" s="49"/>
      <c r="W324" s="49"/>
      <c r="X324" s="49"/>
      <c r="Y324" s="49"/>
      <c r="Z324" s="49"/>
      <c r="AA324" s="49"/>
    </row>
    <row r="325" spans="1:27" ht="15" customHeight="1" x14ac:dyDescent="0.45">
      <c r="A325" s="37"/>
      <c r="B325" s="4"/>
      <c r="C325" s="4"/>
      <c r="D325" s="2" t="s">
        <v>45</v>
      </c>
      <c r="E325" s="3" t="s">
        <v>806</v>
      </c>
      <c r="G325" s="49">
        <f ca="1">G323+SUM(G307:G309)+G317</f>
        <v>7628714.5877072001</v>
      </c>
      <c r="H325" s="49">
        <f t="shared" ref="H325:U325" ca="1" si="78">H323+SUM(H307:H309)+H317</f>
        <v>10230461.003747314</v>
      </c>
      <c r="I325" s="49">
        <f t="shared" ca="1" si="78"/>
        <v>12898702.851081548</v>
      </c>
      <c r="J325" s="49">
        <f t="shared" ca="1" si="78"/>
        <v>15017257.377074923</v>
      </c>
      <c r="K325" s="49">
        <f t="shared" ca="1" si="78"/>
        <v>17266228.618774988</v>
      </c>
      <c r="L325" s="49">
        <f t="shared" ca="1" si="78"/>
        <v>19657924.418358371</v>
      </c>
      <c r="M325" s="49">
        <f t="shared" ca="1" si="78"/>
        <v>22199173.569694947</v>
      </c>
      <c r="N325" s="49">
        <f t="shared" ca="1" si="78"/>
        <v>24897056.836399555</v>
      </c>
      <c r="O325" s="49">
        <f t="shared" ca="1" si="78"/>
        <v>27758969.403160483</v>
      </c>
      <c r="P325" s="49">
        <f t="shared" ca="1" si="78"/>
        <v>30792634.938711993</v>
      </c>
      <c r="Q325" s="49">
        <f t="shared" ca="1" si="78"/>
        <v>34006119.819861002</v>
      </c>
      <c r="R325" s="49">
        <f t="shared" ca="1" si="78"/>
        <v>37407847.960394949</v>
      </c>
      <c r="S325" s="49">
        <f t="shared" ca="1" si="78"/>
        <v>41006616.274390779</v>
      </c>
      <c r="T325" s="49">
        <f t="shared" ca="1" si="78"/>
        <v>44811610.800958477</v>
      </c>
      <c r="U325" s="49">
        <f t="shared" ca="1" si="78"/>
        <v>48832423.518567875</v>
      </c>
      <c r="V325" s="49">
        <f t="shared" ref="V325:AA325" ca="1" si="79">V323+SUM(V307:V309)+V317</f>
        <v>53079069.878302582</v>
      </c>
      <c r="W325" s="49">
        <f t="shared" ca="1" si="79"/>
        <v>57562007.086630329</v>
      </c>
      <c r="X325" s="49">
        <f t="shared" ca="1" si="79"/>
        <v>62292153.169577703</v>
      </c>
      <c r="Y325" s="49">
        <f t="shared" ca="1" si="79"/>
        <v>67280906.851550996</v>
      </c>
      <c r="Z325" s="49">
        <f t="shared" ca="1" si="79"/>
        <v>72540168.283455729</v>
      </c>
      <c r="AA325" s="49">
        <f t="shared" ca="1" si="79"/>
        <v>78082360.656238526</v>
      </c>
    </row>
    <row r="326" spans="1:27" ht="15" customHeight="1" x14ac:dyDescent="0.45">
      <c r="A326" s="37"/>
      <c r="B326" s="4"/>
      <c r="C326" s="4"/>
      <c r="E326" s="3"/>
      <c r="G326" s="49"/>
      <c r="H326" s="49"/>
      <c r="I326" s="49"/>
      <c r="J326" s="49"/>
      <c r="K326" s="49"/>
      <c r="L326" s="49"/>
      <c r="M326" s="49"/>
      <c r="N326" s="49"/>
      <c r="O326" s="49"/>
      <c r="P326" s="49"/>
      <c r="Q326" s="49"/>
      <c r="R326" s="49"/>
      <c r="S326" s="49"/>
      <c r="T326" s="49"/>
      <c r="U326" s="49"/>
      <c r="V326" s="49"/>
      <c r="W326" s="49"/>
      <c r="X326" s="49"/>
      <c r="Y326" s="49"/>
      <c r="Z326" s="49"/>
      <c r="AA326" s="49"/>
    </row>
    <row r="327" spans="1:27" ht="15" customHeight="1" x14ac:dyDescent="0.45">
      <c r="A327" s="37"/>
      <c r="B327" s="4"/>
      <c r="C327" s="4"/>
      <c r="D327" s="2" t="s">
        <v>46</v>
      </c>
      <c r="E327" s="3" t="s">
        <v>806</v>
      </c>
      <c r="G327" s="49">
        <f ca="1">G317-(IF(G303&lt;0,G303,0))</f>
        <v>0</v>
      </c>
      <c r="H327" s="49">
        <f t="shared" ref="H327:U327" ca="1" si="80">H317-(IF(H303&lt;0,H303,0))</f>
        <v>0</v>
      </c>
      <c r="I327" s="49">
        <f t="shared" ca="1" si="80"/>
        <v>0</v>
      </c>
      <c r="J327" s="49">
        <f t="shared" ca="1" si="80"/>
        <v>0</v>
      </c>
      <c r="K327" s="49">
        <f t="shared" ca="1" si="80"/>
        <v>0</v>
      </c>
      <c r="L327" s="49">
        <f t="shared" ca="1" si="80"/>
        <v>0</v>
      </c>
      <c r="M327" s="49">
        <f t="shared" ca="1" si="80"/>
        <v>0</v>
      </c>
      <c r="N327" s="49">
        <f t="shared" ca="1" si="80"/>
        <v>0</v>
      </c>
      <c r="O327" s="49">
        <f t="shared" ca="1" si="80"/>
        <v>0</v>
      </c>
      <c r="P327" s="49">
        <f t="shared" ca="1" si="80"/>
        <v>0</v>
      </c>
      <c r="Q327" s="49">
        <f t="shared" ca="1" si="80"/>
        <v>0</v>
      </c>
      <c r="R327" s="49">
        <f t="shared" ca="1" si="80"/>
        <v>0</v>
      </c>
      <c r="S327" s="49">
        <f t="shared" ca="1" si="80"/>
        <v>0</v>
      </c>
      <c r="T327" s="49">
        <f t="shared" ca="1" si="80"/>
        <v>0</v>
      </c>
      <c r="U327" s="49">
        <f t="shared" ca="1" si="80"/>
        <v>0</v>
      </c>
      <c r="V327" s="49">
        <f t="shared" ref="V327:AA327" ca="1" si="81">V317-(IF(V303&lt;0,V303,0))</f>
        <v>0</v>
      </c>
      <c r="W327" s="49">
        <f t="shared" ca="1" si="81"/>
        <v>0</v>
      </c>
      <c r="X327" s="49">
        <f t="shared" ca="1" si="81"/>
        <v>0</v>
      </c>
      <c r="Y327" s="49">
        <f t="shared" ca="1" si="81"/>
        <v>0</v>
      </c>
      <c r="Z327" s="49">
        <f t="shared" ca="1" si="81"/>
        <v>0</v>
      </c>
      <c r="AA327" s="49">
        <f t="shared" ca="1" si="81"/>
        <v>0</v>
      </c>
    </row>
    <row r="328" spans="1:27" ht="15" customHeight="1" x14ac:dyDescent="0.45">
      <c r="A328" s="37"/>
      <c r="B328" s="4"/>
      <c r="C328" s="4"/>
      <c r="D328" s="2" t="s">
        <v>47</v>
      </c>
      <c r="E328" s="3" t="s">
        <v>806</v>
      </c>
      <c r="G328" s="49">
        <f ca="1">IF(G317-G303&lt;0,0,G317-G303)</f>
        <v>0</v>
      </c>
      <c r="H328" s="49">
        <f t="shared" ref="H328:U328" ca="1" si="82">IF(H317-H303&lt;0,0,H317-H303)</f>
        <v>0</v>
      </c>
      <c r="I328" s="49">
        <f t="shared" ca="1" si="82"/>
        <v>0</v>
      </c>
      <c r="J328" s="49">
        <f t="shared" ca="1" si="82"/>
        <v>0</v>
      </c>
      <c r="K328" s="49">
        <f t="shared" ca="1" si="82"/>
        <v>0</v>
      </c>
      <c r="L328" s="49">
        <f t="shared" ca="1" si="82"/>
        <v>0</v>
      </c>
      <c r="M328" s="49">
        <f t="shared" ca="1" si="82"/>
        <v>0</v>
      </c>
      <c r="N328" s="49">
        <f t="shared" ca="1" si="82"/>
        <v>0</v>
      </c>
      <c r="O328" s="49">
        <f t="shared" ca="1" si="82"/>
        <v>0</v>
      </c>
      <c r="P328" s="49">
        <f t="shared" ca="1" si="82"/>
        <v>0</v>
      </c>
      <c r="Q328" s="49">
        <f t="shared" ca="1" si="82"/>
        <v>0</v>
      </c>
      <c r="R328" s="49">
        <f t="shared" ca="1" si="82"/>
        <v>0</v>
      </c>
      <c r="S328" s="49">
        <f t="shared" ca="1" si="82"/>
        <v>0</v>
      </c>
      <c r="T328" s="49">
        <f t="shared" ca="1" si="82"/>
        <v>0</v>
      </c>
      <c r="U328" s="49">
        <f t="shared" ca="1" si="82"/>
        <v>0</v>
      </c>
      <c r="V328" s="49">
        <f t="shared" ref="V328:AA328" ca="1" si="83">IF(V317-V303&lt;0,0,V317-V303)</f>
        <v>0</v>
      </c>
      <c r="W328" s="49">
        <f t="shared" ca="1" si="83"/>
        <v>0</v>
      </c>
      <c r="X328" s="49">
        <f t="shared" ca="1" si="83"/>
        <v>0</v>
      </c>
      <c r="Y328" s="49">
        <f t="shared" ca="1" si="83"/>
        <v>0</v>
      </c>
      <c r="Z328" s="49">
        <f t="shared" ca="1" si="83"/>
        <v>0</v>
      </c>
      <c r="AA328" s="49">
        <f t="shared" ca="1" si="83"/>
        <v>0</v>
      </c>
    </row>
    <row r="329" spans="1:27" ht="15" customHeight="1" x14ac:dyDescent="0.45">
      <c r="A329" s="37"/>
      <c r="B329" s="4"/>
      <c r="C329" s="4"/>
      <c r="D329" s="2" t="s">
        <v>48</v>
      </c>
      <c r="E329" s="3" t="s">
        <v>49</v>
      </c>
      <c r="G329" s="53">
        <f t="shared" ref="G329:U329" ca="1" si="84">G327/G323</f>
        <v>0</v>
      </c>
      <c r="H329" s="53">
        <f t="shared" ca="1" si="84"/>
        <v>0</v>
      </c>
      <c r="I329" s="53">
        <f t="shared" ca="1" si="84"/>
        <v>0</v>
      </c>
      <c r="J329" s="53">
        <f t="shared" ca="1" si="84"/>
        <v>0</v>
      </c>
      <c r="K329" s="53">
        <f t="shared" ca="1" si="84"/>
        <v>0</v>
      </c>
      <c r="L329" s="53">
        <f t="shared" ca="1" si="84"/>
        <v>0</v>
      </c>
      <c r="M329" s="53">
        <f t="shared" ca="1" si="84"/>
        <v>0</v>
      </c>
      <c r="N329" s="53">
        <f t="shared" ca="1" si="84"/>
        <v>0</v>
      </c>
      <c r="O329" s="53">
        <f t="shared" ca="1" si="84"/>
        <v>0</v>
      </c>
      <c r="P329" s="53">
        <f t="shared" ca="1" si="84"/>
        <v>0</v>
      </c>
      <c r="Q329" s="53">
        <f t="shared" ca="1" si="84"/>
        <v>0</v>
      </c>
      <c r="R329" s="53">
        <f t="shared" ca="1" si="84"/>
        <v>0</v>
      </c>
      <c r="S329" s="53">
        <f t="shared" ca="1" si="84"/>
        <v>0</v>
      </c>
      <c r="T329" s="53">
        <f t="shared" ca="1" si="84"/>
        <v>0</v>
      </c>
      <c r="U329" s="53">
        <f t="shared" ca="1" si="84"/>
        <v>0</v>
      </c>
      <c r="V329" s="53">
        <f t="shared" ref="V329:AA329" ca="1" si="85">V327/V323</f>
        <v>0</v>
      </c>
      <c r="W329" s="53">
        <f t="shared" ca="1" si="85"/>
        <v>0</v>
      </c>
      <c r="X329" s="53">
        <f t="shared" ca="1" si="85"/>
        <v>0</v>
      </c>
      <c r="Y329" s="53">
        <f t="shared" ca="1" si="85"/>
        <v>0</v>
      </c>
      <c r="Z329" s="53">
        <f t="shared" ca="1" si="85"/>
        <v>0</v>
      </c>
      <c r="AA329" s="53">
        <f t="shared" ca="1" si="85"/>
        <v>0</v>
      </c>
    </row>
    <row r="330" spans="1:27" ht="15" customHeight="1" x14ac:dyDescent="0.45">
      <c r="A330" s="37"/>
      <c r="B330" s="4"/>
      <c r="C330" s="4"/>
      <c r="D330" s="2" t="s">
        <v>50</v>
      </c>
      <c r="E330" s="3" t="s">
        <v>49</v>
      </c>
      <c r="G330" s="53">
        <f t="shared" ref="G330:U330" ca="1" si="86">(G327)/G299</f>
        <v>0</v>
      </c>
      <c r="H330" s="53">
        <f t="shared" ca="1" si="86"/>
        <v>0</v>
      </c>
      <c r="I330" s="53">
        <f t="shared" ca="1" si="86"/>
        <v>0</v>
      </c>
      <c r="J330" s="53">
        <f t="shared" ca="1" si="86"/>
        <v>0</v>
      </c>
      <c r="K330" s="53">
        <f t="shared" ca="1" si="86"/>
        <v>0</v>
      </c>
      <c r="L330" s="53">
        <f t="shared" ca="1" si="86"/>
        <v>0</v>
      </c>
      <c r="M330" s="53">
        <f t="shared" ca="1" si="86"/>
        <v>0</v>
      </c>
      <c r="N330" s="53">
        <f t="shared" ca="1" si="86"/>
        <v>0</v>
      </c>
      <c r="O330" s="53">
        <f t="shared" ca="1" si="86"/>
        <v>0</v>
      </c>
      <c r="P330" s="53">
        <f t="shared" ca="1" si="86"/>
        <v>0</v>
      </c>
      <c r="Q330" s="53">
        <f t="shared" ca="1" si="86"/>
        <v>0</v>
      </c>
      <c r="R330" s="53">
        <f t="shared" ca="1" si="86"/>
        <v>0</v>
      </c>
      <c r="S330" s="53">
        <f t="shared" ca="1" si="86"/>
        <v>0</v>
      </c>
      <c r="T330" s="53">
        <f t="shared" ca="1" si="86"/>
        <v>0</v>
      </c>
      <c r="U330" s="53">
        <f t="shared" ca="1" si="86"/>
        <v>0</v>
      </c>
      <c r="V330" s="53">
        <f t="shared" ref="V330:AA330" ca="1" si="87">(V327)/V299</f>
        <v>0</v>
      </c>
      <c r="W330" s="53">
        <f t="shared" ca="1" si="87"/>
        <v>0</v>
      </c>
      <c r="X330" s="53">
        <f t="shared" ca="1" si="87"/>
        <v>0</v>
      </c>
      <c r="Y330" s="53">
        <f t="shared" ca="1" si="87"/>
        <v>0</v>
      </c>
      <c r="Z330" s="53">
        <f t="shared" ca="1" si="87"/>
        <v>0</v>
      </c>
      <c r="AA330" s="53">
        <f t="shared" ca="1" si="87"/>
        <v>0</v>
      </c>
    </row>
    <row r="331" spans="1:27" ht="15" customHeight="1" x14ac:dyDescent="0.45">
      <c r="A331" s="37"/>
      <c r="B331" s="4"/>
      <c r="C331" s="4"/>
      <c r="D331" s="2" t="s">
        <v>51</v>
      </c>
      <c r="E331" s="23" t="s">
        <v>49</v>
      </c>
      <c r="G331" s="49">
        <f t="shared" ref="G331:L331" ca="1" si="88">G268/G283</f>
        <v>0</v>
      </c>
      <c r="H331" s="49">
        <f t="shared" ca="1" si="88"/>
        <v>37.358571229420249</v>
      </c>
      <c r="I331" s="49">
        <f t="shared" ca="1" si="88"/>
        <v>54.700207551489214</v>
      </c>
      <c r="J331" s="49">
        <f t="shared" ca="1" si="88"/>
        <v>315.88212018411838</v>
      </c>
      <c r="K331" s="49">
        <f t="shared" ca="1" si="88"/>
        <v>-99.38840124162131</v>
      </c>
      <c r="L331" s="49">
        <f t="shared" ca="1" si="88"/>
        <v>-42.461916726072005</v>
      </c>
      <c r="M331" s="49"/>
      <c r="N331" s="49"/>
      <c r="O331" s="49"/>
      <c r="P331" s="49"/>
      <c r="Q331" s="49"/>
      <c r="R331" s="49"/>
      <c r="S331" s="49"/>
      <c r="T331" s="49"/>
      <c r="U331" s="49"/>
      <c r="V331" s="49"/>
      <c r="W331" s="49"/>
      <c r="X331" s="49"/>
      <c r="Y331" s="49"/>
      <c r="Z331" s="49"/>
      <c r="AA331" s="49"/>
    </row>
    <row r="332" spans="1:27" ht="15" customHeight="1" x14ac:dyDescent="0.45">
      <c r="A332" s="37"/>
      <c r="B332" s="4"/>
      <c r="C332" s="4"/>
      <c r="D332" s="2" t="s">
        <v>52</v>
      </c>
      <c r="G332" s="49">
        <f t="shared" ref="G332:U332" ca="1" si="89">G305-G325</f>
        <v>0</v>
      </c>
      <c r="H332" s="49">
        <f t="shared" ca="1" si="89"/>
        <v>0</v>
      </c>
      <c r="I332" s="49">
        <f t="shared" ca="1" si="89"/>
        <v>0</v>
      </c>
      <c r="J332" s="49">
        <f t="shared" ca="1" si="89"/>
        <v>0</v>
      </c>
      <c r="K332" s="49">
        <f t="shared" ca="1" si="89"/>
        <v>0</v>
      </c>
      <c r="L332" s="49">
        <f t="shared" ca="1" si="89"/>
        <v>0</v>
      </c>
      <c r="M332" s="49">
        <f t="shared" ca="1" si="89"/>
        <v>0</v>
      </c>
      <c r="N332" s="49">
        <f t="shared" ca="1" si="89"/>
        <v>0</v>
      </c>
      <c r="O332" s="49">
        <f t="shared" ca="1" si="89"/>
        <v>0</v>
      </c>
      <c r="P332" s="49">
        <f t="shared" ca="1" si="89"/>
        <v>0</v>
      </c>
      <c r="Q332" s="49">
        <f t="shared" ca="1" si="89"/>
        <v>0</v>
      </c>
      <c r="R332" s="49">
        <f t="shared" ca="1" si="89"/>
        <v>0</v>
      </c>
      <c r="S332" s="49">
        <f t="shared" ca="1" si="89"/>
        <v>0</v>
      </c>
      <c r="T332" s="49">
        <f t="shared" ca="1" si="89"/>
        <v>0</v>
      </c>
      <c r="U332" s="49">
        <f t="shared" ca="1" si="89"/>
        <v>0</v>
      </c>
      <c r="V332" s="49">
        <f t="shared" ref="V332:AA332" ca="1" si="90">V305-V325</f>
        <v>0</v>
      </c>
      <c r="W332" s="49">
        <f t="shared" ca="1" si="90"/>
        <v>0</v>
      </c>
      <c r="X332" s="49">
        <f t="shared" ca="1" si="90"/>
        <v>0</v>
      </c>
      <c r="Y332" s="49">
        <f t="shared" ca="1" si="90"/>
        <v>0</v>
      </c>
      <c r="Z332" s="49">
        <f t="shared" ca="1" si="90"/>
        <v>0</v>
      </c>
      <c r="AA332" s="49">
        <f t="shared" ca="1" si="90"/>
        <v>0</v>
      </c>
    </row>
    <row r="333" spans="1:27" ht="15" customHeight="1" x14ac:dyDescent="0.45">
      <c r="A333" s="37"/>
      <c r="G333" s="49"/>
      <c r="H333" s="49"/>
      <c r="I333" s="49"/>
      <c r="J333" s="49"/>
      <c r="K333" s="49"/>
      <c r="L333" s="49"/>
      <c r="M333" s="49"/>
      <c r="N333" s="49"/>
      <c r="O333" s="49"/>
      <c r="P333" s="49"/>
      <c r="Q333" s="49"/>
      <c r="R333" s="49"/>
      <c r="S333" s="49"/>
      <c r="T333" s="49"/>
      <c r="U333" s="49"/>
      <c r="V333" s="49"/>
      <c r="W333" s="49"/>
      <c r="X333" s="49"/>
      <c r="Y333" s="49"/>
      <c r="Z333" s="49"/>
      <c r="AA333" s="49"/>
    </row>
    <row r="334" spans="1:27" ht="15" customHeight="1" x14ac:dyDescent="0.45">
      <c r="A334" s="37"/>
      <c r="B334" s="4" t="s">
        <v>53</v>
      </c>
      <c r="C334" s="4"/>
      <c r="G334" s="49"/>
      <c r="H334" s="49"/>
      <c r="I334" s="49"/>
      <c r="J334" s="49"/>
      <c r="K334" s="49"/>
      <c r="L334" s="49"/>
      <c r="M334" s="49"/>
      <c r="N334" s="49"/>
      <c r="O334" s="49"/>
      <c r="P334" s="49"/>
      <c r="Q334" s="49"/>
      <c r="R334" s="49"/>
      <c r="S334" s="49"/>
      <c r="T334" s="49"/>
      <c r="U334" s="49"/>
      <c r="V334" s="49"/>
      <c r="W334" s="49"/>
      <c r="X334" s="49"/>
      <c r="Y334" s="49"/>
      <c r="Z334" s="49"/>
      <c r="AA334" s="49"/>
    </row>
    <row r="335" spans="1:27" ht="15" customHeight="1" x14ac:dyDescent="0.45">
      <c r="A335" s="37"/>
      <c r="B335" s="4"/>
      <c r="C335" s="4"/>
      <c r="D335" s="2" t="s">
        <v>54</v>
      </c>
      <c r="E335" s="3" t="s">
        <v>806</v>
      </c>
      <c r="G335" s="49">
        <f t="shared" ref="G335:AA335" ca="1" si="91">G277</f>
        <v>-2388667.1983609046</v>
      </c>
      <c r="H335" s="49">
        <f t="shared" ca="1" si="91"/>
        <v>2844196.8016390959</v>
      </c>
      <c r="I335" s="49">
        <f t="shared" ca="1" si="91"/>
        <v>2906278.0816390952</v>
      </c>
      <c r="J335" s="49">
        <f t="shared" ca="1" si="91"/>
        <v>2969600.9872390963</v>
      </c>
      <c r="K335" s="49">
        <f t="shared" ca="1" si="91"/>
        <v>3034190.350951096</v>
      </c>
      <c r="L335" s="49">
        <f t="shared" ca="1" si="91"/>
        <v>3100071.5019373344</v>
      </c>
      <c r="M335" s="49">
        <f t="shared" ca="1" si="91"/>
        <v>3167270.2759433007</v>
      </c>
      <c r="N335" s="49">
        <f t="shared" ca="1" si="91"/>
        <v>3235813.0254293866</v>
      </c>
      <c r="O335" s="49">
        <f t="shared" ca="1" si="91"/>
        <v>3305726.6299051894</v>
      </c>
      <c r="P335" s="49">
        <f t="shared" ca="1" si="91"/>
        <v>3377038.5064705135</v>
      </c>
      <c r="Q335" s="49">
        <f t="shared" ca="1" si="91"/>
        <v>3449776.620567142</v>
      </c>
      <c r="R335" s="49">
        <f t="shared" ca="1" si="91"/>
        <v>3523969.4969457034</v>
      </c>
      <c r="S335" s="49">
        <f t="shared" ca="1" si="91"/>
        <v>3599646.2308518365</v>
      </c>
      <c r="T335" s="49">
        <f t="shared" ca="1" si="91"/>
        <v>3676836.4994360898</v>
      </c>
      <c r="U335" s="49">
        <f t="shared" ca="1" si="91"/>
        <v>3755570.5733920299</v>
      </c>
      <c r="V335" s="49">
        <f t="shared" ca="1" si="91"/>
        <v>3835879.3288270878</v>
      </c>
      <c r="W335" s="49">
        <f t="shared" ca="1" si="91"/>
        <v>3917794.2593708467</v>
      </c>
      <c r="X335" s="49">
        <f t="shared" ca="1" si="91"/>
        <v>4001347.4885254819</v>
      </c>
      <c r="Y335" s="49">
        <f t="shared" ca="1" si="91"/>
        <v>4086571.7822632138</v>
      </c>
      <c r="Z335" s="49">
        <f t="shared" ca="1" si="91"/>
        <v>4173500.5618756935</v>
      </c>
      <c r="AA335" s="49">
        <f t="shared" ca="1" si="91"/>
        <v>4262167.9170804285</v>
      </c>
    </row>
    <row r="336" spans="1:27" ht="15" customHeight="1" x14ac:dyDescent="0.45">
      <c r="A336" s="37"/>
      <c r="B336" s="4"/>
      <c r="C336" s="4"/>
      <c r="D336" s="2" t="s">
        <v>1</v>
      </c>
      <c r="E336" s="3" t="s">
        <v>806</v>
      </c>
      <c r="G336" s="49">
        <f t="shared" ref="G336:AA336" ca="1" si="92">G271</f>
        <v>259867.19836090453</v>
      </c>
      <c r="H336" s="49">
        <f t="shared" ca="1" si="92"/>
        <v>259867.19836090453</v>
      </c>
      <c r="I336" s="49">
        <f t="shared" ca="1" si="92"/>
        <v>259867.19836090453</v>
      </c>
      <c r="J336" s="49">
        <f t="shared" ca="1" si="92"/>
        <v>259867.19836090453</v>
      </c>
      <c r="K336" s="49">
        <f t="shared" ca="1" si="92"/>
        <v>259867.19836090453</v>
      </c>
      <c r="L336" s="49">
        <f t="shared" ca="1" si="92"/>
        <v>259867.19836090453</v>
      </c>
      <c r="M336" s="49">
        <f t="shared" ca="1" si="92"/>
        <v>259867.19836090453</v>
      </c>
      <c r="N336" s="49">
        <f t="shared" ca="1" si="92"/>
        <v>259867.19836090453</v>
      </c>
      <c r="O336" s="49">
        <f t="shared" ca="1" si="92"/>
        <v>259867.19836090453</v>
      </c>
      <c r="P336" s="49">
        <f t="shared" ca="1" si="92"/>
        <v>259867.19836090453</v>
      </c>
      <c r="Q336" s="49">
        <f t="shared" ca="1" si="92"/>
        <v>259867.19836090453</v>
      </c>
      <c r="R336" s="49">
        <f t="shared" ca="1" si="92"/>
        <v>259867.19836090453</v>
      </c>
      <c r="S336" s="49">
        <f t="shared" ca="1" si="92"/>
        <v>259867.19836090453</v>
      </c>
      <c r="T336" s="49">
        <f t="shared" ca="1" si="92"/>
        <v>259867.19836090453</v>
      </c>
      <c r="U336" s="49">
        <f t="shared" ca="1" si="92"/>
        <v>259867.19836090453</v>
      </c>
      <c r="V336" s="49">
        <f t="shared" ca="1" si="92"/>
        <v>259867.19836090453</v>
      </c>
      <c r="W336" s="49">
        <f t="shared" ca="1" si="92"/>
        <v>259867.19836090453</v>
      </c>
      <c r="X336" s="49">
        <f t="shared" ca="1" si="92"/>
        <v>259867.19836090453</v>
      </c>
      <c r="Y336" s="49">
        <f t="shared" ca="1" si="92"/>
        <v>259867.19836090453</v>
      </c>
      <c r="Z336" s="49">
        <f t="shared" ca="1" si="92"/>
        <v>259867.19836090453</v>
      </c>
      <c r="AA336" s="49">
        <f t="shared" ca="1" si="92"/>
        <v>259867.19836090453</v>
      </c>
    </row>
    <row r="337" spans="1:27" ht="15" customHeight="1" x14ac:dyDescent="0.45">
      <c r="A337" s="37"/>
      <c r="B337" s="4"/>
      <c r="C337" s="4"/>
      <c r="D337" s="2" t="s">
        <v>55</v>
      </c>
      <c r="E337" s="3" t="s">
        <v>806</v>
      </c>
      <c r="G337" s="49">
        <f t="shared" ref="G337:AA337" si="93">G272</f>
        <v>0</v>
      </c>
      <c r="H337" s="49">
        <f t="shared" si="93"/>
        <v>0</v>
      </c>
      <c r="I337" s="49">
        <f t="shared" si="93"/>
        <v>0</v>
      </c>
      <c r="J337" s="49">
        <f t="shared" si="93"/>
        <v>0</v>
      </c>
      <c r="K337" s="49">
        <f t="shared" si="93"/>
        <v>0</v>
      </c>
      <c r="L337" s="49">
        <f t="shared" si="93"/>
        <v>0</v>
      </c>
      <c r="M337" s="49">
        <f t="shared" si="93"/>
        <v>0</v>
      </c>
      <c r="N337" s="49">
        <f t="shared" si="93"/>
        <v>0</v>
      </c>
      <c r="O337" s="49">
        <f t="shared" si="93"/>
        <v>0</v>
      </c>
      <c r="P337" s="49">
        <f t="shared" si="93"/>
        <v>0</v>
      </c>
      <c r="Q337" s="49">
        <f t="shared" si="93"/>
        <v>0</v>
      </c>
      <c r="R337" s="49">
        <f t="shared" si="93"/>
        <v>0</v>
      </c>
      <c r="S337" s="49">
        <f t="shared" si="93"/>
        <v>0</v>
      </c>
      <c r="T337" s="49">
        <f t="shared" si="93"/>
        <v>0</v>
      </c>
      <c r="U337" s="49">
        <f t="shared" si="93"/>
        <v>0</v>
      </c>
      <c r="V337" s="49">
        <f t="shared" si="93"/>
        <v>0</v>
      </c>
      <c r="W337" s="49">
        <f t="shared" si="93"/>
        <v>0</v>
      </c>
      <c r="X337" s="49">
        <f t="shared" si="93"/>
        <v>0</v>
      </c>
      <c r="Y337" s="49">
        <f t="shared" si="93"/>
        <v>0</v>
      </c>
      <c r="Z337" s="49">
        <f t="shared" si="93"/>
        <v>0</v>
      </c>
      <c r="AA337" s="49">
        <f t="shared" si="93"/>
        <v>0</v>
      </c>
    </row>
    <row r="338" spans="1:27" ht="15" customHeight="1" x14ac:dyDescent="0.45">
      <c r="A338" s="37"/>
      <c r="B338" s="4"/>
      <c r="C338" s="4"/>
      <c r="G338" s="52" t="s">
        <v>38</v>
      </c>
      <c r="H338" s="52" t="s">
        <v>38</v>
      </c>
      <c r="I338" s="52" t="s">
        <v>38</v>
      </c>
      <c r="J338" s="52" t="s">
        <v>38</v>
      </c>
      <c r="K338" s="52" t="s">
        <v>38</v>
      </c>
      <c r="L338" s="52" t="s">
        <v>38</v>
      </c>
      <c r="M338" s="52" t="s">
        <v>38</v>
      </c>
      <c r="N338" s="52" t="s">
        <v>38</v>
      </c>
      <c r="O338" s="52" t="s">
        <v>38</v>
      </c>
      <c r="P338" s="52" t="s">
        <v>38</v>
      </c>
      <c r="Q338" s="52" t="s">
        <v>38</v>
      </c>
      <c r="R338" s="52" t="s">
        <v>38</v>
      </c>
      <c r="S338" s="52" t="s">
        <v>38</v>
      </c>
      <c r="T338" s="52" t="s">
        <v>38</v>
      </c>
      <c r="U338" s="52" t="s">
        <v>38</v>
      </c>
      <c r="V338" s="52" t="s">
        <v>38</v>
      </c>
      <c r="W338" s="52" t="s">
        <v>38</v>
      </c>
      <c r="X338" s="52" t="s">
        <v>38</v>
      </c>
      <c r="Y338" s="52" t="s">
        <v>38</v>
      </c>
      <c r="Z338" s="52" t="s">
        <v>38</v>
      </c>
      <c r="AA338" s="52" t="s">
        <v>38</v>
      </c>
    </row>
    <row r="339" spans="1:27" ht="15" customHeight="1" x14ac:dyDescent="0.45">
      <c r="A339" s="37"/>
      <c r="B339" s="4"/>
      <c r="C339" s="4"/>
      <c r="D339" s="2" t="s">
        <v>56</v>
      </c>
      <c r="E339" s="3" t="s">
        <v>806</v>
      </c>
      <c r="G339" s="49">
        <f ca="1">SUM(G335:G338)</f>
        <v>-2128800</v>
      </c>
      <c r="H339" s="49">
        <f t="shared" ref="H339:U339" ca="1" si="94">SUM(H335:H338)</f>
        <v>3104064.0000000005</v>
      </c>
      <c r="I339" s="49">
        <f t="shared" ca="1" si="94"/>
        <v>3166145.28</v>
      </c>
      <c r="J339" s="49">
        <f t="shared" ca="1" si="94"/>
        <v>3229468.1856000009</v>
      </c>
      <c r="K339" s="49">
        <f t="shared" ca="1" si="94"/>
        <v>3294057.5493120006</v>
      </c>
      <c r="L339" s="49">
        <f t="shared" ca="1" si="94"/>
        <v>3359938.700298239</v>
      </c>
      <c r="M339" s="49">
        <f t="shared" ca="1" si="94"/>
        <v>3427137.4743042053</v>
      </c>
      <c r="N339" s="49">
        <f t="shared" ca="1" si="94"/>
        <v>3495680.2237902912</v>
      </c>
      <c r="O339" s="49">
        <f t="shared" ca="1" si="94"/>
        <v>3565593.828266094</v>
      </c>
      <c r="P339" s="49">
        <f t="shared" ca="1" si="94"/>
        <v>3636905.7048314181</v>
      </c>
      <c r="Q339" s="49">
        <f t="shared" ca="1" si="94"/>
        <v>3709643.8189280466</v>
      </c>
      <c r="R339" s="49">
        <f t="shared" ca="1" si="94"/>
        <v>3783836.695306608</v>
      </c>
      <c r="S339" s="49">
        <f t="shared" ca="1" si="94"/>
        <v>3859513.4292127411</v>
      </c>
      <c r="T339" s="49">
        <f t="shared" ca="1" si="94"/>
        <v>3936703.6977969944</v>
      </c>
      <c r="U339" s="49">
        <f t="shared" ca="1" si="94"/>
        <v>4015437.7717529344</v>
      </c>
      <c r="V339" s="49">
        <f t="shared" ref="V339:AA339" ca="1" si="95">SUM(V335:V338)</f>
        <v>4095746.5271879924</v>
      </c>
      <c r="W339" s="49">
        <f t="shared" ca="1" si="95"/>
        <v>4177661.4577317513</v>
      </c>
      <c r="X339" s="49">
        <f t="shared" ca="1" si="95"/>
        <v>4261214.686886386</v>
      </c>
      <c r="Y339" s="49">
        <f t="shared" ca="1" si="95"/>
        <v>4346438.9806241179</v>
      </c>
      <c r="Z339" s="49">
        <f t="shared" ca="1" si="95"/>
        <v>4433367.7602365976</v>
      </c>
      <c r="AA339" s="49">
        <f t="shared" ca="1" si="95"/>
        <v>4522035.1154413326</v>
      </c>
    </row>
    <row r="340" spans="1:27" ht="15" customHeight="1" x14ac:dyDescent="0.45">
      <c r="A340" s="37"/>
      <c r="B340" s="4"/>
      <c r="C340" s="4"/>
      <c r="G340" s="49"/>
      <c r="H340" s="49"/>
      <c r="I340" s="49"/>
      <c r="J340" s="49"/>
      <c r="K340" s="49"/>
      <c r="L340" s="49"/>
      <c r="M340" s="49"/>
      <c r="N340" s="49"/>
      <c r="O340" s="49"/>
      <c r="P340" s="49"/>
      <c r="Q340" s="49"/>
      <c r="R340" s="49"/>
      <c r="S340" s="49"/>
      <c r="T340" s="49"/>
      <c r="U340" s="49"/>
      <c r="V340" s="49"/>
      <c r="W340" s="49"/>
      <c r="X340" s="49"/>
      <c r="Y340" s="49"/>
      <c r="Z340" s="49"/>
      <c r="AA340" s="49"/>
    </row>
    <row r="341" spans="1:27" x14ac:dyDescent="0.45">
      <c r="A341" s="37"/>
      <c r="B341" s="4"/>
      <c r="C341" s="4"/>
      <c r="D341" s="2" t="s">
        <v>57</v>
      </c>
      <c r="E341" s="3" t="s">
        <v>806</v>
      </c>
      <c r="G341" s="49">
        <f t="shared" ref="G341:AA341" ca="1" si="96">G157</f>
        <v>5717078.3639399</v>
      </c>
      <c r="H341" s="49">
        <f t="shared" ca="1" si="96"/>
        <v>69380.057388981644</v>
      </c>
      <c r="I341" s="49">
        <f t="shared" ca="1" si="96"/>
        <v>70767.658536761272</v>
      </c>
      <c r="J341" s="49">
        <f t="shared" ca="1" si="96"/>
        <v>72183.011707496495</v>
      </c>
      <c r="K341" s="49">
        <f t="shared" ca="1" si="96"/>
        <v>73626.671941646433</v>
      </c>
      <c r="L341" s="49">
        <f t="shared" ca="1" si="96"/>
        <v>75099.205380479369</v>
      </c>
      <c r="M341" s="49">
        <f t="shared" ca="1" si="96"/>
        <v>76601.189488088959</v>
      </c>
      <c r="N341" s="49">
        <f t="shared" ca="1" si="96"/>
        <v>78133.213277850737</v>
      </c>
      <c r="O341" s="49">
        <f t="shared" ca="1" si="96"/>
        <v>79695.877543407754</v>
      </c>
      <c r="P341" s="49">
        <f t="shared" ca="1" si="96"/>
        <v>81289.795094275905</v>
      </c>
      <c r="Q341" s="49">
        <f t="shared" ca="1" si="96"/>
        <v>82915.590996161423</v>
      </c>
      <c r="R341" s="49">
        <f t="shared" ca="1" si="96"/>
        <v>84573.90281608465</v>
      </c>
      <c r="S341" s="49">
        <f t="shared" ca="1" si="96"/>
        <v>86265.380872406342</v>
      </c>
      <c r="T341" s="49">
        <f t="shared" ca="1" si="96"/>
        <v>87990.688489854467</v>
      </c>
      <c r="U341" s="49">
        <f t="shared" ca="1" si="96"/>
        <v>89750.502259651563</v>
      </c>
      <c r="V341" s="49">
        <f t="shared" ca="1" si="96"/>
        <v>91545.512304844597</v>
      </c>
      <c r="W341" s="49">
        <f t="shared" ca="1" si="96"/>
        <v>93376.422550941497</v>
      </c>
      <c r="X341" s="49">
        <f t="shared" ca="1" si="96"/>
        <v>95243.951001960333</v>
      </c>
      <c r="Y341" s="49">
        <f t="shared" ca="1" si="96"/>
        <v>97148.830021999544</v>
      </c>
      <c r="Z341" s="49">
        <f t="shared" ca="1" si="96"/>
        <v>99091.80662243953</v>
      </c>
      <c r="AA341" s="49">
        <f t="shared" ca="1" si="96"/>
        <v>101073.64275488832</v>
      </c>
    </row>
    <row r="342" spans="1:27" x14ac:dyDescent="0.45">
      <c r="A342" s="37"/>
      <c r="B342" s="4"/>
      <c r="C342" s="4"/>
      <c r="D342" s="2" t="s">
        <v>58</v>
      </c>
      <c r="E342" s="3" t="s">
        <v>806</v>
      </c>
      <c r="G342" s="49">
        <f t="shared" ref="G342:U342" si="97">G372-F372</f>
        <v>1574728.7671232875</v>
      </c>
      <c r="H342" s="49">
        <f t="shared" si="97"/>
        <v>2829256.7671232875</v>
      </c>
      <c r="I342" s="49">
        <f t="shared" si="97"/>
        <v>88079.710684931837</v>
      </c>
      <c r="J342" s="49">
        <f t="shared" si="97"/>
        <v>89841.304898629896</v>
      </c>
      <c r="K342" s="49">
        <f t="shared" si="97"/>
        <v>91638.130996602587</v>
      </c>
      <c r="L342" s="49">
        <f t="shared" si="97"/>
        <v>93470.893616535701</v>
      </c>
      <c r="M342" s="49">
        <f t="shared" si="97"/>
        <v>95340.311488864943</v>
      </c>
      <c r="N342" s="49">
        <f t="shared" si="97"/>
        <v>97247.117718642578</v>
      </c>
      <c r="O342" s="49">
        <f t="shared" si="97"/>
        <v>99192.060073016211</v>
      </c>
      <c r="P342" s="49">
        <f t="shared" si="97"/>
        <v>101175.9012744762</v>
      </c>
      <c r="Q342" s="49">
        <f t="shared" si="97"/>
        <v>103199.41929996479</v>
      </c>
      <c r="R342" s="49">
        <f t="shared" si="97"/>
        <v>105263.4076859653</v>
      </c>
      <c r="S342" s="49">
        <f t="shared" si="97"/>
        <v>107368.67583968397</v>
      </c>
      <c r="T342" s="49">
        <f t="shared" si="97"/>
        <v>109516.04935647827</v>
      </c>
      <c r="U342" s="49">
        <f t="shared" si="97"/>
        <v>111706.37034360785</v>
      </c>
      <c r="V342" s="49">
        <f t="shared" ref="V342:AA342" si="98">V372-U372</f>
        <v>113940.49775047973</v>
      </c>
      <c r="W342" s="49">
        <f t="shared" si="98"/>
        <v>116219.30770548899</v>
      </c>
      <c r="X342" s="49">
        <f t="shared" si="98"/>
        <v>118543.69385959953</v>
      </c>
      <c r="Y342" s="49">
        <f t="shared" si="98"/>
        <v>120914.56773678958</v>
      </c>
      <c r="Z342" s="49">
        <f t="shared" si="98"/>
        <v>123332.85909152683</v>
      </c>
      <c r="AA342" s="49">
        <f t="shared" si="98"/>
        <v>125799.51627335697</v>
      </c>
    </row>
    <row r="343" spans="1:27" x14ac:dyDescent="0.45">
      <c r="A343" s="37"/>
      <c r="B343" s="4"/>
      <c r="C343" s="4"/>
      <c r="D343" s="2" t="s">
        <v>59</v>
      </c>
      <c r="E343" s="3" t="s">
        <v>806</v>
      </c>
      <c r="G343" s="49">
        <f t="shared" ref="G343:U343" si="99">IF(F307&lt;0,0,F307)</f>
        <v>0</v>
      </c>
      <c r="H343" s="49">
        <f t="shared" ca="1" si="99"/>
        <v>0</v>
      </c>
      <c r="I343" s="49">
        <f t="shared" ca="1" si="99"/>
        <v>69138.301124193822</v>
      </c>
      <c r="J343" s="49">
        <f t="shared" ca="1" si="99"/>
        <v>821214.04453752877</v>
      </c>
      <c r="K343" s="49">
        <f t="shared" ca="1" si="99"/>
        <v>881930.57115927117</v>
      </c>
      <c r="L343" s="49">
        <f t="shared" ca="1" si="99"/>
        <v>939270.54385780112</v>
      </c>
      <c r="M343" s="49">
        <f t="shared" ca="1" si="99"/>
        <v>999289.90303235466</v>
      </c>
      <c r="N343" s="49">
        <f t="shared" ca="1" si="99"/>
        <v>1062161.7163106799</v>
      </c>
      <c r="O343" s="49">
        <f t="shared" ca="1" si="99"/>
        <v>1128013.4949045866</v>
      </c>
      <c r="P343" s="49">
        <f t="shared" ca="1" si="99"/>
        <v>1196977.8184996531</v>
      </c>
      <c r="Q343" s="49">
        <f t="shared" ca="1" si="99"/>
        <v>1269193.0062153493</v>
      </c>
      <c r="R343" s="49">
        <f t="shared" ca="1" si="99"/>
        <v>1344803.3662093072</v>
      </c>
      <c r="S343" s="49">
        <f t="shared" ca="1" si="99"/>
        <v>1423959.4520229748</v>
      </c>
      <c r="T343" s="49">
        <f t="shared" ca="1" si="99"/>
        <v>1506818.3298056428</v>
      </c>
      <c r="U343" s="49">
        <f t="shared" ca="1" si="99"/>
        <v>1593543.8569120015</v>
      </c>
      <c r="V343" s="49">
        <f t="shared" ref="V343:AA343" ca="1" si="100">IF(U307&lt;0,0,U307)</f>
        <v>1684306.97235642</v>
      </c>
      <c r="W343" s="49">
        <f t="shared" ca="1" si="100"/>
        <v>1779285.9996273397</v>
      </c>
      <c r="X343" s="49">
        <f t="shared" ca="1" si="100"/>
        <v>1878666.9623865252</v>
      </c>
      <c r="Y343" s="49">
        <f t="shared" ca="1" si="100"/>
        <v>1982643.9136001696</v>
      </c>
      <c r="Z343" s="49">
        <f t="shared" ca="1" si="100"/>
        <v>2091419.27867204</v>
      </c>
      <c r="AA343" s="49">
        <f t="shared" ca="1" si="100"/>
        <v>2205204.2131730351</v>
      </c>
    </row>
    <row r="344" spans="1:27" x14ac:dyDescent="0.45">
      <c r="A344" s="37"/>
      <c r="B344" s="4"/>
      <c r="C344" s="4"/>
      <c r="G344" s="52" t="s">
        <v>38</v>
      </c>
      <c r="H344" s="52" t="s">
        <v>38</v>
      </c>
      <c r="I344" s="52" t="s">
        <v>38</v>
      </c>
      <c r="J344" s="52" t="s">
        <v>38</v>
      </c>
      <c r="K344" s="52" t="s">
        <v>38</v>
      </c>
      <c r="L344" s="52" t="s">
        <v>38</v>
      </c>
      <c r="M344" s="52" t="s">
        <v>38</v>
      </c>
      <c r="N344" s="52" t="s">
        <v>38</v>
      </c>
      <c r="O344" s="52" t="s">
        <v>38</v>
      </c>
      <c r="P344" s="52" t="s">
        <v>38</v>
      </c>
      <c r="Q344" s="52" t="s">
        <v>38</v>
      </c>
      <c r="R344" s="52" t="s">
        <v>38</v>
      </c>
      <c r="S344" s="52" t="s">
        <v>38</v>
      </c>
      <c r="T344" s="52" t="s">
        <v>38</v>
      </c>
      <c r="U344" s="52" t="s">
        <v>38</v>
      </c>
      <c r="V344" s="52" t="s">
        <v>38</v>
      </c>
      <c r="W344" s="52" t="s">
        <v>38</v>
      </c>
      <c r="X344" s="52" t="s">
        <v>38</v>
      </c>
      <c r="Y344" s="52" t="s">
        <v>38</v>
      </c>
      <c r="Z344" s="52" t="s">
        <v>38</v>
      </c>
      <c r="AA344" s="52" t="s">
        <v>38</v>
      </c>
    </row>
    <row r="345" spans="1:27" x14ac:dyDescent="0.45">
      <c r="A345" s="37"/>
      <c r="B345" s="4"/>
      <c r="C345" s="4"/>
      <c r="D345" s="2" t="s">
        <v>60</v>
      </c>
      <c r="E345" s="3" t="s">
        <v>806</v>
      </c>
      <c r="G345" s="49">
        <f ca="1">G339-SUM(G341:G344)</f>
        <v>-9420607.1310631875</v>
      </c>
      <c r="H345" s="49">
        <f t="shared" ref="H345:U345" ca="1" si="101">H339-SUM(H341:H344)</f>
        <v>205427.17548773112</v>
      </c>
      <c r="I345" s="49">
        <f t="shared" ca="1" si="101"/>
        <v>2938159.6096541127</v>
      </c>
      <c r="J345" s="49">
        <f t="shared" ca="1" si="101"/>
        <v>2246229.8244563458</v>
      </c>
      <c r="K345" s="49">
        <f t="shared" ca="1" si="101"/>
        <v>2246862.1752144806</v>
      </c>
      <c r="L345" s="49">
        <f t="shared" ca="1" si="101"/>
        <v>2252098.0574434227</v>
      </c>
      <c r="M345" s="49">
        <f t="shared" ca="1" si="101"/>
        <v>2255906.0702948966</v>
      </c>
      <c r="N345" s="49">
        <f t="shared" ca="1" si="101"/>
        <v>2258138.176483118</v>
      </c>
      <c r="O345" s="49">
        <f t="shared" ca="1" si="101"/>
        <v>2258692.3957450837</v>
      </c>
      <c r="P345" s="49">
        <f t="shared" ca="1" si="101"/>
        <v>2257462.1899630129</v>
      </c>
      <c r="Q345" s="49">
        <f t="shared" ca="1" si="101"/>
        <v>2254335.8024165714</v>
      </c>
      <c r="R345" s="49">
        <f t="shared" ca="1" si="101"/>
        <v>2249196.0185952508</v>
      </c>
      <c r="S345" s="49">
        <f t="shared" ca="1" si="101"/>
        <v>2241919.9204776762</v>
      </c>
      <c r="T345" s="49">
        <f t="shared" ca="1" si="101"/>
        <v>2232378.6301450189</v>
      </c>
      <c r="U345" s="49">
        <f t="shared" ca="1" si="101"/>
        <v>2220437.0422376734</v>
      </c>
      <c r="V345" s="49">
        <f t="shared" ref="V345:AA345" ca="1" si="102">V339-SUM(V341:V344)</f>
        <v>2205953.5447762478</v>
      </c>
      <c r="W345" s="49">
        <f t="shared" ca="1" si="102"/>
        <v>2188779.7278479813</v>
      </c>
      <c r="X345" s="49">
        <f t="shared" ca="1" si="102"/>
        <v>2168760.0796383009</v>
      </c>
      <c r="Y345" s="49">
        <f t="shared" ca="1" si="102"/>
        <v>2145731.6692651594</v>
      </c>
      <c r="Z345" s="49">
        <f t="shared" ca="1" si="102"/>
        <v>2119523.8158505913</v>
      </c>
      <c r="AA345" s="49">
        <f t="shared" ca="1" si="102"/>
        <v>2089957.7432400524</v>
      </c>
    </row>
    <row r="346" spans="1:27" x14ac:dyDescent="0.45">
      <c r="A346" s="37"/>
      <c r="B346" s="4"/>
      <c r="C346" s="4"/>
      <c r="G346" s="57"/>
      <c r="H346" s="49"/>
      <c r="I346" s="49"/>
      <c r="J346" s="49"/>
      <c r="K346" s="49"/>
      <c r="L346" s="49"/>
      <c r="M346" s="49"/>
      <c r="N346" s="49"/>
      <c r="O346" s="49"/>
      <c r="P346" s="49"/>
      <c r="Q346" s="49"/>
      <c r="R346" s="49"/>
      <c r="S346" s="49"/>
      <c r="T346" s="49"/>
      <c r="U346" s="49"/>
      <c r="V346" s="49"/>
      <c r="W346" s="49"/>
      <c r="X346" s="49"/>
      <c r="Y346" s="49"/>
      <c r="Z346" s="49"/>
      <c r="AA346" s="49"/>
    </row>
    <row r="347" spans="1:27" x14ac:dyDescent="0.45">
      <c r="A347" s="37"/>
      <c r="B347" s="4"/>
      <c r="C347" s="4"/>
      <c r="D347" s="2" t="s">
        <v>490</v>
      </c>
      <c r="E347" s="3" t="s">
        <v>806</v>
      </c>
      <c r="G347" s="49">
        <f>'Financing Template'!G154+'Financing Template'!G174+'Financing Template'!G194+'Financing Template'!G212+'Financing Template'!G230+'Financing Template'!G248+'Financing Template'!G275</f>
        <v>0</v>
      </c>
      <c r="H347" s="49">
        <f>'Financing Template'!H154+'Financing Template'!H174+'Financing Template'!H194+'Financing Template'!H212+'Financing Template'!H230+'Financing Template'!H248+'Financing Template'!H275</f>
        <v>0</v>
      </c>
      <c r="I347" s="49">
        <f>'Financing Template'!I154+'Financing Template'!I174+'Financing Template'!I194+'Financing Template'!I212+'Financing Template'!I230+'Financing Template'!I248+'Financing Template'!I275</f>
        <v>0</v>
      </c>
      <c r="J347" s="49">
        <f>'Financing Template'!J154+'Financing Template'!J174+'Financing Template'!J194+'Financing Template'!J212+'Financing Template'!J230+'Financing Template'!J248+'Financing Template'!J275</f>
        <v>0</v>
      </c>
      <c r="K347" s="49">
        <f>'Financing Template'!K154+'Financing Template'!K174+'Financing Template'!K194+'Financing Template'!K212+'Financing Template'!K230+'Financing Template'!K248+'Financing Template'!K275</f>
        <v>0</v>
      </c>
      <c r="L347" s="49">
        <f>'Financing Template'!L154+'Financing Template'!L174+'Financing Template'!L194+'Financing Template'!L212+'Financing Template'!L230+'Financing Template'!L248+'Financing Template'!L275</f>
        <v>0</v>
      </c>
      <c r="M347" s="49">
        <f>'Financing Template'!M154+'Financing Template'!M174+'Financing Template'!M194+'Financing Template'!M212+'Financing Template'!M230+'Financing Template'!M248+'Financing Template'!M275</f>
        <v>0</v>
      </c>
      <c r="N347" s="49">
        <f>'Financing Template'!N154+'Financing Template'!N174+'Financing Template'!N194+'Financing Template'!N212+'Financing Template'!N230+'Financing Template'!N248+'Financing Template'!N275</f>
        <v>0</v>
      </c>
      <c r="O347" s="49">
        <f>'Financing Template'!O154+'Financing Template'!O174+'Financing Template'!O194+'Financing Template'!O212+'Financing Template'!O230+'Financing Template'!O248+'Financing Template'!O275</f>
        <v>0</v>
      </c>
      <c r="P347" s="49">
        <f>'Financing Template'!P154+'Financing Template'!P174+'Financing Template'!P194+'Financing Template'!P212+'Financing Template'!P230+'Financing Template'!P248+'Financing Template'!P275</f>
        <v>0</v>
      </c>
      <c r="Q347" s="49">
        <f>'Financing Template'!Q154+'Financing Template'!Q174+'Financing Template'!Q194+'Financing Template'!Q212+'Financing Template'!Q230+'Financing Template'!Q248+'Financing Template'!Q275</f>
        <v>0</v>
      </c>
      <c r="R347" s="49">
        <f>'Financing Template'!R154+'Financing Template'!R174+'Financing Template'!R194+'Financing Template'!R212+'Financing Template'!R230+'Financing Template'!R248+'Financing Template'!R275</f>
        <v>0</v>
      </c>
      <c r="S347" s="49">
        <f>'Financing Template'!S154+'Financing Template'!S174+'Financing Template'!S194+'Financing Template'!S212+'Financing Template'!S230+'Financing Template'!S248+'Financing Template'!S275</f>
        <v>0</v>
      </c>
      <c r="T347" s="49">
        <f>'Financing Template'!T154+'Financing Template'!T174+'Financing Template'!T194+'Financing Template'!T212+'Financing Template'!T230+'Financing Template'!T248+'Financing Template'!T275</f>
        <v>0</v>
      </c>
      <c r="U347" s="49">
        <f>'Financing Template'!U154+'Financing Template'!U174+'Financing Template'!U194+'Financing Template'!U212+'Financing Template'!U230+'Financing Template'!U248+'Financing Template'!U275</f>
        <v>0</v>
      </c>
      <c r="V347" s="49">
        <f>'Financing Template'!V154+'Financing Template'!V174+'Financing Template'!V194+'Financing Template'!V212+'Financing Template'!V230+'Financing Template'!V248+'Financing Template'!V275</f>
        <v>0</v>
      </c>
      <c r="W347" s="49">
        <f>'Financing Template'!W154+'Financing Template'!W174+'Financing Template'!W194+'Financing Template'!W212+'Financing Template'!W230+'Financing Template'!W248+'Financing Template'!W275</f>
        <v>0</v>
      </c>
      <c r="X347" s="49">
        <f>'Financing Template'!X154+'Financing Template'!X174+'Financing Template'!X194+'Financing Template'!X212+'Financing Template'!X230+'Financing Template'!X248+'Financing Template'!X275</f>
        <v>0</v>
      </c>
      <c r="Y347" s="49">
        <f>'Financing Template'!Y154+'Financing Template'!Y174+'Financing Template'!Y194+'Financing Template'!Y212+'Financing Template'!Y230+'Financing Template'!Y248+'Financing Template'!Y275</f>
        <v>0</v>
      </c>
      <c r="Z347" s="49">
        <f>'Financing Template'!Z154+'Financing Template'!Z174+'Financing Template'!Z194+'Financing Template'!Z212+'Financing Template'!Z230+'Financing Template'!Z248+'Financing Template'!Z275</f>
        <v>0</v>
      </c>
      <c r="AA347" s="49">
        <f>'Financing Template'!AA154+'Financing Template'!AA174+'Financing Template'!AA194+'Financing Template'!AA212+'Financing Template'!AA230+'Financing Template'!AA248+'Financing Template'!AA275</f>
        <v>0</v>
      </c>
    </row>
    <row r="348" spans="1:27" x14ac:dyDescent="0.45">
      <c r="A348" s="37"/>
      <c r="B348" s="4"/>
      <c r="C348" s="4"/>
      <c r="D348" s="2" t="s">
        <v>491</v>
      </c>
      <c r="E348" s="3" t="s">
        <v>806</v>
      </c>
      <c r="G348" s="49">
        <f t="shared" ref="G348:AA348" ca="1" si="103">IF(-F303-(G345+G360+G361+G362)/2&lt;0,G16/2,G16)*(-F303-(G361+G362+G345+G355+G356+G357+G358)/2)</f>
        <v>-17381.786068104375</v>
      </c>
      <c r="H348" s="49">
        <f t="shared" ca="1" si="103"/>
        <v>-41969.294564926931</v>
      </c>
      <c r="I348" s="49">
        <f t="shared" ca="1" si="103"/>
        <v>-121729.87498324328</v>
      </c>
      <c r="J348" s="49">
        <f t="shared" ca="1" si="103"/>
        <v>-267127.68201571703</v>
      </c>
      <c r="K348" s="49">
        <f t="shared" ca="1" si="103"/>
        <v>-400130.49700335029</v>
      </c>
      <c r="L348" s="49">
        <f t="shared" ca="1" si="103"/>
        <v>-540901.99169758172</v>
      </c>
      <c r="M348" s="49">
        <f t="shared" ca="1" si="103"/>
        <v>-689995.8060199623</v>
      </c>
      <c r="N348" s="49">
        <f t="shared" ca="1" si="103"/>
        <v>-847813.26012884057</v>
      </c>
      <c r="O348" s="49">
        <f t="shared" ca="1" si="103"/>
        <v>-1014772.0947508407</v>
      </c>
      <c r="P348" s="49">
        <f t="shared" ca="1" si="103"/>
        <v>-1191308.6982277029</v>
      </c>
      <c r="Q348" s="49">
        <f t="shared" ca="1" si="103"/>
        <v>-1377878.9288539295</v>
      </c>
      <c r="R348" s="49">
        <f t="shared" ca="1" si="103"/>
        <v>-1574958.9594921169</v>
      </c>
      <c r="S348" s="49">
        <f t="shared" ca="1" si="103"/>
        <v>-1783046.1582521577</v>
      </c>
      <c r="T348" s="49">
        <f t="shared" ca="1" si="103"/>
        <v>-2002660.0068808573</v>
      </c>
      <c r="U348" s="49">
        <f t="shared" ca="1" si="103"/>
        <v>-2234343.0584685728</v>
      </c>
      <c r="V348" s="49">
        <f t="shared" ca="1" si="103"/>
        <v>-2478661.9361467524</v>
      </c>
      <c r="W348" s="49">
        <f t="shared" ca="1" si="103"/>
        <v>-2736208.3745213221</v>
      </c>
      <c r="X348" s="49">
        <f t="shared" ca="1" si="103"/>
        <v>-3007600.3056609649</v>
      </c>
      <c r="Y348" s="49">
        <f t="shared" ca="1" si="103"/>
        <v>-3293482.991536574</v>
      </c>
      <c r="Z348" s="49">
        <f t="shared" ca="1" si="103"/>
        <v>-3594530.2048886609</v>
      </c>
      <c r="AA348" s="49">
        <f t="shared" ca="1" si="103"/>
        <v>-3911445.4605834461</v>
      </c>
    </row>
    <row r="349" spans="1:27" x14ac:dyDescent="0.45">
      <c r="A349" s="37"/>
      <c r="B349" s="4"/>
      <c r="C349" s="4"/>
      <c r="G349" s="52" t="s">
        <v>38</v>
      </c>
      <c r="H349" s="52" t="s">
        <v>38</v>
      </c>
      <c r="I349" s="52" t="s">
        <v>38</v>
      </c>
      <c r="J349" s="52" t="s">
        <v>38</v>
      </c>
      <c r="K349" s="52" t="s">
        <v>38</v>
      </c>
      <c r="L349" s="52" t="s">
        <v>38</v>
      </c>
      <c r="M349" s="52" t="s">
        <v>38</v>
      </c>
      <c r="N349" s="52" t="s">
        <v>38</v>
      </c>
      <c r="O349" s="52" t="s">
        <v>38</v>
      </c>
      <c r="P349" s="52" t="s">
        <v>38</v>
      </c>
      <c r="Q349" s="52" t="s">
        <v>38</v>
      </c>
      <c r="R349" s="52" t="s">
        <v>38</v>
      </c>
      <c r="S349" s="52" t="s">
        <v>38</v>
      </c>
      <c r="T349" s="52" t="s">
        <v>38</v>
      </c>
      <c r="U349" s="52" t="s">
        <v>38</v>
      </c>
      <c r="V349" s="52" t="s">
        <v>38</v>
      </c>
      <c r="W349" s="52" t="s">
        <v>38</v>
      </c>
      <c r="X349" s="52" t="s">
        <v>38</v>
      </c>
      <c r="Y349" s="52" t="s">
        <v>38</v>
      </c>
      <c r="Z349" s="52" t="s">
        <v>38</v>
      </c>
      <c r="AA349" s="52" t="s">
        <v>38</v>
      </c>
    </row>
    <row r="350" spans="1:27" x14ac:dyDescent="0.45">
      <c r="A350" s="37"/>
      <c r="B350" s="4"/>
      <c r="C350" s="4"/>
      <c r="D350" s="2" t="s">
        <v>61</v>
      </c>
      <c r="E350" s="3" t="s">
        <v>806</v>
      </c>
      <c r="F350" s="49"/>
      <c r="G350" s="57">
        <f ca="1">G347+G348</f>
        <v>-17381.786068104375</v>
      </c>
      <c r="H350" s="57">
        <f t="shared" ref="H350:AA350" ca="1" si="104">H347+H348</f>
        <v>-41969.294564926931</v>
      </c>
      <c r="I350" s="57">
        <f t="shared" ca="1" si="104"/>
        <v>-121729.87498324328</v>
      </c>
      <c r="J350" s="57">
        <f t="shared" ca="1" si="104"/>
        <v>-267127.68201571703</v>
      </c>
      <c r="K350" s="57">
        <f t="shared" ca="1" si="104"/>
        <v>-400130.49700335029</v>
      </c>
      <c r="L350" s="57">
        <f t="shared" ca="1" si="104"/>
        <v>-540901.99169758172</v>
      </c>
      <c r="M350" s="57">
        <f t="shared" ca="1" si="104"/>
        <v>-689995.8060199623</v>
      </c>
      <c r="N350" s="57">
        <f t="shared" ca="1" si="104"/>
        <v>-847813.26012884057</v>
      </c>
      <c r="O350" s="57">
        <f t="shared" ca="1" si="104"/>
        <v>-1014772.0947508407</v>
      </c>
      <c r="P350" s="57">
        <f t="shared" ca="1" si="104"/>
        <v>-1191308.6982277029</v>
      </c>
      <c r="Q350" s="57">
        <f t="shared" ca="1" si="104"/>
        <v>-1377878.9288539295</v>
      </c>
      <c r="R350" s="57">
        <f t="shared" ca="1" si="104"/>
        <v>-1574958.9594921169</v>
      </c>
      <c r="S350" s="57">
        <f t="shared" ca="1" si="104"/>
        <v>-1783046.1582521577</v>
      </c>
      <c r="T350" s="57">
        <f t="shared" ca="1" si="104"/>
        <v>-2002660.0068808573</v>
      </c>
      <c r="U350" s="57">
        <f t="shared" ca="1" si="104"/>
        <v>-2234343.0584685728</v>
      </c>
      <c r="V350" s="57">
        <f t="shared" ca="1" si="104"/>
        <v>-2478661.9361467524</v>
      </c>
      <c r="W350" s="57">
        <f t="shared" ca="1" si="104"/>
        <v>-2736208.3745213221</v>
      </c>
      <c r="X350" s="57">
        <f t="shared" ca="1" si="104"/>
        <v>-3007600.3056609649</v>
      </c>
      <c r="Y350" s="57">
        <f t="shared" ca="1" si="104"/>
        <v>-3293482.991536574</v>
      </c>
      <c r="Z350" s="57">
        <f t="shared" ca="1" si="104"/>
        <v>-3594530.2048886609</v>
      </c>
      <c r="AA350" s="57">
        <f t="shared" ca="1" si="104"/>
        <v>-3911445.4605834461</v>
      </c>
    </row>
    <row r="351" spans="1:27" x14ac:dyDescent="0.45">
      <c r="A351" s="37"/>
      <c r="B351" s="4"/>
      <c r="C351" s="4"/>
      <c r="D351" s="2" t="s">
        <v>563</v>
      </c>
      <c r="E351" s="3" t="s">
        <v>806</v>
      </c>
      <c r="F351" s="49"/>
      <c r="G351" s="49">
        <f ca="1">G280</f>
        <v>0</v>
      </c>
      <c r="H351" s="49">
        <f t="shared" ref="H351:AA351" ca="1" si="105">H280</f>
        <v>284419.68016390962</v>
      </c>
      <c r="I351" s="49">
        <f t="shared" ca="1" si="105"/>
        <v>290627.80816390953</v>
      </c>
      <c r="J351" s="49">
        <f t="shared" ca="1" si="105"/>
        <v>296960.09872390964</v>
      </c>
      <c r="K351" s="49">
        <f t="shared" ca="1" si="105"/>
        <v>303419.0350951096</v>
      </c>
      <c r="L351" s="49">
        <f t="shared" ca="1" si="105"/>
        <v>310007.15019373345</v>
      </c>
      <c r="M351" s="49">
        <f t="shared" ca="1" si="105"/>
        <v>316727.02759433008</v>
      </c>
      <c r="N351" s="49">
        <f t="shared" ca="1" si="105"/>
        <v>323581.30254293868</v>
      </c>
      <c r="O351" s="49">
        <f t="shared" ca="1" si="105"/>
        <v>330572.66299051896</v>
      </c>
      <c r="P351" s="49">
        <f t="shared" ca="1" si="105"/>
        <v>337703.85064705135</v>
      </c>
      <c r="Q351" s="49">
        <f t="shared" ca="1" si="105"/>
        <v>344977.66205671424</v>
      </c>
      <c r="R351" s="49">
        <f t="shared" ca="1" si="105"/>
        <v>352396.94969457039</v>
      </c>
      <c r="S351" s="49">
        <f t="shared" ca="1" si="105"/>
        <v>359964.62308518367</v>
      </c>
      <c r="T351" s="49">
        <f t="shared" ca="1" si="105"/>
        <v>367683.64994360902</v>
      </c>
      <c r="U351" s="49">
        <f t="shared" ca="1" si="105"/>
        <v>375557.05733920302</v>
      </c>
      <c r="V351" s="49">
        <f t="shared" ca="1" si="105"/>
        <v>383587.93288270879</v>
      </c>
      <c r="W351" s="49">
        <f t="shared" ca="1" si="105"/>
        <v>391779.42593708471</v>
      </c>
      <c r="X351" s="49">
        <f t="shared" ca="1" si="105"/>
        <v>400134.74885254819</v>
      </c>
      <c r="Y351" s="49">
        <f t="shared" ca="1" si="105"/>
        <v>408657.17822632141</v>
      </c>
      <c r="Z351" s="49">
        <f t="shared" ca="1" si="105"/>
        <v>417350.0561875694</v>
      </c>
      <c r="AA351" s="49">
        <f t="shared" ca="1" si="105"/>
        <v>426216.79170804285</v>
      </c>
    </row>
    <row r="352" spans="1:27" x14ac:dyDescent="0.45">
      <c r="A352" s="37"/>
      <c r="B352" s="4"/>
      <c r="C352" s="4"/>
      <c r="G352" s="49"/>
      <c r="H352" s="49"/>
      <c r="I352" s="49"/>
      <c r="J352" s="49"/>
      <c r="K352" s="49"/>
      <c r="L352" s="49"/>
      <c r="M352" s="49"/>
      <c r="N352" s="49"/>
      <c r="O352" s="49"/>
      <c r="P352" s="49"/>
      <c r="Q352" s="49"/>
      <c r="R352" s="49"/>
      <c r="S352" s="49"/>
      <c r="T352" s="49"/>
      <c r="U352" s="49"/>
      <c r="V352" s="49"/>
      <c r="W352" s="49"/>
      <c r="X352" s="49"/>
      <c r="Y352" s="49"/>
      <c r="Z352" s="49"/>
      <c r="AA352" s="49"/>
    </row>
    <row r="353" spans="1:27" x14ac:dyDescent="0.45">
      <c r="A353" s="37"/>
      <c r="B353" s="4"/>
      <c r="C353" s="4"/>
      <c r="D353" s="2" t="s">
        <v>62</v>
      </c>
      <c r="E353" s="3" t="s">
        <v>806</v>
      </c>
      <c r="G353" s="49">
        <f ca="1">G345-G350-G351</f>
        <v>-9403225.3449950833</v>
      </c>
      <c r="H353" s="49">
        <f t="shared" ref="H353:U353" ca="1" si="106">H345-H350-H351</f>
        <v>-37023.210111251567</v>
      </c>
      <c r="I353" s="49">
        <f t="shared" ca="1" si="106"/>
        <v>2769261.6764734462</v>
      </c>
      <c r="J353" s="49">
        <f t="shared" ca="1" si="106"/>
        <v>2216397.407748153</v>
      </c>
      <c r="K353" s="49">
        <f t="shared" ca="1" si="106"/>
        <v>2343573.6371227214</v>
      </c>
      <c r="L353" s="49">
        <f t="shared" ca="1" si="106"/>
        <v>2482992.8989472711</v>
      </c>
      <c r="M353" s="49">
        <f t="shared" ca="1" si="106"/>
        <v>2629174.8487205287</v>
      </c>
      <c r="N353" s="49">
        <f t="shared" ca="1" si="106"/>
        <v>2782370.1340690199</v>
      </c>
      <c r="O353" s="49">
        <f t="shared" ca="1" si="106"/>
        <v>2942891.8275054055</v>
      </c>
      <c r="P353" s="49">
        <f t="shared" ca="1" si="106"/>
        <v>3111067.0375436642</v>
      </c>
      <c r="Q353" s="49">
        <f t="shared" ca="1" si="106"/>
        <v>3287237.0692137866</v>
      </c>
      <c r="R353" s="49">
        <f t="shared" ca="1" si="106"/>
        <v>3471758.0283927973</v>
      </c>
      <c r="S353" s="49">
        <f t="shared" ca="1" si="106"/>
        <v>3665001.4556446504</v>
      </c>
      <c r="T353" s="49">
        <f ca="1">T345-T350-T351</f>
        <v>3867354.9870822672</v>
      </c>
      <c r="U353" s="49">
        <f t="shared" ca="1" si="106"/>
        <v>4079223.0433670427</v>
      </c>
      <c r="V353" s="49">
        <f t="shared" ref="V353:AA353" ca="1" si="107">V345-V350-V351</f>
        <v>4301027.5480402922</v>
      </c>
      <c r="W353" s="49">
        <f t="shared" ca="1" si="107"/>
        <v>4533208.6764322184</v>
      </c>
      <c r="X353" s="49">
        <f t="shared" ca="1" si="107"/>
        <v>4776225.6364467172</v>
      </c>
      <c r="Y353" s="49">
        <f t="shared" ca="1" si="107"/>
        <v>5030557.4825754119</v>
      </c>
      <c r="Z353" s="49">
        <f t="shared" ca="1" si="107"/>
        <v>5296703.9645516826</v>
      </c>
      <c r="AA353" s="49">
        <f t="shared" ca="1" si="107"/>
        <v>5575186.4121154556</v>
      </c>
    </row>
    <row r="354" spans="1:27" x14ac:dyDescent="0.45">
      <c r="A354" s="37"/>
      <c r="B354" s="4"/>
      <c r="C354" s="4"/>
      <c r="G354" s="49"/>
      <c r="H354" s="49"/>
      <c r="I354" s="49"/>
      <c r="J354" s="49"/>
      <c r="K354" s="49"/>
      <c r="L354" s="49"/>
      <c r="M354" s="49"/>
      <c r="N354" s="49"/>
      <c r="O354" s="49"/>
      <c r="P354" s="49"/>
      <c r="Q354" s="49"/>
      <c r="R354" s="49"/>
      <c r="S354" s="49"/>
      <c r="T354" s="49"/>
      <c r="U354" s="49"/>
      <c r="V354" s="49"/>
      <c r="W354" s="49"/>
      <c r="X354" s="49"/>
      <c r="Y354" s="49"/>
      <c r="Z354" s="49"/>
      <c r="AA354" s="49"/>
    </row>
    <row r="355" spans="1:27" x14ac:dyDescent="0.45">
      <c r="A355" s="37"/>
      <c r="B355" s="4"/>
      <c r="D355" s="2" t="s">
        <v>178</v>
      </c>
      <c r="E355" s="136" t="s">
        <v>806</v>
      </c>
      <c r="F355" s="152"/>
      <c r="G355" s="158">
        <f>'Financing Template'!G186-'Financing Template'!G188</f>
        <v>0</v>
      </c>
      <c r="H355" s="158">
        <f>'Financing Template'!H186-'Financing Template'!H188</f>
        <v>0</v>
      </c>
      <c r="I355" s="158">
        <f>'Financing Template'!I186-'Financing Template'!I188</f>
        <v>0</v>
      </c>
      <c r="J355" s="158">
        <f>'Financing Template'!J186-'Financing Template'!J188</f>
        <v>0</v>
      </c>
      <c r="K355" s="158">
        <f>'Financing Template'!K186-'Financing Template'!K188</f>
        <v>0</v>
      </c>
      <c r="L355" s="158">
        <f>'Financing Template'!L186-'Financing Template'!L188</f>
        <v>0</v>
      </c>
      <c r="M355" s="158">
        <f>'Financing Template'!M186-'Financing Template'!M188</f>
        <v>0</v>
      </c>
      <c r="N355" s="158">
        <f>'Financing Template'!N186-'Financing Template'!N188</f>
        <v>0</v>
      </c>
      <c r="O355" s="158">
        <f>'Financing Template'!O186-'Financing Template'!O188</f>
        <v>0</v>
      </c>
      <c r="P355" s="158">
        <f>'Financing Template'!P186-'Financing Template'!P188</f>
        <v>0</v>
      </c>
      <c r="Q355" s="158">
        <f>'Financing Template'!Q186-'Financing Template'!Q188</f>
        <v>0</v>
      </c>
      <c r="R355" s="158">
        <f>'Financing Template'!R186-'Financing Template'!R188</f>
        <v>0</v>
      </c>
      <c r="S355" s="158">
        <f>'Financing Template'!S186-'Financing Template'!S188</f>
        <v>0</v>
      </c>
      <c r="T355" s="158">
        <f>'Financing Template'!T186-'Financing Template'!T188</f>
        <v>0</v>
      </c>
      <c r="U355" s="158">
        <f>'Financing Template'!U186-'Financing Template'!U188</f>
        <v>0</v>
      </c>
      <c r="V355" s="158">
        <f>'Financing Template'!V186-'Financing Template'!V188</f>
        <v>0</v>
      </c>
      <c r="W355" s="158">
        <f>'Financing Template'!W186-'Financing Template'!W188</f>
        <v>0</v>
      </c>
      <c r="X355" s="158">
        <f>'Financing Template'!X186-'Financing Template'!X188</f>
        <v>0</v>
      </c>
      <c r="Y355" s="158">
        <f>'Financing Template'!Y186-'Financing Template'!Y188</f>
        <v>0</v>
      </c>
      <c r="Z355" s="158">
        <f>'Financing Template'!Z186-'Financing Template'!Z188</f>
        <v>0</v>
      </c>
      <c r="AA355" s="158">
        <f>'Financing Template'!AA186-'Financing Template'!AA188</f>
        <v>0</v>
      </c>
    </row>
    <row r="356" spans="1:27" x14ac:dyDescent="0.45">
      <c r="A356" s="37"/>
      <c r="B356" s="4"/>
      <c r="D356" s="2" t="s">
        <v>179</v>
      </c>
      <c r="E356" s="136" t="s">
        <v>806</v>
      </c>
      <c r="F356" s="60"/>
      <c r="G356" s="158">
        <f>'Financing Template'!G266-'Financing Template'!G268</f>
        <v>0</v>
      </c>
      <c r="H356" s="158">
        <f>'Financing Template'!H266-'Financing Template'!H268</f>
        <v>0</v>
      </c>
      <c r="I356" s="158">
        <f>'Financing Template'!I266-'Financing Template'!I268</f>
        <v>0</v>
      </c>
      <c r="J356" s="158">
        <f>'Financing Template'!J266-'Financing Template'!J268</f>
        <v>0</v>
      </c>
      <c r="K356" s="158">
        <f>'Financing Template'!K266-'Financing Template'!K268</f>
        <v>0</v>
      </c>
      <c r="L356" s="158">
        <f>'Financing Template'!L266-'Financing Template'!L268</f>
        <v>0</v>
      </c>
      <c r="M356" s="158">
        <f>'Financing Template'!M266-'Financing Template'!M268</f>
        <v>0</v>
      </c>
      <c r="N356" s="158">
        <f>'Financing Template'!N266-'Financing Template'!N268</f>
        <v>0</v>
      </c>
      <c r="O356" s="158">
        <f>'Financing Template'!O266-'Financing Template'!O268</f>
        <v>0</v>
      </c>
      <c r="P356" s="158">
        <f>'Financing Template'!P266-'Financing Template'!P268</f>
        <v>0</v>
      </c>
      <c r="Q356" s="158">
        <f>'Financing Template'!Q266-'Financing Template'!Q268</f>
        <v>0</v>
      </c>
      <c r="R356" s="158">
        <f>'Financing Template'!R266-'Financing Template'!R268</f>
        <v>0</v>
      </c>
      <c r="S356" s="158">
        <f>'Financing Template'!S266-'Financing Template'!S268</f>
        <v>0</v>
      </c>
      <c r="T356" s="158">
        <f>'Financing Template'!T266-'Financing Template'!T268</f>
        <v>0</v>
      </c>
      <c r="U356" s="158">
        <f>'Financing Template'!U266-'Financing Template'!U268</f>
        <v>0</v>
      </c>
      <c r="V356" s="158">
        <f>'Financing Template'!V266-'Financing Template'!V268</f>
        <v>0</v>
      </c>
      <c r="W356" s="158">
        <f>'Financing Template'!W266-'Financing Template'!W268</f>
        <v>0</v>
      </c>
      <c r="X356" s="158">
        <f>'Financing Template'!X266-'Financing Template'!X268</f>
        <v>0</v>
      </c>
      <c r="Y356" s="158">
        <f>'Financing Template'!Y266-'Financing Template'!Y268</f>
        <v>0</v>
      </c>
      <c r="Z356" s="158">
        <f>'Financing Template'!Z266-'Financing Template'!Z268</f>
        <v>0</v>
      </c>
      <c r="AA356" s="158">
        <f>'Financing Template'!AA266-'Financing Template'!AA268</f>
        <v>0</v>
      </c>
    </row>
    <row r="357" spans="1:27" x14ac:dyDescent="0.45">
      <c r="A357" s="37"/>
      <c r="B357" s="4"/>
      <c r="D357" s="2" t="s">
        <v>165</v>
      </c>
      <c r="E357" s="136" t="s">
        <v>806</v>
      </c>
      <c r="F357" s="60"/>
      <c r="G357" s="158">
        <f>'Financing Template'!G204-'Financing Template'!G206</f>
        <v>0</v>
      </c>
      <c r="H357" s="158">
        <f>'Financing Template'!H204-'Financing Template'!H206</f>
        <v>0</v>
      </c>
      <c r="I357" s="158">
        <f>'Financing Template'!I204-'Financing Template'!I206</f>
        <v>0</v>
      </c>
      <c r="J357" s="158">
        <f>'Financing Template'!J204-'Financing Template'!J206</f>
        <v>0</v>
      </c>
      <c r="K357" s="158">
        <f>'Financing Template'!K204-'Financing Template'!K206</f>
        <v>0</v>
      </c>
      <c r="L357" s="158">
        <f>'Financing Template'!L204-'Financing Template'!L206</f>
        <v>0</v>
      </c>
      <c r="M357" s="158">
        <f>'Financing Template'!M204-'Financing Template'!M206</f>
        <v>0</v>
      </c>
      <c r="N357" s="158">
        <f>'Financing Template'!N204-'Financing Template'!N206</f>
        <v>0</v>
      </c>
      <c r="O357" s="158">
        <f>'Financing Template'!O204-'Financing Template'!O206</f>
        <v>0</v>
      </c>
      <c r="P357" s="158">
        <f>'Financing Template'!P204-'Financing Template'!P206</f>
        <v>0</v>
      </c>
      <c r="Q357" s="158">
        <f>'Financing Template'!Q204-'Financing Template'!Q206</f>
        <v>0</v>
      </c>
      <c r="R357" s="158">
        <f>'Financing Template'!R204-'Financing Template'!R206</f>
        <v>0</v>
      </c>
      <c r="S357" s="158">
        <f>'Financing Template'!S204-'Financing Template'!S206</f>
        <v>0</v>
      </c>
      <c r="T357" s="158">
        <f>'Financing Template'!T204-'Financing Template'!T206</f>
        <v>0</v>
      </c>
      <c r="U357" s="158">
        <f>'Financing Template'!U204-'Financing Template'!U206</f>
        <v>0</v>
      </c>
      <c r="V357" s="158">
        <f>'Financing Template'!V204-'Financing Template'!V206</f>
        <v>0</v>
      </c>
      <c r="W357" s="158">
        <f>'Financing Template'!W204-'Financing Template'!W206</f>
        <v>0</v>
      </c>
      <c r="X357" s="158">
        <f>'Financing Template'!X204-'Financing Template'!X206</f>
        <v>0</v>
      </c>
      <c r="Y357" s="158">
        <f>'Financing Template'!Y204-'Financing Template'!Y206</f>
        <v>0</v>
      </c>
      <c r="Z357" s="158">
        <f>'Financing Template'!Z204-'Financing Template'!Z206</f>
        <v>0</v>
      </c>
      <c r="AA357" s="158">
        <f>'Financing Template'!AA204-'Financing Template'!AA206</f>
        <v>0</v>
      </c>
    </row>
    <row r="358" spans="1:27" x14ac:dyDescent="0.45">
      <c r="A358" s="37"/>
      <c r="B358" s="4"/>
      <c r="D358" s="2" t="s">
        <v>166</v>
      </c>
      <c r="E358" s="136" t="s">
        <v>806</v>
      </c>
      <c r="F358" s="60"/>
      <c r="G358" s="158">
        <f>('Financing Template'!G222-'Financing Template'!G224)+('Financing Template'!G240-'Financing Template'!G242)</f>
        <v>0</v>
      </c>
      <c r="H358" s="158">
        <f>('Financing Template'!H222-'Financing Template'!H224)+('Financing Template'!H240-'Financing Template'!H242)</f>
        <v>0</v>
      </c>
      <c r="I358" s="158">
        <f>('Financing Template'!I222-'Financing Template'!I224)+('Financing Template'!I240-'Financing Template'!I242)</f>
        <v>0</v>
      </c>
      <c r="J358" s="158">
        <f>('Financing Template'!J222-'Financing Template'!J224)+('Financing Template'!J240-'Financing Template'!J242)</f>
        <v>0</v>
      </c>
      <c r="K358" s="158">
        <f>('Financing Template'!K222-'Financing Template'!K224)+('Financing Template'!K240-'Financing Template'!K242)</f>
        <v>0</v>
      </c>
      <c r="L358" s="158">
        <f>('Financing Template'!L222-'Financing Template'!L224)+('Financing Template'!L240-'Financing Template'!L242)</f>
        <v>0</v>
      </c>
      <c r="M358" s="158">
        <f>('Financing Template'!M222-'Financing Template'!M224)+('Financing Template'!M240-'Financing Template'!M242)</f>
        <v>0</v>
      </c>
      <c r="N358" s="158">
        <f>('Financing Template'!N222-'Financing Template'!N224)+('Financing Template'!N240-'Financing Template'!N242)</f>
        <v>0</v>
      </c>
      <c r="O358" s="158">
        <f>('Financing Template'!O222-'Financing Template'!O224)+('Financing Template'!O240-'Financing Template'!O242)</f>
        <v>0</v>
      </c>
      <c r="P358" s="158">
        <f>('Financing Template'!P222-'Financing Template'!P224)+('Financing Template'!P240-'Financing Template'!P242)</f>
        <v>0</v>
      </c>
      <c r="Q358" s="158">
        <f>('Financing Template'!Q222-'Financing Template'!Q224)+('Financing Template'!Q240-'Financing Template'!Q242)</f>
        <v>0</v>
      </c>
      <c r="R358" s="158">
        <f>('Financing Template'!R222-'Financing Template'!R224)+('Financing Template'!R240-'Financing Template'!R242)</f>
        <v>0</v>
      </c>
      <c r="S358" s="158">
        <f>('Financing Template'!S222-'Financing Template'!S224)+('Financing Template'!S240-'Financing Template'!S242)</f>
        <v>0</v>
      </c>
      <c r="T358" s="158">
        <f>('Financing Template'!T222-'Financing Template'!T224)+('Financing Template'!T240-'Financing Template'!T242)</f>
        <v>0</v>
      </c>
      <c r="U358" s="158">
        <f>('Financing Template'!U222-'Financing Template'!U224)+('Financing Template'!U240-'Financing Template'!U242)</f>
        <v>0</v>
      </c>
      <c r="V358" s="158">
        <f>('Financing Template'!V222-'Financing Template'!V224)+('Financing Template'!V240-'Financing Template'!V242)</f>
        <v>0</v>
      </c>
      <c r="W358" s="158">
        <f>('Financing Template'!W222-'Financing Template'!W224)+('Financing Template'!W240-'Financing Template'!W242)</f>
        <v>0</v>
      </c>
      <c r="X358" s="158">
        <f>('Financing Template'!X222-'Financing Template'!X224)+('Financing Template'!X240-'Financing Template'!X242)</f>
        <v>0</v>
      </c>
      <c r="Y358" s="158">
        <f>('Financing Template'!Y222-'Financing Template'!Y224)+('Financing Template'!Y240-'Financing Template'!Y242)</f>
        <v>0</v>
      </c>
      <c r="Z358" s="158">
        <f>('Financing Template'!Z222-'Financing Template'!Z224)+('Financing Template'!Z240-'Financing Template'!Z242)</f>
        <v>0</v>
      </c>
      <c r="AA358" s="158">
        <f>('Financing Template'!AA222-'Financing Template'!AA224)+('Financing Template'!AA240-'Financing Template'!AA242)</f>
        <v>0</v>
      </c>
    </row>
    <row r="359" spans="1:27" x14ac:dyDescent="0.45">
      <c r="A359" s="37"/>
      <c r="B359" s="4"/>
      <c r="C359" s="4"/>
      <c r="G359" s="52" t="s">
        <v>38</v>
      </c>
      <c r="H359" s="52" t="s">
        <v>38</v>
      </c>
      <c r="I359" s="52" t="s">
        <v>38</v>
      </c>
      <c r="J359" s="52" t="s">
        <v>38</v>
      </c>
      <c r="K359" s="52" t="s">
        <v>38</v>
      </c>
      <c r="L359" s="52" t="s">
        <v>38</v>
      </c>
      <c r="M359" s="52" t="s">
        <v>38</v>
      </c>
      <c r="N359" s="52" t="s">
        <v>38</v>
      </c>
      <c r="O359" s="52" t="s">
        <v>38</v>
      </c>
      <c r="P359" s="52" t="s">
        <v>38</v>
      </c>
      <c r="Q359" s="52" t="s">
        <v>38</v>
      </c>
      <c r="R359" s="52" t="s">
        <v>38</v>
      </c>
      <c r="S359" s="52" t="s">
        <v>38</v>
      </c>
      <c r="T359" s="52" t="s">
        <v>38</v>
      </c>
      <c r="U359" s="52" t="s">
        <v>38</v>
      </c>
      <c r="V359" s="52" t="s">
        <v>38</v>
      </c>
      <c r="W359" s="52" t="s">
        <v>38</v>
      </c>
      <c r="X359" s="52" t="s">
        <v>38</v>
      </c>
      <c r="Y359" s="52" t="s">
        <v>38</v>
      </c>
      <c r="Z359" s="52" t="s">
        <v>38</v>
      </c>
      <c r="AA359" s="52" t="s">
        <v>38</v>
      </c>
    </row>
    <row r="360" spans="1:27" x14ac:dyDescent="0.45">
      <c r="A360" s="37"/>
      <c r="B360" s="4"/>
      <c r="C360" s="4"/>
      <c r="D360" s="2" t="s">
        <v>63</v>
      </c>
      <c r="E360" s="3" t="s">
        <v>806</v>
      </c>
      <c r="G360" s="95">
        <f>SUM(G354:G359)</f>
        <v>0</v>
      </c>
      <c r="H360" s="95">
        <f t="shared" ref="H360:AA360" si="108">SUM(H354:H359)</f>
        <v>0</v>
      </c>
      <c r="I360" s="95">
        <f t="shared" si="108"/>
        <v>0</v>
      </c>
      <c r="J360" s="95">
        <f t="shared" si="108"/>
        <v>0</v>
      </c>
      <c r="K360" s="95">
        <f t="shared" si="108"/>
        <v>0</v>
      </c>
      <c r="L360" s="95">
        <f t="shared" si="108"/>
        <v>0</v>
      </c>
      <c r="M360" s="95">
        <f t="shared" si="108"/>
        <v>0</v>
      </c>
      <c r="N360" s="95">
        <f t="shared" si="108"/>
        <v>0</v>
      </c>
      <c r="O360" s="95">
        <f t="shared" si="108"/>
        <v>0</v>
      </c>
      <c r="P360" s="95">
        <f t="shared" si="108"/>
        <v>0</v>
      </c>
      <c r="Q360" s="95">
        <f t="shared" si="108"/>
        <v>0</v>
      </c>
      <c r="R360" s="95">
        <f t="shared" si="108"/>
        <v>0</v>
      </c>
      <c r="S360" s="95">
        <f t="shared" si="108"/>
        <v>0</v>
      </c>
      <c r="T360" s="95">
        <f t="shared" si="108"/>
        <v>0</v>
      </c>
      <c r="U360" s="95">
        <f t="shared" si="108"/>
        <v>0</v>
      </c>
      <c r="V360" s="95">
        <f t="shared" si="108"/>
        <v>0</v>
      </c>
      <c r="W360" s="95">
        <f t="shared" si="108"/>
        <v>0</v>
      </c>
      <c r="X360" s="95">
        <f t="shared" si="108"/>
        <v>0</v>
      </c>
      <c r="Y360" s="95">
        <f t="shared" si="108"/>
        <v>0</v>
      </c>
      <c r="Z360" s="95">
        <f t="shared" si="108"/>
        <v>0</v>
      </c>
      <c r="AA360" s="95">
        <f t="shared" si="108"/>
        <v>0</v>
      </c>
    </row>
    <row r="361" spans="1:27" x14ac:dyDescent="0.45">
      <c r="A361" s="37"/>
      <c r="B361" s="4"/>
      <c r="C361" s="4"/>
      <c r="D361" s="2" t="s">
        <v>64</v>
      </c>
      <c r="E361" s="3" t="s">
        <v>806</v>
      </c>
      <c r="F361" s="49"/>
      <c r="G361" s="95">
        <f>'Financing Template'!G41</f>
        <v>10000000</v>
      </c>
      <c r="H361" s="95">
        <f>'Financing Template'!H41</f>
        <v>0</v>
      </c>
      <c r="I361" s="95">
        <f>'Financing Template'!I41</f>
        <v>0</v>
      </c>
      <c r="J361" s="95">
        <f>'Financing Template'!J41</f>
        <v>0</v>
      </c>
      <c r="K361" s="95">
        <f>'Financing Template'!K41</f>
        <v>0</v>
      </c>
      <c r="L361" s="95">
        <f>'Financing Template'!L41</f>
        <v>0</v>
      </c>
      <c r="M361" s="95">
        <f>'Financing Template'!M41</f>
        <v>0</v>
      </c>
      <c r="N361" s="95">
        <f>'Financing Template'!N41</f>
        <v>0</v>
      </c>
      <c r="O361" s="95">
        <f>'Financing Template'!O41</f>
        <v>0</v>
      </c>
      <c r="P361" s="95">
        <f>'Financing Template'!P41</f>
        <v>0</v>
      </c>
      <c r="Q361" s="95">
        <f>'Financing Template'!Q41</f>
        <v>0</v>
      </c>
      <c r="R361" s="95">
        <f>'Financing Template'!R41</f>
        <v>0</v>
      </c>
      <c r="S361" s="95">
        <f>'Financing Template'!S41</f>
        <v>0</v>
      </c>
      <c r="T361" s="95">
        <f>'Financing Template'!T41</f>
        <v>0</v>
      </c>
      <c r="U361" s="95">
        <f>'Financing Template'!U41</f>
        <v>0</v>
      </c>
      <c r="V361" s="95">
        <f>'Financing Template'!V41</f>
        <v>0</v>
      </c>
      <c r="W361" s="95">
        <f>'Financing Template'!W41</f>
        <v>0</v>
      </c>
      <c r="X361" s="95">
        <f>'Financing Template'!X41</f>
        <v>0</v>
      </c>
      <c r="Y361" s="95">
        <f>'Financing Template'!Y41</f>
        <v>0</v>
      </c>
      <c r="Z361" s="95">
        <f>'Financing Template'!Z41</f>
        <v>0</v>
      </c>
      <c r="AA361" s="95">
        <f>'Financing Template'!AA41</f>
        <v>0</v>
      </c>
    </row>
    <row r="362" spans="1:27" x14ac:dyDescent="0.45">
      <c r="A362" s="37"/>
      <c r="B362" s="4"/>
      <c r="C362" s="4"/>
      <c r="D362" s="2" t="s">
        <v>65</v>
      </c>
      <c r="E362" s="3" t="s">
        <v>806</v>
      </c>
      <c r="G362" s="49">
        <f>('Financing Template'!G145-'Financing Template'!G148)+('Financing Template'!G165-'Financing Template'!G168)</f>
        <v>0</v>
      </c>
      <c r="H362" s="49">
        <f>('Financing Template'!H145-'Financing Template'!H148)+('Financing Template'!H165-'Financing Template'!H168)</f>
        <v>0</v>
      </c>
      <c r="I362" s="49">
        <f>('Financing Template'!I145-'Financing Template'!I148)+('Financing Template'!I165-'Financing Template'!I168)</f>
        <v>0</v>
      </c>
      <c r="J362" s="49">
        <f>('Financing Template'!J145-'Financing Template'!J148)+('Financing Template'!J165-'Financing Template'!J168)</f>
        <v>0</v>
      </c>
      <c r="K362" s="49">
        <f>('Financing Template'!K145-'Financing Template'!K148)+('Financing Template'!K165-'Financing Template'!K168)</f>
        <v>0</v>
      </c>
      <c r="L362" s="49">
        <f>('Financing Template'!L145-'Financing Template'!L148)+('Financing Template'!L165-'Financing Template'!L168)</f>
        <v>0</v>
      </c>
      <c r="M362" s="49">
        <f>('Financing Template'!M145-'Financing Template'!M148)+('Financing Template'!M165-'Financing Template'!M168)</f>
        <v>0</v>
      </c>
      <c r="N362" s="49">
        <f>('Financing Template'!N145-'Financing Template'!N148)+('Financing Template'!N165-'Financing Template'!N168)</f>
        <v>0</v>
      </c>
      <c r="O362" s="49">
        <f>('Financing Template'!O145-'Financing Template'!O148)+('Financing Template'!O165-'Financing Template'!O168)</f>
        <v>0</v>
      </c>
      <c r="P362" s="49">
        <f>('Financing Template'!P145-'Financing Template'!P148)+('Financing Template'!P165-'Financing Template'!P168)</f>
        <v>0</v>
      </c>
      <c r="Q362" s="49">
        <f>('Financing Template'!Q145-'Financing Template'!Q148)+('Financing Template'!Q165-'Financing Template'!Q168)</f>
        <v>0</v>
      </c>
      <c r="R362" s="49">
        <f>('Financing Template'!R145-'Financing Template'!R148)+('Financing Template'!R165-'Financing Template'!R168)</f>
        <v>0</v>
      </c>
      <c r="S362" s="49">
        <f>('Financing Template'!S145-'Financing Template'!S148)+('Financing Template'!S165-'Financing Template'!S168)</f>
        <v>0</v>
      </c>
      <c r="T362" s="49">
        <f>('Financing Template'!T145-'Financing Template'!T148)+('Financing Template'!T165-'Financing Template'!T168)</f>
        <v>0</v>
      </c>
      <c r="U362" s="49">
        <f>('Financing Template'!U145-'Financing Template'!U148)+('Financing Template'!U165-'Financing Template'!U168)</f>
        <v>0</v>
      </c>
      <c r="V362" s="49">
        <f>('Financing Template'!V145-'Financing Template'!V148)+('Financing Template'!V165-'Financing Template'!V168)</f>
        <v>0</v>
      </c>
      <c r="W362" s="49">
        <f>('Financing Template'!W145-'Financing Template'!W148)+('Financing Template'!W165-'Financing Template'!W168)</f>
        <v>0</v>
      </c>
      <c r="X362" s="49">
        <f>('Financing Template'!X145-'Financing Template'!X148)+('Financing Template'!X165-'Financing Template'!X168)</f>
        <v>0</v>
      </c>
      <c r="Y362" s="49">
        <f>('Financing Template'!Y145-'Financing Template'!Y148)+('Financing Template'!Y165-'Financing Template'!Y168)</f>
        <v>0</v>
      </c>
      <c r="Z362" s="49">
        <f>('Financing Template'!Z145-'Financing Template'!Z148)+('Financing Template'!Z165-'Financing Template'!Z168)</f>
        <v>0</v>
      </c>
      <c r="AA362" s="49">
        <f>('Financing Template'!AA145-'Financing Template'!AA148)+('Financing Template'!AA165-'Financing Template'!AA168)</f>
        <v>0</v>
      </c>
    </row>
    <row r="363" spans="1:27" x14ac:dyDescent="0.45">
      <c r="A363" s="37"/>
      <c r="B363" s="4"/>
      <c r="C363" s="4"/>
      <c r="G363" s="52" t="s">
        <v>38</v>
      </c>
      <c r="H363" s="52" t="s">
        <v>38</v>
      </c>
      <c r="I363" s="52" t="s">
        <v>38</v>
      </c>
      <c r="J363" s="52" t="s">
        <v>38</v>
      </c>
      <c r="K363" s="52" t="s">
        <v>38</v>
      </c>
      <c r="L363" s="52" t="s">
        <v>38</v>
      </c>
      <c r="M363" s="52" t="s">
        <v>38</v>
      </c>
      <c r="N363" s="52" t="s">
        <v>38</v>
      </c>
      <c r="O363" s="52" t="s">
        <v>38</v>
      </c>
      <c r="P363" s="52" t="s">
        <v>38</v>
      </c>
      <c r="Q363" s="52" t="s">
        <v>38</v>
      </c>
      <c r="R363" s="52" t="s">
        <v>38</v>
      </c>
      <c r="S363" s="52" t="s">
        <v>38</v>
      </c>
      <c r="T363" s="52" t="s">
        <v>38</v>
      </c>
      <c r="U363" s="52" t="s">
        <v>38</v>
      </c>
      <c r="V363" s="52" t="s">
        <v>38</v>
      </c>
      <c r="W363" s="52" t="s">
        <v>38</v>
      </c>
      <c r="X363" s="52" t="s">
        <v>38</v>
      </c>
      <c r="Y363" s="52" t="s">
        <v>38</v>
      </c>
      <c r="Z363" s="52" t="s">
        <v>38</v>
      </c>
      <c r="AA363" s="52" t="s">
        <v>38</v>
      </c>
    </row>
    <row r="364" spans="1:27" x14ac:dyDescent="0.45">
      <c r="A364" s="37"/>
      <c r="B364" s="4"/>
      <c r="C364" s="4"/>
      <c r="D364" s="2" t="s">
        <v>66</v>
      </c>
      <c r="G364" s="49">
        <f ca="1">G353+SUM(G360:G363)</f>
        <v>596774.65500491671</v>
      </c>
      <c r="H364" s="49">
        <f t="shared" ref="H364:U364" ca="1" si="109">H353+SUM(H360:H363)</f>
        <v>-37023.210111251567</v>
      </c>
      <c r="I364" s="49">
        <f t="shared" ca="1" si="109"/>
        <v>2769261.6764734462</v>
      </c>
      <c r="J364" s="49">
        <f t="shared" ca="1" si="109"/>
        <v>2216397.407748153</v>
      </c>
      <c r="K364" s="49">
        <f t="shared" ca="1" si="109"/>
        <v>2343573.6371227214</v>
      </c>
      <c r="L364" s="49">
        <f ca="1">L353+SUM(L360:L363)</f>
        <v>2482992.8989472711</v>
      </c>
      <c r="M364" s="49">
        <f t="shared" ca="1" si="109"/>
        <v>2629174.8487205287</v>
      </c>
      <c r="N364" s="49">
        <f t="shared" ca="1" si="109"/>
        <v>2782370.1340690199</v>
      </c>
      <c r="O364" s="49">
        <f t="shared" ca="1" si="109"/>
        <v>2942891.8275054055</v>
      </c>
      <c r="P364" s="49">
        <f t="shared" ca="1" si="109"/>
        <v>3111067.0375436642</v>
      </c>
      <c r="Q364" s="49">
        <f t="shared" ca="1" si="109"/>
        <v>3287237.0692137866</v>
      </c>
      <c r="R364" s="49">
        <f t="shared" ca="1" si="109"/>
        <v>3471758.0283927973</v>
      </c>
      <c r="S364" s="49">
        <f t="shared" ca="1" si="109"/>
        <v>3665001.4556446504</v>
      </c>
      <c r="T364" s="49">
        <f ca="1">T353+SUM(T360:T363)</f>
        <v>3867354.9870822672</v>
      </c>
      <c r="U364" s="49">
        <f t="shared" ca="1" si="109"/>
        <v>4079223.0433670427</v>
      </c>
      <c r="V364" s="49">
        <f t="shared" ref="V364:AA364" ca="1" si="110">V353+SUM(V360:V363)</f>
        <v>4301027.5480402922</v>
      </c>
      <c r="W364" s="49">
        <f t="shared" ca="1" si="110"/>
        <v>4533208.6764322184</v>
      </c>
      <c r="X364" s="49">
        <f t="shared" ca="1" si="110"/>
        <v>4776225.6364467172</v>
      </c>
      <c r="Y364" s="49">
        <f t="shared" ca="1" si="110"/>
        <v>5030557.4825754119</v>
      </c>
      <c r="Z364" s="49">
        <f t="shared" ca="1" si="110"/>
        <v>5296703.9645516826</v>
      </c>
      <c r="AA364" s="49">
        <f t="shared" ca="1" si="110"/>
        <v>5575186.4121154556</v>
      </c>
    </row>
    <row r="365" spans="1:27" x14ac:dyDescent="0.45">
      <c r="A365" s="37"/>
      <c r="B365" s="4"/>
      <c r="C365" s="4"/>
      <c r="G365" s="53">
        <f ca="1">G361/G353</f>
        <v>-1.0634648892385157</v>
      </c>
      <c r="H365" s="49"/>
      <c r="I365" s="49"/>
      <c r="J365" s="49"/>
      <c r="K365" s="49"/>
      <c r="L365" s="49"/>
      <c r="M365" s="49"/>
      <c r="N365" s="49"/>
      <c r="O365" s="49"/>
      <c r="P365" s="49"/>
      <c r="Q365" s="49"/>
      <c r="R365" s="49"/>
      <c r="S365" s="49"/>
      <c r="T365" s="49"/>
      <c r="U365" s="49"/>
      <c r="V365" s="49"/>
      <c r="W365" s="49"/>
      <c r="X365" s="49"/>
      <c r="Y365" s="49"/>
      <c r="Z365" s="49"/>
      <c r="AA365" s="49"/>
    </row>
    <row r="366" spans="1:27" x14ac:dyDescent="0.45">
      <c r="A366" s="37"/>
      <c r="B366" s="4" t="s">
        <v>67</v>
      </c>
      <c r="C366" s="4"/>
      <c r="E366" s="23" t="s">
        <v>68</v>
      </c>
      <c r="G366" s="49"/>
      <c r="H366" s="49"/>
      <c r="I366" s="49"/>
      <c r="J366" s="49"/>
      <c r="K366" s="49"/>
      <c r="L366" s="49"/>
      <c r="M366" s="49"/>
      <c r="N366" s="49"/>
      <c r="O366" s="49"/>
      <c r="P366" s="49"/>
      <c r="Q366" s="49"/>
      <c r="R366" s="49"/>
      <c r="S366" s="49"/>
      <c r="T366" s="49"/>
      <c r="U366" s="49"/>
      <c r="V366" s="49"/>
      <c r="W366" s="49"/>
      <c r="X366" s="49"/>
      <c r="Y366" s="49"/>
      <c r="Z366" s="49"/>
      <c r="AA366" s="49"/>
    </row>
    <row r="367" spans="1:27" x14ac:dyDescent="0.45">
      <c r="A367" s="37"/>
      <c r="D367" s="2" t="s">
        <v>69</v>
      </c>
      <c r="E367" s="23">
        <v>0</v>
      </c>
      <c r="G367" s="49">
        <f t="shared" ref="G367:AA367" si="111">$E367/365*G266</f>
        <v>0</v>
      </c>
      <c r="H367" s="49">
        <f t="shared" si="111"/>
        <v>0</v>
      </c>
      <c r="I367" s="49">
        <f t="shared" si="111"/>
        <v>0</v>
      </c>
      <c r="J367" s="49">
        <f t="shared" si="111"/>
        <v>0</v>
      </c>
      <c r="K367" s="49">
        <f t="shared" si="111"/>
        <v>0</v>
      </c>
      <c r="L367" s="49">
        <f t="shared" si="111"/>
        <v>0</v>
      </c>
      <c r="M367" s="49">
        <f t="shared" si="111"/>
        <v>0</v>
      </c>
      <c r="N367" s="49">
        <f t="shared" si="111"/>
        <v>0</v>
      </c>
      <c r="O367" s="49">
        <f t="shared" si="111"/>
        <v>0</v>
      </c>
      <c r="P367" s="49">
        <f t="shared" si="111"/>
        <v>0</v>
      </c>
      <c r="Q367" s="49">
        <f t="shared" si="111"/>
        <v>0</v>
      </c>
      <c r="R367" s="49">
        <f t="shared" si="111"/>
        <v>0</v>
      </c>
      <c r="S367" s="49">
        <f t="shared" si="111"/>
        <v>0</v>
      </c>
      <c r="T367" s="49">
        <f t="shared" si="111"/>
        <v>0</v>
      </c>
      <c r="U367" s="49">
        <f t="shared" si="111"/>
        <v>0</v>
      </c>
      <c r="V367" s="49">
        <f t="shared" si="111"/>
        <v>0</v>
      </c>
      <c r="W367" s="49">
        <f t="shared" si="111"/>
        <v>0</v>
      </c>
      <c r="X367" s="49">
        <f t="shared" si="111"/>
        <v>0</v>
      </c>
      <c r="Y367" s="49">
        <f t="shared" si="111"/>
        <v>0</v>
      </c>
      <c r="Z367" s="49">
        <f t="shared" si="111"/>
        <v>0</v>
      </c>
      <c r="AA367" s="49">
        <f t="shared" si="111"/>
        <v>0</v>
      </c>
    </row>
    <row r="368" spans="1:27" x14ac:dyDescent="0.45">
      <c r="A368" s="37"/>
      <c r="D368" s="2" t="s">
        <v>70</v>
      </c>
      <c r="E368" s="23">
        <v>270</v>
      </c>
      <c r="G368" s="49">
        <f>$E368/365*G206</f>
        <v>1574728.7671232875</v>
      </c>
      <c r="H368" s="49">
        <f>$E368/365*H206</f>
        <v>4403985.5342465751</v>
      </c>
      <c r="I368" s="49">
        <f>$E368/365*I206</f>
        <v>4492065.2449315069</v>
      </c>
      <c r="J368" s="49">
        <f t="shared" ref="J368:AA368" si="112">$E368/365*J206</f>
        <v>4581906.5498301368</v>
      </c>
      <c r="K368" s="49">
        <f t="shared" si="112"/>
        <v>4673544.6808267394</v>
      </c>
      <c r="L368" s="49">
        <f t="shared" si="112"/>
        <v>4767015.5744432751</v>
      </c>
      <c r="M368" s="49">
        <f t="shared" si="112"/>
        <v>4862355.8859321401</v>
      </c>
      <c r="N368" s="49">
        <f t="shared" si="112"/>
        <v>4959603.0036507826</v>
      </c>
      <c r="O368" s="49">
        <f t="shared" si="112"/>
        <v>5058795.0637237988</v>
      </c>
      <c r="P368" s="49">
        <f t="shared" si="112"/>
        <v>5159970.964998275</v>
      </c>
      <c r="Q368" s="49">
        <f t="shared" si="112"/>
        <v>5263170.3842982398</v>
      </c>
      <c r="R368" s="49">
        <f t="shared" si="112"/>
        <v>5368433.7919842051</v>
      </c>
      <c r="S368" s="49">
        <f t="shared" si="112"/>
        <v>5475802.4678238891</v>
      </c>
      <c r="T368" s="49">
        <f t="shared" si="112"/>
        <v>5585318.5171803674</v>
      </c>
      <c r="U368" s="49">
        <f t="shared" si="112"/>
        <v>5697024.8875239752</v>
      </c>
      <c r="V368" s="49">
        <f t="shared" si="112"/>
        <v>5810965.385274455</v>
      </c>
      <c r="W368" s="49">
        <f t="shared" si="112"/>
        <v>5927184.6929799439</v>
      </c>
      <c r="X368" s="49">
        <f t="shared" si="112"/>
        <v>6045728.3868395435</v>
      </c>
      <c r="Y368" s="49">
        <f t="shared" si="112"/>
        <v>6166642.9545763331</v>
      </c>
      <c r="Z368" s="49">
        <f t="shared" si="112"/>
        <v>6289975.8136678599</v>
      </c>
      <c r="AA368" s="49">
        <f t="shared" si="112"/>
        <v>6415775.3299412169</v>
      </c>
    </row>
    <row r="369" spans="1:27" x14ac:dyDescent="0.45">
      <c r="A369" s="37"/>
      <c r="D369" s="2" t="s">
        <v>71</v>
      </c>
      <c r="E369" s="23">
        <v>0</v>
      </c>
      <c r="G369" s="49">
        <f t="shared" ref="G369:AA369" si="113">$E369/365*G268</f>
        <v>0</v>
      </c>
      <c r="H369" s="49">
        <f t="shared" si="113"/>
        <v>0</v>
      </c>
      <c r="I369" s="49">
        <f t="shared" si="113"/>
        <v>0</v>
      </c>
      <c r="J369" s="49">
        <f t="shared" si="113"/>
        <v>0</v>
      </c>
      <c r="K369" s="49">
        <f t="shared" si="113"/>
        <v>0</v>
      </c>
      <c r="L369" s="49">
        <f t="shared" si="113"/>
        <v>0</v>
      </c>
      <c r="M369" s="49">
        <f t="shared" si="113"/>
        <v>0</v>
      </c>
      <c r="N369" s="49">
        <f t="shared" si="113"/>
        <v>0</v>
      </c>
      <c r="O369" s="49">
        <f t="shared" si="113"/>
        <v>0</v>
      </c>
      <c r="P369" s="49">
        <f t="shared" si="113"/>
        <v>0</v>
      </c>
      <c r="Q369" s="49">
        <f t="shared" si="113"/>
        <v>0</v>
      </c>
      <c r="R369" s="49">
        <f t="shared" si="113"/>
        <v>0</v>
      </c>
      <c r="S369" s="49">
        <f t="shared" si="113"/>
        <v>0</v>
      </c>
      <c r="T369" s="49">
        <f t="shared" si="113"/>
        <v>0</v>
      </c>
      <c r="U369" s="49">
        <f t="shared" si="113"/>
        <v>0</v>
      </c>
      <c r="V369" s="49">
        <f t="shared" si="113"/>
        <v>0</v>
      </c>
      <c r="W369" s="49">
        <f t="shared" si="113"/>
        <v>0</v>
      </c>
      <c r="X369" s="49">
        <f t="shared" si="113"/>
        <v>0</v>
      </c>
      <c r="Y369" s="49">
        <f t="shared" si="113"/>
        <v>0</v>
      </c>
      <c r="Z369" s="49">
        <f t="shared" si="113"/>
        <v>0</v>
      </c>
      <c r="AA369" s="49">
        <f t="shared" si="113"/>
        <v>0</v>
      </c>
    </row>
    <row r="370" spans="1:27" x14ac:dyDescent="0.45">
      <c r="A370" s="37"/>
      <c r="D370" s="2" t="s">
        <v>72</v>
      </c>
      <c r="E370" s="23">
        <v>0</v>
      </c>
      <c r="G370" s="49">
        <f t="shared" ref="G370:AA370" si="114">-$E370/365*G270</f>
        <v>0</v>
      </c>
      <c r="H370" s="49">
        <f t="shared" si="114"/>
        <v>0</v>
      </c>
      <c r="I370" s="49">
        <f t="shared" si="114"/>
        <v>0</v>
      </c>
      <c r="J370" s="49">
        <f t="shared" si="114"/>
        <v>0</v>
      </c>
      <c r="K370" s="49">
        <f t="shared" si="114"/>
        <v>0</v>
      </c>
      <c r="L370" s="49">
        <f t="shared" si="114"/>
        <v>0</v>
      </c>
      <c r="M370" s="49">
        <f t="shared" si="114"/>
        <v>0</v>
      </c>
      <c r="N370" s="49">
        <f t="shared" si="114"/>
        <v>0</v>
      </c>
      <c r="O370" s="49">
        <f t="shared" si="114"/>
        <v>0</v>
      </c>
      <c r="P370" s="49">
        <f t="shared" si="114"/>
        <v>0</v>
      </c>
      <c r="Q370" s="49">
        <f t="shared" si="114"/>
        <v>0</v>
      </c>
      <c r="R370" s="49">
        <f t="shared" si="114"/>
        <v>0</v>
      </c>
      <c r="S370" s="49">
        <f t="shared" si="114"/>
        <v>0</v>
      </c>
      <c r="T370" s="49">
        <f t="shared" si="114"/>
        <v>0</v>
      </c>
      <c r="U370" s="49">
        <f t="shared" si="114"/>
        <v>0</v>
      </c>
      <c r="V370" s="49">
        <f t="shared" si="114"/>
        <v>0</v>
      </c>
      <c r="W370" s="49">
        <f t="shared" si="114"/>
        <v>0</v>
      </c>
      <c r="X370" s="49">
        <f t="shared" si="114"/>
        <v>0</v>
      </c>
      <c r="Y370" s="49">
        <f t="shared" si="114"/>
        <v>0</v>
      </c>
      <c r="Z370" s="49">
        <f t="shared" si="114"/>
        <v>0</v>
      </c>
      <c r="AA370" s="49">
        <f t="shared" si="114"/>
        <v>0</v>
      </c>
    </row>
    <row r="371" spans="1:27" x14ac:dyDescent="0.45">
      <c r="A371" s="37"/>
      <c r="G371" s="52" t="s">
        <v>38</v>
      </c>
      <c r="H371" s="52" t="s">
        <v>38</v>
      </c>
      <c r="I371" s="52" t="s">
        <v>38</v>
      </c>
      <c r="J371" s="52" t="s">
        <v>38</v>
      </c>
      <c r="K371" s="52" t="s">
        <v>38</v>
      </c>
      <c r="L371" s="52" t="s">
        <v>38</v>
      </c>
      <c r="M371" s="52" t="s">
        <v>38</v>
      </c>
      <c r="N371" s="52" t="s">
        <v>38</v>
      </c>
      <c r="O371" s="52" t="s">
        <v>38</v>
      </c>
      <c r="P371" s="52" t="s">
        <v>38</v>
      </c>
      <c r="Q371" s="52" t="s">
        <v>38</v>
      </c>
      <c r="R371" s="52" t="s">
        <v>38</v>
      </c>
      <c r="S371" s="52" t="s">
        <v>38</v>
      </c>
      <c r="T371" s="52" t="s">
        <v>38</v>
      </c>
      <c r="U371" s="52" t="s">
        <v>38</v>
      </c>
      <c r="V371" s="52" t="s">
        <v>38</v>
      </c>
      <c r="W371" s="52" t="s">
        <v>38</v>
      </c>
      <c r="X371" s="52" t="s">
        <v>38</v>
      </c>
      <c r="Y371" s="52" t="s">
        <v>38</v>
      </c>
      <c r="Z371" s="52" t="s">
        <v>38</v>
      </c>
      <c r="AA371" s="52" t="s">
        <v>38</v>
      </c>
    </row>
    <row r="372" spans="1:27" x14ac:dyDescent="0.45">
      <c r="A372" s="37"/>
      <c r="D372" s="2" t="s">
        <v>36</v>
      </c>
      <c r="G372" s="49">
        <f t="shared" ref="G372:U372" si="115">SUM(G367:G370)</f>
        <v>1574728.7671232875</v>
      </c>
      <c r="H372" s="49">
        <f t="shared" si="115"/>
        <v>4403985.5342465751</v>
      </c>
      <c r="I372" s="49">
        <f t="shared" si="115"/>
        <v>4492065.2449315069</v>
      </c>
      <c r="J372" s="49">
        <f t="shared" si="115"/>
        <v>4581906.5498301368</v>
      </c>
      <c r="K372" s="49">
        <f t="shared" si="115"/>
        <v>4673544.6808267394</v>
      </c>
      <c r="L372" s="49">
        <f>SUM(L367:L370)</f>
        <v>4767015.5744432751</v>
      </c>
      <c r="M372" s="49">
        <f t="shared" si="115"/>
        <v>4862355.8859321401</v>
      </c>
      <c r="N372" s="49">
        <f t="shared" si="115"/>
        <v>4959603.0036507826</v>
      </c>
      <c r="O372" s="49">
        <f t="shared" si="115"/>
        <v>5058795.0637237988</v>
      </c>
      <c r="P372" s="49">
        <f t="shared" si="115"/>
        <v>5159970.964998275</v>
      </c>
      <c r="Q372" s="49">
        <f t="shared" si="115"/>
        <v>5263170.3842982398</v>
      </c>
      <c r="R372" s="49">
        <f t="shared" si="115"/>
        <v>5368433.7919842051</v>
      </c>
      <c r="S372" s="49">
        <f t="shared" si="115"/>
        <v>5475802.4678238891</v>
      </c>
      <c r="T372" s="49">
        <f t="shared" si="115"/>
        <v>5585318.5171803674</v>
      </c>
      <c r="U372" s="49">
        <f t="shared" si="115"/>
        <v>5697024.8875239752</v>
      </c>
      <c r="V372" s="49">
        <f t="shared" ref="V372:AA372" si="116">SUM(V367:V370)</f>
        <v>5810965.385274455</v>
      </c>
      <c r="W372" s="49">
        <f t="shared" si="116"/>
        <v>5927184.6929799439</v>
      </c>
      <c r="X372" s="49">
        <f t="shared" si="116"/>
        <v>6045728.3868395435</v>
      </c>
      <c r="Y372" s="49">
        <f t="shared" si="116"/>
        <v>6166642.9545763331</v>
      </c>
      <c r="Z372" s="49">
        <f t="shared" si="116"/>
        <v>6289975.8136678599</v>
      </c>
      <c r="AA372" s="49">
        <f t="shared" si="116"/>
        <v>6415775.3299412169</v>
      </c>
    </row>
    <row r="373" spans="1:27" x14ac:dyDescent="0.45">
      <c r="A373" s="37"/>
      <c r="G373" s="49"/>
      <c r="H373" s="49"/>
      <c r="I373" s="49"/>
      <c r="J373" s="49"/>
      <c r="K373" s="49"/>
      <c r="L373" s="49"/>
      <c r="M373" s="49"/>
      <c r="N373" s="49"/>
      <c r="O373" s="49"/>
      <c r="P373" s="49"/>
      <c r="Q373" s="49"/>
      <c r="R373" s="49"/>
      <c r="S373" s="49"/>
      <c r="T373" s="49"/>
      <c r="U373" s="49"/>
      <c r="V373" s="49"/>
      <c r="W373" s="49"/>
      <c r="X373" s="49"/>
      <c r="Y373" s="49"/>
      <c r="Z373" s="49"/>
      <c r="AA373" s="49"/>
    </row>
    <row r="374" spans="1:27" x14ac:dyDescent="0.45">
      <c r="A374" s="37"/>
      <c r="B374" s="54" t="s">
        <v>28</v>
      </c>
      <c r="C374" s="54"/>
      <c r="G374" s="49"/>
      <c r="H374" s="49"/>
      <c r="I374" s="49"/>
      <c r="J374" s="49"/>
      <c r="K374" s="49"/>
      <c r="L374" s="49"/>
      <c r="M374" s="49"/>
      <c r="N374" s="49"/>
      <c r="O374" s="49"/>
      <c r="P374" s="49"/>
      <c r="Q374" s="49"/>
      <c r="R374" s="49"/>
      <c r="S374" s="49"/>
      <c r="T374" s="49"/>
      <c r="U374" s="49"/>
      <c r="V374" s="49"/>
      <c r="W374" s="49"/>
      <c r="X374" s="49"/>
      <c r="Y374" s="49"/>
      <c r="Z374" s="49"/>
      <c r="AA374" s="49"/>
    </row>
    <row r="375" spans="1:27" x14ac:dyDescent="0.45">
      <c r="A375" s="37"/>
      <c r="B375" s="4"/>
      <c r="C375" s="4"/>
      <c r="D375" s="55" t="s">
        <v>73</v>
      </c>
      <c r="G375" s="56">
        <f t="shared" ref="G375:U375" ca="1" si="117">G350/G376</f>
        <v>5.8252427184466035E-2</v>
      </c>
      <c r="H375" s="56">
        <f t="shared" ca="1" si="117"/>
        <v>7.257820566022212E-2</v>
      </c>
      <c r="I375" s="56">
        <f t="shared" ca="1" si="117"/>
        <v>6.2605937134575407E-2</v>
      </c>
      <c r="J375" s="56">
        <f t="shared" ca="1" si="117"/>
        <v>6.0201697042308121E-2</v>
      </c>
      <c r="K375" s="56">
        <f t="shared" ca="1" si="117"/>
        <v>5.9568072261826463E-2</v>
      </c>
      <c r="L375" s="56">
        <f t="shared" ca="1" si="117"/>
        <v>5.9241349329059854E-2</v>
      </c>
      <c r="M375" s="56">
        <f t="shared" ca="1" si="117"/>
        <v>5.9041800234552556E-2</v>
      </c>
      <c r="N375" s="56">
        <f t="shared" ca="1" si="117"/>
        <v>5.8907268586859511E-2</v>
      </c>
      <c r="O375" s="56">
        <f t="shared" ca="1" si="117"/>
        <v>5.8810430538130377E-2</v>
      </c>
      <c r="P375" s="56">
        <f t="shared" ca="1" si="117"/>
        <v>5.8737392177899202E-2</v>
      </c>
      <c r="Q375" s="56">
        <f t="shared" ca="1" si="117"/>
        <v>5.8680341264555097E-2</v>
      </c>
      <c r="R375" s="56">
        <f t="shared" ca="1" si="117"/>
        <v>5.863454783604416E-2</v>
      </c>
      <c r="S375" s="56">
        <f t="shared" ca="1" si="117"/>
        <v>5.8596980555016186E-2</v>
      </c>
      <c r="T375" s="56">
        <f t="shared" ca="1" si="117"/>
        <v>5.8565607005853407E-2</v>
      </c>
      <c r="U375" s="56">
        <f t="shared" ca="1" si="117"/>
        <v>5.8539013535098626E-2</v>
      </c>
      <c r="V375" s="56">
        <f t="shared" ref="V375:AA375" ca="1" si="118">V350/V376</f>
        <v>5.8516186425084687E-2</v>
      </c>
      <c r="W375" s="56">
        <f t="shared" ca="1" si="118"/>
        <v>5.8496379799153571E-2</v>
      </c>
      <c r="X375" s="56">
        <f t="shared" ca="1" si="118"/>
        <v>5.8479032638285092E-2</v>
      </c>
      <c r="Y375" s="56">
        <f t="shared" ca="1" si="118"/>
        <v>5.8463714849833294E-2</v>
      </c>
      <c r="Z375" s="56">
        <f t="shared" ca="1" si="118"/>
        <v>5.8450091176397517E-2</v>
      </c>
      <c r="AA375" s="56">
        <f t="shared" ca="1" si="118"/>
        <v>5.8437896419601468E-2</v>
      </c>
    </row>
    <row r="376" spans="1:27" x14ac:dyDescent="0.45">
      <c r="A376" s="37"/>
      <c r="B376" s="4"/>
      <c r="C376" s="4"/>
      <c r="D376" s="55" t="s">
        <v>74</v>
      </c>
      <c r="E376" s="3"/>
      <c r="G376" s="49">
        <f ca="1">((-F303+F317)+(-G303+G317))/2</f>
        <v>-298387.32750245836</v>
      </c>
      <c r="H376" s="49">
        <f t="shared" ref="H376:AA376" ca="1" si="119">((-G303+G317)+(-H303+H317))/2</f>
        <v>-578263.04994929093</v>
      </c>
      <c r="I376" s="49">
        <f t="shared" ca="1" si="119"/>
        <v>-1944382.2831303882</v>
      </c>
      <c r="J376" s="49">
        <f t="shared" ca="1" si="119"/>
        <v>-4437211.8252411876</v>
      </c>
      <c r="K376" s="49">
        <f t="shared" ca="1" si="119"/>
        <v>-6717197.3476766255</v>
      </c>
      <c r="L376" s="49">
        <f t="shared" ca="1" si="119"/>
        <v>-9130480.6157116219</v>
      </c>
      <c r="M376" s="49">
        <f t="shared" ca="1" si="119"/>
        <v>-11686564.48954552</v>
      </c>
      <c r="N376" s="49">
        <f t="shared" ca="1" si="119"/>
        <v>-14392336.980940294</v>
      </c>
      <c r="O376" s="49">
        <f t="shared" ca="1" si="119"/>
        <v>-17254967.961727507</v>
      </c>
      <c r="P376" s="49">
        <f t="shared" ca="1" si="119"/>
        <v>-20281947.394252039</v>
      </c>
      <c r="Q376" s="49">
        <f t="shared" ca="1" si="119"/>
        <v>-23481099.447630767</v>
      </c>
      <c r="R376" s="49">
        <f t="shared" ca="1" si="119"/>
        <v>-26860596.996434059</v>
      </c>
      <c r="S376" s="49">
        <f t="shared" ca="1" si="119"/>
        <v>-30428976.738452785</v>
      </c>
      <c r="T376" s="49">
        <f t="shared" ca="1" si="119"/>
        <v>-34195154.959816247</v>
      </c>
      <c r="U376" s="49">
        <f t="shared" ca="1" si="119"/>
        <v>-38168443.975040898</v>
      </c>
      <c r="V376" s="49">
        <f t="shared" ca="1" si="119"/>
        <v>-42358569.270744562</v>
      </c>
      <c r="W376" s="49">
        <f t="shared" ca="1" si="119"/>
        <v>-46775687.382980824</v>
      </c>
      <c r="X376" s="49">
        <f t="shared" ca="1" si="119"/>
        <v>-51430404.539420292</v>
      </c>
      <c r="Y376" s="49">
        <f t="shared" ca="1" si="119"/>
        <v>-56333796.098931357</v>
      </c>
      <c r="Z376" s="49">
        <f t="shared" ca="1" si="119"/>
        <v>-61497426.822494894</v>
      </c>
      <c r="AA376" s="49">
        <f t="shared" ca="1" si="119"/>
        <v>-66933372.010828465</v>
      </c>
    </row>
    <row r="377" spans="1:27" x14ac:dyDescent="0.45">
      <c r="A377" s="37"/>
      <c r="G377" s="49"/>
      <c r="H377" s="49"/>
      <c r="I377" s="49"/>
      <c r="J377" s="49"/>
      <c r="K377" s="49"/>
      <c r="L377" s="49"/>
      <c r="M377" s="49"/>
      <c r="N377" s="49"/>
      <c r="O377" s="49"/>
      <c r="P377" s="49"/>
      <c r="Q377" s="49"/>
      <c r="R377" s="49"/>
      <c r="S377" s="49"/>
      <c r="T377" s="49"/>
      <c r="U377" s="49"/>
      <c r="V377" s="49"/>
      <c r="W377" s="49"/>
      <c r="X377" s="49"/>
      <c r="Y377" s="49"/>
      <c r="Z377" s="49"/>
      <c r="AA377" s="49"/>
    </row>
    <row r="378" spans="1:27" x14ac:dyDescent="0.45">
      <c r="A378" s="37"/>
      <c r="B378" s="4" t="s">
        <v>75</v>
      </c>
      <c r="C378" s="4"/>
      <c r="G378" s="49"/>
      <c r="H378" s="49"/>
      <c r="I378" s="49"/>
      <c r="J378" s="49"/>
      <c r="K378" s="49"/>
      <c r="L378" s="49"/>
      <c r="M378" s="49"/>
      <c r="N378" s="49"/>
      <c r="O378" s="49"/>
      <c r="P378" s="49"/>
      <c r="Q378" s="49"/>
      <c r="R378" s="49"/>
      <c r="S378" s="49"/>
      <c r="T378" s="49"/>
      <c r="U378" s="49"/>
      <c r="V378" s="49"/>
      <c r="W378" s="49"/>
      <c r="X378" s="49"/>
      <c r="Y378" s="49"/>
      <c r="Z378" s="49"/>
      <c r="AA378" s="49"/>
    </row>
    <row r="379" spans="1:27" x14ac:dyDescent="0.45">
      <c r="A379" s="37"/>
      <c r="D379" s="2" t="s">
        <v>76</v>
      </c>
      <c r="E379" s="3" t="s">
        <v>806</v>
      </c>
      <c r="G379" s="49">
        <f t="shared" ref="G379:AA379" ca="1" si="120">G286</f>
        <v>-711385.62368784007</v>
      </c>
      <c r="H379" s="49">
        <f t="shared" ca="1" si="120"/>
        <v>780523.92481203389</v>
      </c>
      <c r="I379" s="49">
        <f t="shared" ca="1" si="120"/>
        <v>821214.04453752877</v>
      </c>
      <c r="J379" s="49">
        <f t="shared" ca="1" si="120"/>
        <v>881930.57115927106</v>
      </c>
      <c r="K379" s="49">
        <f t="shared" ca="1" si="120"/>
        <v>939270.54385780101</v>
      </c>
      <c r="L379" s="49">
        <f t="shared" ca="1" si="120"/>
        <v>999289.90303235478</v>
      </c>
      <c r="M379" s="49">
        <f t="shared" ca="1" si="120"/>
        <v>1062161.7163106797</v>
      </c>
      <c r="N379" s="49">
        <f t="shared" ca="1" si="120"/>
        <v>1128013.4949045866</v>
      </c>
      <c r="O379" s="49">
        <f t="shared" ca="1" si="120"/>
        <v>1196977.8184996534</v>
      </c>
      <c r="P379" s="49">
        <f t="shared" ca="1" si="120"/>
        <v>1269193.0062153495</v>
      </c>
      <c r="Q379" s="49">
        <f t="shared" ca="1" si="120"/>
        <v>1344803.3662093072</v>
      </c>
      <c r="R379" s="49">
        <f t="shared" ca="1" si="120"/>
        <v>1423959.4520229751</v>
      </c>
      <c r="S379" s="49">
        <f t="shared" ca="1" si="120"/>
        <v>1506818.3298056431</v>
      </c>
      <c r="T379" s="49">
        <f t="shared" ca="1" si="120"/>
        <v>1593543.8569120013</v>
      </c>
      <c r="U379" s="49">
        <f t="shared" ca="1" si="120"/>
        <v>1684306.97235642</v>
      </c>
      <c r="V379" s="49">
        <f t="shared" ca="1" si="120"/>
        <v>1779285.9996273394</v>
      </c>
      <c r="W379" s="49">
        <f t="shared" ca="1" si="120"/>
        <v>1878666.962386525</v>
      </c>
      <c r="X379" s="49">
        <f t="shared" ca="1" si="120"/>
        <v>1982643.9136001696</v>
      </c>
      <c r="Y379" s="49">
        <f t="shared" ca="1" si="120"/>
        <v>2091419.2786720397</v>
      </c>
      <c r="Z379" s="49">
        <f t="shared" ca="1" si="120"/>
        <v>2205204.2131730355</v>
      </c>
      <c r="AA379" s="49">
        <f t="shared" ca="1" si="120"/>
        <v>2324218.9757867497</v>
      </c>
    </row>
    <row r="380" spans="1:27" x14ac:dyDescent="0.45">
      <c r="A380" s="37"/>
      <c r="D380" s="2" t="s">
        <v>77</v>
      </c>
      <c r="E380" s="3" t="s">
        <v>806</v>
      </c>
      <c r="G380" s="49">
        <f t="shared" ref="G380:U380" ca="1" si="121">IF(G379+F380&gt;0,0,G379+F380)</f>
        <v>-711385.62368784007</v>
      </c>
      <c r="H380" s="49">
        <f t="shared" ca="1" si="121"/>
        <v>0</v>
      </c>
      <c r="I380" s="49">
        <f t="shared" ca="1" si="121"/>
        <v>0</v>
      </c>
      <c r="J380" s="49">
        <f t="shared" ca="1" si="121"/>
        <v>0</v>
      </c>
      <c r="K380" s="49">
        <f t="shared" ca="1" si="121"/>
        <v>0</v>
      </c>
      <c r="L380" s="49">
        <f t="shared" ca="1" si="121"/>
        <v>0</v>
      </c>
      <c r="M380" s="49">
        <f t="shared" ca="1" si="121"/>
        <v>0</v>
      </c>
      <c r="N380" s="49">
        <f t="shared" ca="1" si="121"/>
        <v>0</v>
      </c>
      <c r="O380" s="49">
        <f t="shared" ca="1" si="121"/>
        <v>0</v>
      </c>
      <c r="P380" s="49">
        <f t="shared" ca="1" si="121"/>
        <v>0</v>
      </c>
      <c r="Q380" s="49">
        <f t="shared" ca="1" si="121"/>
        <v>0</v>
      </c>
      <c r="R380" s="49">
        <f t="shared" ca="1" si="121"/>
        <v>0</v>
      </c>
      <c r="S380" s="49">
        <f t="shared" ca="1" si="121"/>
        <v>0</v>
      </c>
      <c r="T380" s="49">
        <f t="shared" ca="1" si="121"/>
        <v>0</v>
      </c>
      <c r="U380" s="49">
        <f t="shared" ca="1" si="121"/>
        <v>0</v>
      </c>
      <c r="V380" s="49">
        <f t="shared" ref="V380:AA380" ca="1" si="122">IF(V379+U380&gt;0,0,V379+U380)</f>
        <v>0</v>
      </c>
      <c r="W380" s="49">
        <f t="shared" ca="1" si="122"/>
        <v>0</v>
      </c>
      <c r="X380" s="49">
        <f t="shared" ca="1" si="122"/>
        <v>0</v>
      </c>
      <c r="Y380" s="49">
        <f t="shared" ca="1" si="122"/>
        <v>0</v>
      </c>
      <c r="Z380" s="49">
        <f t="shared" ca="1" si="122"/>
        <v>0</v>
      </c>
      <c r="AA380" s="49">
        <f t="shared" ca="1" si="122"/>
        <v>0</v>
      </c>
    </row>
    <row r="381" spans="1:27" x14ac:dyDescent="0.45">
      <c r="A381" s="37"/>
      <c r="G381" s="49"/>
      <c r="H381" s="49"/>
      <c r="I381" s="49"/>
      <c r="J381" s="49"/>
      <c r="K381" s="49"/>
      <c r="L381" s="49"/>
      <c r="M381" s="49"/>
      <c r="N381" s="49"/>
      <c r="O381" s="49"/>
      <c r="P381" s="49"/>
      <c r="Q381" s="49"/>
      <c r="R381" s="49"/>
      <c r="S381" s="49"/>
      <c r="T381" s="49"/>
      <c r="U381" s="49"/>
      <c r="V381" s="49"/>
      <c r="W381" s="49"/>
      <c r="X381" s="49"/>
      <c r="Y381" s="49"/>
      <c r="Z381" s="49"/>
      <c r="AA381" s="49"/>
    </row>
    <row r="382" spans="1:27" x14ac:dyDescent="0.45">
      <c r="A382" s="37"/>
      <c r="B382" s="4" t="s">
        <v>78</v>
      </c>
      <c r="C382" s="4"/>
      <c r="G382" s="49"/>
      <c r="H382" s="49"/>
      <c r="I382" s="49"/>
      <c r="J382" s="49"/>
      <c r="K382" s="49"/>
      <c r="L382" s="49"/>
      <c r="M382" s="49"/>
      <c r="N382" s="49"/>
      <c r="O382" s="49"/>
      <c r="P382" s="49"/>
      <c r="Q382" s="49"/>
      <c r="R382" s="49"/>
      <c r="S382" s="49"/>
      <c r="T382" s="49"/>
      <c r="U382" s="49"/>
      <c r="V382" s="49"/>
      <c r="W382" s="49"/>
      <c r="X382" s="49"/>
      <c r="Y382" s="49"/>
      <c r="Z382" s="49"/>
      <c r="AA382" s="49"/>
    </row>
    <row r="383" spans="1:27" x14ac:dyDescent="0.45">
      <c r="A383" s="37"/>
      <c r="B383" s="4"/>
      <c r="C383" s="4"/>
      <c r="D383" s="2" t="s">
        <v>54</v>
      </c>
      <c r="E383" s="3" t="s">
        <v>806</v>
      </c>
      <c r="G383" s="49">
        <f t="shared" ref="G383:AA383" ca="1" si="123">G277</f>
        <v>-2388667.1983609046</v>
      </c>
      <c r="H383" s="49">
        <f t="shared" ca="1" si="123"/>
        <v>2844196.8016390959</v>
      </c>
      <c r="I383" s="49">
        <f t="shared" ca="1" si="123"/>
        <v>2906278.0816390952</v>
      </c>
      <c r="J383" s="49">
        <f t="shared" ca="1" si="123"/>
        <v>2969600.9872390963</v>
      </c>
      <c r="K383" s="49">
        <f t="shared" ca="1" si="123"/>
        <v>3034190.350951096</v>
      </c>
      <c r="L383" s="49">
        <f t="shared" ca="1" si="123"/>
        <v>3100071.5019373344</v>
      </c>
      <c r="M383" s="49">
        <f t="shared" ca="1" si="123"/>
        <v>3167270.2759433007</v>
      </c>
      <c r="N383" s="49">
        <f t="shared" ca="1" si="123"/>
        <v>3235813.0254293866</v>
      </c>
      <c r="O383" s="49">
        <f t="shared" ca="1" si="123"/>
        <v>3305726.6299051894</v>
      </c>
      <c r="P383" s="49">
        <f t="shared" ca="1" si="123"/>
        <v>3377038.5064705135</v>
      </c>
      <c r="Q383" s="49">
        <f t="shared" ca="1" si="123"/>
        <v>3449776.620567142</v>
      </c>
      <c r="R383" s="49">
        <f t="shared" ca="1" si="123"/>
        <v>3523969.4969457034</v>
      </c>
      <c r="S383" s="49">
        <f t="shared" ca="1" si="123"/>
        <v>3599646.2308518365</v>
      </c>
      <c r="T383" s="49">
        <f t="shared" ca="1" si="123"/>
        <v>3676836.4994360898</v>
      </c>
      <c r="U383" s="49">
        <f t="shared" ca="1" si="123"/>
        <v>3755570.5733920299</v>
      </c>
      <c r="V383" s="49">
        <f t="shared" ca="1" si="123"/>
        <v>3835879.3288270878</v>
      </c>
      <c r="W383" s="49">
        <f t="shared" ca="1" si="123"/>
        <v>3917794.2593708467</v>
      </c>
      <c r="X383" s="49">
        <f t="shared" ca="1" si="123"/>
        <v>4001347.4885254819</v>
      </c>
      <c r="Y383" s="49">
        <f t="shared" ca="1" si="123"/>
        <v>4086571.7822632138</v>
      </c>
      <c r="Z383" s="49">
        <f t="shared" ca="1" si="123"/>
        <v>4173500.5618756935</v>
      </c>
      <c r="AA383" s="49">
        <f t="shared" ca="1" si="123"/>
        <v>4262167.9170804285</v>
      </c>
    </row>
    <row r="384" spans="1:27" x14ac:dyDescent="0.45">
      <c r="A384" s="37"/>
      <c r="B384" s="4"/>
      <c r="C384" s="4"/>
      <c r="D384" s="2" t="s">
        <v>1</v>
      </c>
      <c r="E384" s="3" t="s">
        <v>806</v>
      </c>
      <c r="G384" s="49">
        <f t="shared" ref="G384:AA384" ca="1" si="124">G271</f>
        <v>259867.19836090453</v>
      </c>
      <c r="H384" s="49">
        <f t="shared" ca="1" si="124"/>
        <v>259867.19836090453</v>
      </c>
      <c r="I384" s="49">
        <f t="shared" ca="1" si="124"/>
        <v>259867.19836090453</v>
      </c>
      <c r="J384" s="49">
        <f t="shared" ca="1" si="124"/>
        <v>259867.19836090453</v>
      </c>
      <c r="K384" s="49">
        <f t="shared" ca="1" si="124"/>
        <v>259867.19836090453</v>
      </c>
      <c r="L384" s="49">
        <f t="shared" ca="1" si="124"/>
        <v>259867.19836090453</v>
      </c>
      <c r="M384" s="49">
        <f t="shared" ca="1" si="124"/>
        <v>259867.19836090453</v>
      </c>
      <c r="N384" s="49">
        <f t="shared" ca="1" si="124"/>
        <v>259867.19836090453</v>
      </c>
      <c r="O384" s="49">
        <f t="shared" ca="1" si="124"/>
        <v>259867.19836090453</v>
      </c>
      <c r="P384" s="49">
        <f t="shared" ca="1" si="124"/>
        <v>259867.19836090453</v>
      </c>
      <c r="Q384" s="49">
        <f t="shared" ca="1" si="124"/>
        <v>259867.19836090453</v>
      </c>
      <c r="R384" s="49">
        <f t="shared" ca="1" si="124"/>
        <v>259867.19836090453</v>
      </c>
      <c r="S384" s="49">
        <f t="shared" ca="1" si="124"/>
        <v>259867.19836090453</v>
      </c>
      <c r="T384" s="49">
        <f t="shared" ca="1" si="124"/>
        <v>259867.19836090453</v>
      </c>
      <c r="U384" s="49">
        <f t="shared" ca="1" si="124"/>
        <v>259867.19836090453</v>
      </c>
      <c r="V384" s="49">
        <f t="shared" ca="1" si="124"/>
        <v>259867.19836090453</v>
      </c>
      <c r="W384" s="49">
        <f t="shared" ca="1" si="124"/>
        <v>259867.19836090453</v>
      </c>
      <c r="X384" s="49">
        <f t="shared" ca="1" si="124"/>
        <v>259867.19836090453</v>
      </c>
      <c r="Y384" s="49">
        <f t="shared" ca="1" si="124"/>
        <v>259867.19836090453</v>
      </c>
      <c r="Z384" s="49">
        <f t="shared" ca="1" si="124"/>
        <v>259867.19836090453</v>
      </c>
      <c r="AA384" s="49">
        <f t="shared" ca="1" si="124"/>
        <v>259867.19836090453</v>
      </c>
    </row>
    <row r="385" spans="1:27" x14ac:dyDescent="0.45">
      <c r="A385" s="37"/>
      <c r="B385" s="4"/>
      <c r="C385" s="4"/>
      <c r="D385" s="2" t="s">
        <v>55</v>
      </c>
      <c r="E385" s="3" t="s">
        <v>806</v>
      </c>
      <c r="G385" s="49">
        <f>G337</f>
        <v>0</v>
      </c>
      <c r="H385" s="49">
        <f t="shared" ref="H385:AA385" si="125">H337</f>
        <v>0</v>
      </c>
      <c r="I385" s="49">
        <f t="shared" si="125"/>
        <v>0</v>
      </c>
      <c r="J385" s="49">
        <f t="shared" si="125"/>
        <v>0</v>
      </c>
      <c r="K385" s="49">
        <f t="shared" si="125"/>
        <v>0</v>
      </c>
      <c r="L385" s="49">
        <f t="shared" si="125"/>
        <v>0</v>
      </c>
      <c r="M385" s="49">
        <f t="shared" si="125"/>
        <v>0</v>
      </c>
      <c r="N385" s="49">
        <f t="shared" si="125"/>
        <v>0</v>
      </c>
      <c r="O385" s="49">
        <f t="shared" si="125"/>
        <v>0</v>
      </c>
      <c r="P385" s="49">
        <f t="shared" si="125"/>
        <v>0</v>
      </c>
      <c r="Q385" s="49">
        <f t="shared" si="125"/>
        <v>0</v>
      </c>
      <c r="R385" s="49">
        <f t="shared" si="125"/>
        <v>0</v>
      </c>
      <c r="S385" s="49">
        <f t="shared" si="125"/>
        <v>0</v>
      </c>
      <c r="T385" s="49">
        <f t="shared" si="125"/>
        <v>0</v>
      </c>
      <c r="U385" s="49">
        <f t="shared" si="125"/>
        <v>0</v>
      </c>
      <c r="V385" s="49">
        <f t="shared" si="125"/>
        <v>0</v>
      </c>
      <c r="W385" s="49">
        <f t="shared" si="125"/>
        <v>0</v>
      </c>
      <c r="X385" s="49">
        <f t="shared" si="125"/>
        <v>0</v>
      </c>
      <c r="Y385" s="49">
        <f t="shared" si="125"/>
        <v>0</v>
      </c>
      <c r="Z385" s="49">
        <f t="shared" si="125"/>
        <v>0</v>
      </c>
      <c r="AA385" s="49">
        <f t="shared" si="125"/>
        <v>0</v>
      </c>
    </row>
    <row r="386" spans="1:27" x14ac:dyDescent="0.45">
      <c r="A386" s="37"/>
      <c r="B386" s="4"/>
      <c r="C386" s="4"/>
      <c r="G386" s="52" t="s">
        <v>38</v>
      </c>
      <c r="H386" s="52" t="s">
        <v>38</v>
      </c>
      <c r="I386" s="52" t="s">
        <v>38</v>
      </c>
      <c r="J386" s="52" t="s">
        <v>38</v>
      </c>
      <c r="K386" s="52" t="s">
        <v>38</v>
      </c>
      <c r="L386" s="52" t="s">
        <v>38</v>
      </c>
      <c r="M386" s="52" t="s">
        <v>38</v>
      </c>
      <c r="N386" s="52" t="s">
        <v>38</v>
      </c>
      <c r="O386" s="52" t="s">
        <v>38</v>
      </c>
      <c r="P386" s="52" t="s">
        <v>38</v>
      </c>
      <c r="Q386" s="52" t="s">
        <v>38</v>
      </c>
      <c r="R386" s="52" t="s">
        <v>38</v>
      </c>
      <c r="S386" s="52" t="s">
        <v>38</v>
      </c>
      <c r="T386" s="52" t="s">
        <v>38</v>
      </c>
      <c r="U386" s="52" t="s">
        <v>38</v>
      </c>
      <c r="V386" s="52" t="s">
        <v>38</v>
      </c>
      <c r="W386" s="52" t="s">
        <v>38</v>
      </c>
      <c r="X386" s="52" t="s">
        <v>38</v>
      </c>
      <c r="Y386" s="52" t="s">
        <v>38</v>
      </c>
      <c r="Z386" s="52" t="s">
        <v>38</v>
      </c>
      <c r="AA386" s="52" t="s">
        <v>38</v>
      </c>
    </row>
    <row r="387" spans="1:27" x14ac:dyDescent="0.45">
      <c r="A387" s="37"/>
      <c r="B387" s="4"/>
      <c r="C387" s="4"/>
      <c r="D387" s="2" t="s">
        <v>56</v>
      </c>
      <c r="E387" s="3" t="s">
        <v>806</v>
      </c>
      <c r="G387" s="49">
        <f t="shared" ref="G387:U387" ca="1" si="126">SUM(G382:G386)</f>
        <v>-2128800</v>
      </c>
      <c r="H387" s="49">
        <f t="shared" ca="1" si="126"/>
        <v>3104064.0000000005</v>
      </c>
      <c r="I387" s="49">
        <f t="shared" ca="1" si="126"/>
        <v>3166145.28</v>
      </c>
      <c r="J387" s="49">
        <f t="shared" ca="1" si="126"/>
        <v>3229468.1856000009</v>
      </c>
      <c r="K387" s="49">
        <f ca="1">SUM(K382:K386)</f>
        <v>3294057.5493120006</v>
      </c>
      <c r="L387" s="49">
        <f t="shared" ca="1" si="126"/>
        <v>3359938.700298239</v>
      </c>
      <c r="M387" s="49">
        <f t="shared" ca="1" si="126"/>
        <v>3427137.4743042053</v>
      </c>
      <c r="N387" s="49">
        <f t="shared" ca="1" si="126"/>
        <v>3495680.2237902912</v>
      </c>
      <c r="O387" s="49">
        <f t="shared" ca="1" si="126"/>
        <v>3565593.828266094</v>
      </c>
      <c r="P387" s="49">
        <f t="shared" ca="1" si="126"/>
        <v>3636905.7048314181</v>
      </c>
      <c r="Q387" s="49">
        <f t="shared" ca="1" si="126"/>
        <v>3709643.8189280466</v>
      </c>
      <c r="R387" s="49">
        <f t="shared" ca="1" si="126"/>
        <v>3783836.695306608</v>
      </c>
      <c r="S387" s="49">
        <f t="shared" ca="1" si="126"/>
        <v>3859513.4292127411</v>
      </c>
      <c r="T387" s="49">
        <f t="shared" ca="1" si="126"/>
        <v>3936703.6977969944</v>
      </c>
      <c r="U387" s="49">
        <f t="shared" ca="1" si="126"/>
        <v>4015437.7717529344</v>
      </c>
      <c r="V387" s="49">
        <f t="shared" ref="V387:AA387" ca="1" si="127">SUM(V382:V386)</f>
        <v>4095746.5271879924</v>
      </c>
      <c r="W387" s="49">
        <f t="shared" ca="1" si="127"/>
        <v>4177661.4577317513</v>
      </c>
      <c r="X387" s="49">
        <f t="shared" ca="1" si="127"/>
        <v>4261214.686886386</v>
      </c>
      <c r="Y387" s="49">
        <f t="shared" ca="1" si="127"/>
        <v>4346438.9806241179</v>
      </c>
      <c r="Z387" s="49">
        <f t="shared" ca="1" si="127"/>
        <v>4433367.7602365976</v>
      </c>
      <c r="AA387" s="49">
        <f t="shared" ca="1" si="127"/>
        <v>4522035.1154413326</v>
      </c>
    </row>
    <row r="388" spans="1:27" x14ac:dyDescent="0.45">
      <c r="A388" s="37"/>
      <c r="B388" s="4"/>
      <c r="C388" s="4"/>
      <c r="G388" s="49"/>
      <c r="H388" s="49"/>
      <c r="I388" s="49"/>
      <c r="J388" s="49"/>
      <c r="K388" s="49"/>
      <c r="L388" s="49"/>
      <c r="M388" s="49"/>
      <c r="N388" s="49"/>
      <c r="O388" s="49"/>
      <c r="P388" s="49"/>
      <c r="Q388" s="49"/>
      <c r="R388" s="49"/>
      <c r="S388" s="49"/>
      <c r="T388" s="49"/>
      <c r="U388" s="49"/>
      <c r="V388" s="49"/>
      <c r="W388" s="49"/>
      <c r="X388" s="49"/>
      <c r="Y388" s="49"/>
      <c r="Z388" s="49"/>
      <c r="AA388" s="49"/>
    </row>
    <row r="389" spans="1:27" x14ac:dyDescent="0.45">
      <c r="A389" s="37"/>
      <c r="B389" s="4"/>
      <c r="C389" s="4"/>
      <c r="D389" s="2" t="s">
        <v>57</v>
      </c>
      <c r="E389" s="3" t="s">
        <v>806</v>
      </c>
      <c r="G389" s="49">
        <f t="shared" ref="G389:AA389" ca="1" si="128">G157</f>
        <v>5717078.3639399</v>
      </c>
      <c r="H389" s="49">
        <f t="shared" ca="1" si="128"/>
        <v>69380.057388981644</v>
      </c>
      <c r="I389" s="49">
        <f t="shared" ca="1" si="128"/>
        <v>70767.658536761272</v>
      </c>
      <c r="J389" s="49">
        <f t="shared" ca="1" si="128"/>
        <v>72183.011707496495</v>
      </c>
      <c r="K389" s="49">
        <f t="shared" ca="1" si="128"/>
        <v>73626.671941646433</v>
      </c>
      <c r="L389" s="49">
        <f t="shared" ca="1" si="128"/>
        <v>75099.205380479369</v>
      </c>
      <c r="M389" s="49">
        <f t="shared" ca="1" si="128"/>
        <v>76601.189488088959</v>
      </c>
      <c r="N389" s="49">
        <f t="shared" ca="1" si="128"/>
        <v>78133.213277850737</v>
      </c>
      <c r="O389" s="49">
        <f t="shared" ca="1" si="128"/>
        <v>79695.877543407754</v>
      </c>
      <c r="P389" s="49">
        <f t="shared" ca="1" si="128"/>
        <v>81289.795094275905</v>
      </c>
      <c r="Q389" s="49">
        <f t="shared" ca="1" si="128"/>
        <v>82915.590996161423</v>
      </c>
      <c r="R389" s="49">
        <f t="shared" ca="1" si="128"/>
        <v>84573.90281608465</v>
      </c>
      <c r="S389" s="49">
        <f t="shared" ca="1" si="128"/>
        <v>86265.380872406342</v>
      </c>
      <c r="T389" s="49">
        <f t="shared" ca="1" si="128"/>
        <v>87990.688489854467</v>
      </c>
      <c r="U389" s="49">
        <f t="shared" ca="1" si="128"/>
        <v>89750.502259651563</v>
      </c>
      <c r="V389" s="49">
        <f t="shared" ca="1" si="128"/>
        <v>91545.512304844597</v>
      </c>
      <c r="W389" s="49">
        <f t="shared" ca="1" si="128"/>
        <v>93376.422550941497</v>
      </c>
      <c r="X389" s="49">
        <f t="shared" ca="1" si="128"/>
        <v>95243.951001960333</v>
      </c>
      <c r="Y389" s="49">
        <f t="shared" ca="1" si="128"/>
        <v>97148.830021999544</v>
      </c>
      <c r="Z389" s="49">
        <f t="shared" ca="1" si="128"/>
        <v>99091.80662243953</v>
      </c>
      <c r="AA389" s="49">
        <f t="shared" ca="1" si="128"/>
        <v>101073.64275488832</v>
      </c>
    </row>
    <row r="390" spans="1:27" x14ac:dyDescent="0.45">
      <c r="A390" s="37"/>
      <c r="B390" s="4"/>
      <c r="C390" s="4"/>
      <c r="D390" s="2" t="s">
        <v>79</v>
      </c>
      <c r="E390" s="3"/>
      <c r="G390" s="49">
        <f t="shared" ref="G390:U390" si="129">G342</f>
        <v>1574728.7671232875</v>
      </c>
      <c r="H390" s="49">
        <f t="shared" si="129"/>
        <v>2829256.7671232875</v>
      </c>
      <c r="I390" s="49">
        <f t="shared" si="129"/>
        <v>88079.710684931837</v>
      </c>
      <c r="J390" s="49">
        <f t="shared" si="129"/>
        <v>89841.304898629896</v>
      </c>
      <c r="K390" s="49">
        <f t="shared" si="129"/>
        <v>91638.130996602587</v>
      </c>
      <c r="L390" s="49">
        <f t="shared" si="129"/>
        <v>93470.893616535701</v>
      </c>
      <c r="M390" s="49">
        <f t="shared" si="129"/>
        <v>95340.311488864943</v>
      </c>
      <c r="N390" s="49">
        <f>N342</f>
        <v>97247.117718642578</v>
      </c>
      <c r="O390" s="49">
        <f t="shared" si="129"/>
        <v>99192.060073016211</v>
      </c>
      <c r="P390" s="49">
        <f t="shared" si="129"/>
        <v>101175.9012744762</v>
      </c>
      <c r="Q390" s="49">
        <f t="shared" si="129"/>
        <v>103199.41929996479</v>
      </c>
      <c r="R390" s="49">
        <f t="shared" si="129"/>
        <v>105263.4076859653</v>
      </c>
      <c r="S390" s="49">
        <f t="shared" si="129"/>
        <v>107368.67583968397</v>
      </c>
      <c r="T390" s="49">
        <f t="shared" si="129"/>
        <v>109516.04935647827</v>
      </c>
      <c r="U390" s="49">
        <f t="shared" si="129"/>
        <v>111706.37034360785</v>
      </c>
      <c r="V390" s="49">
        <f t="shared" ref="V390:AA390" si="130">V342</f>
        <v>113940.49775047973</v>
      </c>
      <c r="W390" s="49">
        <f t="shared" si="130"/>
        <v>116219.30770548899</v>
      </c>
      <c r="X390" s="49">
        <f t="shared" si="130"/>
        <v>118543.69385959953</v>
      </c>
      <c r="Y390" s="49">
        <f t="shared" si="130"/>
        <v>120914.56773678958</v>
      </c>
      <c r="Z390" s="49">
        <f t="shared" si="130"/>
        <v>123332.85909152683</v>
      </c>
      <c r="AA390" s="49">
        <f t="shared" si="130"/>
        <v>125799.51627335697</v>
      </c>
    </row>
    <row r="391" spans="1:27" x14ac:dyDescent="0.45">
      <c r="A391" s="37"/>
      <c r="B391" s="4"/>
      <c r="C391" s="4"/>
      <c r="D391" s="2" t="s">
        <v>80</v>
      </c>
      <c r="E391" s="3" t="s">
        <v>806</v>
      </c>
      <c r="G391" s="49">
        <f t="shared" ref="G391:U391" si="131">G405</f>
        <v>0</v>
      </c>
      <c r="H391" s="49">
        <f t="shared" ca="1" si="131"/>
        <v>0</v>
      </c>
      <c r="I391" s="49">
        <f t="shared" ca="1" si="131"/>
        <v>136658.88098345732</v>
      </c>
      <c r="J391" s="49">
        <f t="shared" ca="1" si="131"/>
        <v>871883.42449172854</v>
      </c>
      <c r="K391" s="49">
        <f t="shared" ca="1" si="131"/>
        <v>890880.29617172887</v>
      </c>
      <c r="L391" s="49">
        <f t="shared" ca="1" si="131"/>
        <v>910257.10528532893</v>
      </c>
      <c r="M391" s="49">
        <f t="shared" ca="1" si="131"/>
        <v>930021.4505812003</v>
      </c>
      <c r="N391" s="49">
        <f t="shared" ca="1" si="131"/>
        <v>950181.08278299018</v>
      </c>
      <c r="O391" s="49">
        <f t="shared" ca="1" si="131"/>
        <v>970743.90762881597</v>
      </c>
      <c r="P391" s="49">
        <f t="shared" ca="1" si="131"/>
        <v>991717.98897155665</v>
      </c>
      <c r="Q391" s="49">
        <f t="shared" ca="1" si="131"/>
        <v>1013111.5519411539</v>
      </c>
      <c r="R391" s="49">
        <f t="shared" ca="1" si="131"/>
        <v>1034932.9861701425</v>
      </c>
      <c r="S391" s="49">
        <f t="shared" ca="1" si="131"/>
        <v>1057190.8490837109</v>
      </c>
      <c r="T391" s="49">
        <f t="shared" ca="1" si="131"/>
        <v>1079893.8692555507</v>
      </c>
      <c r="U391" s="49">
        <f t="shared" ca="1" si="131"/>
        <v>1103050.9498308268</v>
      </c>
      <c r="V391" s="49">
        <f t="shared" ref="V391:AA391" ca="1" si="132">V405</f>
        <v>1126671.1720176092</v>
      </c>
      <c r="W391" s="49">
        <f t="shared" ca="1" si="132"/>
        <v>1150763.798648126</v>
      </c>
      <c r="X391" s="49">
        <f t="shared" ca="1" si="132"/>
        <v>1175338.2778112539</v>
      </c>
      <c r="Y391" s="49">
        <f t="shared" ca="1" si="132"/>
        <v>1200404.2465576446</v>
      </c>
      <c r="Z391" s="49">
        <f t="shared" ca="1" si="132"/>
        <v>1225971.5346789639</v>
      </c>
      <c r="AA391" s="49">
        <f t="shared" ca="1" si="132"/>
        <v>1252050.168562708</v>
      </c>
    </row>
    <row r="392" spans="1:27" x14ac:dyDescent="0.45">
      <c r="A392" s="37"/>
      <c r="B392" s="4"/>
      <c r="C392" s="4"/>
      <c r="G392" s="49"/>
      <c r="H392" s="49"/>
      <c r="I392" s="49"/>
      <c r="J392" s="49"/>
      <c r="K392" s="49"/>
      <c r="L392" s="49"/>
      <c r="M392" s="49"/>
      <c r="N392" s="49"/>
      <c r="O392" s="49"/>
      <c r="P392" s="49"/>
      <c r="Q392" s="49"/>
      <c r="R392" s="49"/>
      <c r="S392" s="49"/>
      <c r="T392" s="49"/>
      <c r="U392" s="49"/>
      <c r="V392" s="49"/>
      <c r="W392" s="49"/>
      <c r="X392" s="49"/>
      <c r="Y392" s="49"/>
      <c r="Z392" s="49"/>
      <c r="AA392" s="49"/>
    </row>
    <row r="393" spans="1:27" s="26" customFormat="1" x14ac:dyDescent="0.45">
      <c r="A393" s="111"/>
      <c r="B393" s="102"/>
      <c r="C393" s="102"/>
      <c r="D393" s="102" t="s">
        <v>81</v>
      </c>
      <c r="E393" s="112" t="s">
        <v>806</v>
      </c>
      <c r="G393" s="113">
        <f ca="1">G387-(SUM(G389:G391))</f>
        <v>-9420607.1310631875</v>
      </c>
      <c r="H393" s="113">
        <f ca="1">H387-(SUM(H389:H391))</f>
        <v>205427.17548773112</v>
      </c>
      <c r="I393" s="113">
        <f t="shared" ref="I393:U393" ca="1" si="133">I387-(SUM(I389:I391))</f>
        <v>2870639.0297948495</v>
      </c>
      <c r="J393" s="113">
        <f t="shared" ca="1" si="133"/>
        <v>2195560.444502146</v>
      </c>
      <c r="K393" s="113">
        <f ca="1">K387-(SUM(K389:K391))</f>
        <v>2237912.4502020227</v>
      </c>
      <c r="L393" s="113">
        <f t="shared" ca="1" si="133"/>
        <v>2281111.4960158952</v>
      </c>
      <c r="M393" s="113">
        <f t="shared" ca="1" si="133"/>
        <v>2325174.5227460512</v>
      </c>
      <c r="N393" s="113">
        <f t="shared" ca="1" si="133"/>
        <v>2370118.8100108076</v>
      </c>
      <c r="O393" s="113">
        <f t="shared" ca="1" si="133"/>
        <v>2415961.9830208542</v>
      </c>
      <c r="P393" s="113">
        <f t="shared" ca="1" si="133"/>
        <v>2462722.0194911091</v>
      </c>
      <c r="Q393" s="113">
        <f t="shared" ca="1" si="133"/>
        <v>2510417.2566907667</v>
      </c>
      <c r="R393" s="113">
        <f t="shared" ca="1" si="133"/>
        <v>2559066.3986344156</v>
      </c>
      <c r="S393" s="113">
        <f t="shared" ca="1" si="133"/>
        <v>2608688.5234169401</v>
      </c>
      <c r="T393" s="113">
        <f t="shared" ca="1" si="133"/>
        <v>2659303.0906951111</v>
      </c>
      <c r="U393" s="113">
        <f t="shared" ca="1" si="133"/>
        <v>2710929.9493188481</v>
      </c>
      <c r="V393" s="113">
        <f t="shared" ref="V393:AA393" ca="1" si="134">V387-(SUM(V389:V391))</f>
        <v>2763589.3451150591</v>
      </c>
      <c r="W393" s="113">
        <f t="shared" ca="1" si="134"/>
        <v>2817301.9288271945</v>
      </c>
      <c r="X393" s="113">
        <f t="shared" ca="1" si="134"/>
        <v>2872088.7642135723</v>
      </c>
      <c r="Y393" s="113">
        <f t="shared" ca="1" si="134"/>
        <v>2927971.336307684</v>
      </c>
      <c r="Z393" s="113">
        <f t="shared" ca="1" si="134"/>
        <v>2984971.5598436673</v>
      </c>
      <c r="AA393" s="113">
        <f t="shared" ca="1" si="134"/>
        <v>3043111.787850379</v>
      </c>
    </row>
    <row r="394" spans="1:27" x14ac:dyDescent="0.45">
      <c r="A394" s="38"/>
      <c r="B394" s="4"/>
      <c r="C394" s="4"/>
      <c r="G394" s="19"/>
      <c r="H394" s="19"/>
      <c r="I394" s="19"/>
      <c r="J394" s="19"/>
      <c r="K394" s="19"/>
      <c r="L394" s="19"/>
      <c r="M394" s="19"/>
      <c r="N394" s="19"/>
      <c r="O394" s="19"/>
      <c r="P394" s="19"/>
      <c r="Q394" s="19"/>
      <c r="R394" s="19"/>
      <c r="S394" s="19"/>
      <c r="T394" s="19"/>
      <c r="U394" s="19"/>
      <c r="V394" s="19"/>
      <c r="W394" s="19"/>
      <c r="X394" s="19"/>
      <c r="Y394" s="19"/>
      <c r="Z394" s="19"/>
      <c r="AA394" s="19"/>
    </row>
    <row r="395" spans="1:27" x14ac:dyDescent="0.45">
      <c r="A395" s="38"/>
      <c r="B395" s="4" t="s">
        <v>82</v>
      </c>
      <c r="C395" s="4"/>
      <c r="G395" s="19"/>
      <c r="H395" s="19"/>
      <c r="I395" s="19"/>
      <c r="J395" s="19"/>
      <c r="K395" s="19"/>
      <c r="L395" s="19"/>
      <c r="M395" s="19"/>
      <c r="N395" s="19"/>
      <c r="O395" s="19"/>
      <c r="P395" s="19"/>
      <c r="Q395" s="19"/>
      <c r="R395" s="19"/>
      <c r="S395" s="19"/>
      <c r="T395" s="19"/>
      <c r="U395" s="19"/>
      <c r="V395" s="19"/>
      <c r="W395" s="19"/>
      <c r="X395" s="19"/>
      <c r="Y395" s="19"/>
      <c r="Z395" s="19"/>
      <c r="AA395" s="19"/>
    </row>
    <row r="396" spans="1:27" x14ac:dyDescent="0.45">
      <c r="A396" s="38"/>
      <c r="B396" s="4"/>
      <c r="C396" s="4"/>
      <c r="D396" s="104" t="s">
        <v>83</v>
      </c>
      <c r="E396" s="105" t="s">
        <v>806</v>
      </c>
      <c r="F396" s="106">
        <f>$E$414</f>
        <v>0.15</v>
      </c>
      <c r="G396" s="107">
        <f ca="1">NPV(F396,(OFFSET(G393,,$G$1-1):OFFSET(G393,,$G$1+$P$1-2)))</f>
        <v>149565.86443399737</v>
      </c>
      <c r="H396" s="51"/>
      <c r="I396" s="51"/>
      <c r="J396" s="51"/>
      <c r="K396" s="51"/>
      <c r="L396" s="51"/>
      <c r="M396" s="51"/>
      <c r="N396" s="51"/>
      <c r="O396" s="51"/>
      <c r="P396" s="51"/>
      <c r="Q396" s="51"/>
      <c r="R396" s="51"/>
      <c r="S396" s="51"/>
      <c r="T396" s="51"/>
      <c r="U396" s="51"/>
      <c r="V396" s="51"/>
      <c r="W396" s="51"/>
      <c r="X396" s="51"/>
      <c r="Y396" s="51"/>
      <c r="Z396" s="51"/>
      <c r="AA396" s="51"/>
    </row>
    <row r="397" spans="1:27" x14ac:dyDescent="0.45">
      <c r="A397" s="38"/>
      <c r="B397" s="4"/>
      <c r="C397" s="4"/>
      <c r="D397" s="108" t="s">
        <v>84</v>
      </c>
      <c r="E397" s="109" t="s">
        <v>21</v>
      </c>
      <c r="F397" s="26"/>
      <c r="G397" s="110">
        <f ca="1">IRR((OFFSET(G393,,$G$9-1):OFFSET(G393,,$G$9+$P$9-2)))</f>
        <v>0.15450144696167478</v>
      </c>
      <c r="H397" s="58"/>
      <c r="J397" s="19"/>
      <c r="K397" s="51"/>
      <c r="L397" s="51"/>
      <c r="M397" s="51"/>
      <c r="N397" s="51"/>
      <c r="O397" s="51"/>
      <c r="P397" s="51"/>
      <c r="Q397" s="51"/>
      <c r="R397" s="51"/>
      <c r="S397" s="51"/>
      <c r="T397" s="51"/>
      <c r="U397" s="51"/>
      <c r="V397" s="51"/>
      <c r="W397" s="51"/>
      <c r="X397" s="51"/>
      <c r="Y397" s="51"/>
      <c r="Z397" s="51"/>
      <c r="AA397" s="51"/>
    </row>
    <row r="398" spans="1:27" x14ac:dyDescent="0.45">
      <c r="A398" s="38"/>
      <c r="B398" s="4"/>
      <c r="C398" s="4"/>
      <c r="D398" s="96" t="s">
        <v>85</v>
      </c>
      <c r="E398" s="97" t="s">
        <v>806</v>
      </c>
      <c r="F398" s="98">
        <f>$E$414</f>
        <v>0.15</v>
      </c>
      <c r="G398" s="99">
        <f ca="1">NPV(F398,G393:$AM$393)</f>
        <v>3639459.8641996919</v>
      </c>
      <c r="H398" s="46"/>
      <c r="I398" s="46"/>
      <c r="J398" s="46"/>
      <c r="K398" s="46"/>
      <c r="L398" s="46"/>
      <c r="M398" s="51"/>
      <c r="N398" s="51"/>
      <c r="O398" s="51"/>
      <c r="P398" s="51"/>
      <c r="Q398" s="51"/>
      <c r="R398" s="51"/>
      <c r="S398" s="51"/>
      <c r="T398" s="51"/>
      <c r="U398" s="51"/>
      <c r="V398" s="51"/>
      <c r="W398" s="51"/>
      <c r="X398" s="51"/>
      <c r="Y398" s="51"/>
      <c r="Z398" s="51"/>
      <c r="AA398" s="51"/>
    </row>
    <row r="399" spans="1:27" x14ac:dyDescent="0.45">
      <c r="A399" s="38"/>
      <c r="B399" s="4"/>
      <c r="C399" s="4"/>
      <c r="D399" s="100" t="s">
        <v>86</v>
      </c>
      <c r="E399" s="101" t="s">
        <v>21</v>
      </c>
      <c r="F399" s="102"/>
      <c r="G399" s="103">
        <f ca="1">IRR(G393:AM393)</f>
        <v>0.21441496205710586</v>
      </c>
      <c r="H399" s="58"/>
      <c r="J399" s="19"/>
      <c r="K399" s="51"/>
      <c r="L399" s="51"/>
      <c r="M399" s="51"/>
      <c r="N399" s="51"/>
      <c r="O399" s="51"/>
      <c r="P399" s="51"/>
      <c r="Q399" s="51"/>
      <c r="R399" s="51"/>
      <c r="S399" s="51"/>
      <c r="T399" s="51"/>
      <c r="U399" s="51"/>
      <c r="V399" s="51"/>
      <c r="W399" s="51"/>
      <c r="X399" s="51"/>
      <c r="Y399" s="51"/>
      <c r="Z399" s="51"/>
      <c r="AA399" s="51"/>
    </row>
    <row r="400" spans="1:27" x14ac:dyDescent="0.45">
      <c r="A400" s="38"/>
      <c r="L400" s="46"/>
    </row>
    <row r="401" spans="1:27" x14ac:dyDescent="0.45">
      <c r="A401" s="38"/>
      <c r="B401" s="4" t="s">
        <v>87</v>
      </c>
      <c r="C401" s="4"/>
      <c r="G401" s="49"/>
      <c r="I401" s="49"/>
      <c r="J401" s="49"/>
      <c r="K401" s="49"/>
      <c r="L401" s="49"/>
      <c r="M401" s="49"/>
      <c r="N401" s="49"/>
      <c r="O401" s="49"/>
      <c r="P401" s="49"/>
      <c r="Q401" s="49"/>
      <c r="R401" s="49"/>
      <c r="S401" s="49"/>
      <c r="T401" s="49"/>
      <c r="U401" s="49"/>
      <c r="V401" s="49"/>
      <c r="W401" s="49"/>
      <c r="X401" s="49"/>
      <c r="Y401" s="49"/>
      <c r="Z401" s="49"/>
      <c r="AA401" s="49"/>
    </row>
    <row r="402" spans="1:27" x14ac:dyDescent="0.45">
      <c r="A402" s="38"/>
      <c r="D402" s="2" t="s">
        <v>76</v>
      </c>
      <c r="E402" s="3" t="s">
        <v>806</v>
      </c>
      <c r="F402" s="60">
        <f>F286</f>
        <v>0.3</v>
      </c>
      <c r="G402" s="49">
        <f t="shared" ref="G402:AA402" ca="1" si="135">$F$402*G277</f>
        <v>-716600.15950827138</v>
      </c>
      <c r="H402" s="49">
        <f t="shared" ca="1" si="135"/>
        <v>853259.04049172869</v>
      </c>
      <c r="I402" s="49">
        <f t="shared" ca="1" si="135"/>
        <v>871883.42449172854</v>
      </c>
      <c r="J402" s="49">
        <f t="shared" ca="1" si="135"/>
        <v>890880.29617172887</v>
      </c>
      <c r="K402" s="49">
        <f t="shared" ca="1" si="135"/>
        <v>910257.10528532881</v>
      </c>
      <c r="L402" s="49">
        <f t="shared" ca="1" si="135"/>
        <v>930021.4505812003</v>
      </c>
      <c r="M402" s="49">
        <f t="shared" ca="1" si="135"/>
        <v>950181.08278299018</v>
      </c>
      <c r="N402" s="49">
        <f t="shared" ca="1" si="135"/>
        <v>970743.90762881597</v>
      </c>
      <c r="O402" s="49">
        <f t="shared" ca="1" si="135"/>
        <v>991717.98897155677</v>
      </c>
      <c r="P402" s="49">
        <f t="shared" ca="1" si="135"/>
        <v>1013111.5519411541</v>
      </c>
      <c r="Q402" s="49">
        <f t="shared" ca="1" si="135"/>
        <v>1034932.9861701425</v>
      </c>
      <c r="R402" s="49">
        <f t="shared" ca="1" si="135"/>
        <v>1057190.8490837109</v>
      </c>
      <c r="S402" s="49">
        <f t="shared" ca="1" si="135"/>
        <v>1079893.8692555509</v>
      </c>
      <c r="T402" s="49">
        <f t="shared" ca="1" si="135"/>
        <v>1103050.9498308268</v>
      </c>
      <c r="U402" s="49">
        <f t="shared" ca="1" si="135"/>
        <v>1126671.172017609</v>
      </c>
      <c r="V402" s="49">
        <f t="shared" ca="1" si="135"/>
        <v>1150763.7986481262</v>
      </c>
      <c r="W402" s="49">
        <f t="shared" ca="1" si="135"/>
        <v>1175338.2778112539</v>
      </c>
      <c r="X402" s="49">
        <f t="shared" ca="1" si="135"/>
        <v>1200404.2465576446</v>
      </c>
      <c r="Y402" s="49">
        <f t="shared" ca="1" si="135"/>
        <v>1225971.5346789642</v>
      </c>
      <c r="Z402" s="49">
        <f t="shared" ca="1" si="135"/>
        <v>1252050.168562708</v>
      </c>
      <c r="AA402" s="49">
        <f t="shared" ca="1" si="135"/>
        <v>1278650.3751241285</v>
      </c>
    </row>
    <row r="403" spans="1:27" x14ac:dyDescent="0.45">
      <c r="A403" s="38"/>
      <c r="D403" s="2" t="s">
        <v>77</v>
      </c>
      <c r="E403" s="3" t="s">
        <v>806</v>
      </c>
      <c r="G403" s="49">
        <f t="shared" ref="G403:U403" ca="1" si="136">IF(G402+F403&gt;0,0,G402+F403)</f>
        <v>-716600.15950827138</v>
      </c>
      <c r="H403" s="49">
        <f t="shared" ca="1" si="136"/>
        <v>0</v>
      </c>
      <c r="I403" s="49">
        <f t="shared" ca="1" si="136"/>
        <v>0</v>
      </c>
      <c r="J403" s="49">
        <f t="shared" ca="1" si="136"/>
        <v>0</v>
      </c>
      <c r="K403" s="49">
        <f t="shared" ca="1" si="136"/>
        <v>0</v>
      </c>
      <c r="L403" s="49">
        <f t="shared" ca="1" si="136"/>
        <v>0</v>
      </c>
      <c r="M403" s="49">
        <f t="shared" ca="1" si="136"/>
        <v>0</v>
      </c>
      <c r="N403" s="49">
        <f t="shared" ca="1" si="136"/>
        <v>0</v>
      </c>
      <c r="O403" s="49">
        <f t="shared" ca="1" si="136"/>
        <v>0</v>
      </c>
      <c r="P403" s="49">
        <f t="shared" ca="1" si="136"/>
        <v>0</v>
      </c>
      <c r="Q403" s="49">
        <f t="shared" ca="1" si="136"/>
        <v>0</v>
      </c>
      <c r="R403" s="49">
        <f t="shared" ca="1" si="136"/>
        <v>0</v>
      </c>
      <c r="S403" s="49">
        <f t="shared" ca="1" si="136"/>
        <v>0</v>
      </c>
      <c r="T403" s="49">
        <f t="shared" ca="1" si="136"/>
        <v>0</v>
      </c>
      <c r="U403" s="49">
        <f t="shared" ca="1" si="136"/>
        <v>0</v>
      </c>
      <c r="V403" s="49">
        <f t="shared" ref="V403:AA403" ca="1" si="137">IF(V402+U403&gt;0,0,V402+U403)</f>
        <v>0</v>
      </c>
      <c r="W403" s="49">
        <f t="shared" ca="1" si="137"/>
        <v>0</v>
      </c>
      <c r="X403" s="49">
        <f t="shared" ca="1" si="137"/>
        <v>0</v>
      </c>
      <c r="Y403" s="49">
        <f t="shared" ca="1" si="137"/>
        <v>0</v>
      </c>
      <c r="Z403" s="49">
        <f t="shared" ca="1" si="137"/>
        <v>0</v>
      </c>
      <c r="AA403" s="49">
        <f t="shared" ca="1" si="137"/>
        <v>0</v>
      </c>
    </row>
    <row r="404" spans="1:27" x14ac:dyDescent="0.45">
      <c r="A404" s="38"/>
      <c r="D404" s="2" t="s">
        <v>40</v>
      </c>
      <c r="E404" s="3" t="s">
        <v>806</v>
      </c>
      <c r="G404" s="49">
        <f t="shared" ref="G404:U404" ca="1" si="138">IF(G403&lt;0,G403,F404+G402-G405)</f>
        <v>-716600.15950827138</v>
      </c>
      <c r="H404" s="49">
        <f t="shared" ca="1" si="138"/>
        <v>136658.88098345732</v>
      </c>
      <c r="I404" s="49">
        <f t="shared" ca="1" si="138"/>
        <v>871883.42449172854</v>
      </c>
      <c r="J404" s="49">
        <f t="shared" ca="1" si="138"/>
        <v>890880.29617172887</v>
      </c>
      <c r="K404" s="49">
        <f t="shared" ca="1" si="138"/>
        <v>910257.10528532893</v>
      </c>
      <c r="L404" s="49">
        <f t="shared" ca="1" si="138"/>
        <v>930021.4505812003</v>
      </c>
      <c r="M404" s="49">
        <f t="shared" ca="1" si="138"/>
        <v>950181.08278299018</v>
      </c>
      <c r="N404" s="49">
        <f t="shared" ca="1" si="138"/>
        <v>970743.90762881597</v>
      </c>
      <c r="O404" s="49">
        <f t="shared" ca="1" si="138"/>
        <v>991717.98897155665</v>
      </c>
      <c r="P404" s="49">
        <f t="shared" ca="1" si="138"/>
        <v>1013111.5519411539</v>
      </c>
      <c r="Q404" s="49">
        <f t="shared" ca="1" si="138"/>
        <v>1034932.9861701425</v>
      </c>
      <c r="R404" s="49">
        <f t="shared" ca="1" si="138"/>
        <v>1057190.8490837109</v>
      </c>
      <c r="S404" s="49">
        <f t="shared" ca="1" si="138"/>
        <v>1079893.8692555507</v>
      </c>
      <c r="T404" s="49">
        <f t="shared" ca="1" si="138"/>
        <v>1103050.9498308268</v>
      </c>
      <c r="U404" s="49">
        <f t="shared" ca="1" si="138"/>
        <v>1126671.1720176092</v>
      </c>
      <c r="V404" s="49">
        <f t="shared" ref="V404:AA404" ca="1" si="139">IF(V403&lt;0,V403,U404+V402-V405)</f>
        <v>1150763.798648126</v>
      </c>
      <c r="W404" s="49">
        <f t="shared" ca="1" si="139"/>
        <v>1175338.2778112539</v>
      </c>
      <c r="X404" s="49">
        <f t="shared" ca="1" si="139"/>
        <v>1200404.2465576446</v>
      </c>
      <c r="Y404" s="49">
        <f t="shared" ca="1" si="139"/>
        <v>1225971.5346789639</v>
      </c>
      <c r="Z404" s="49">
        <f t="shared" ca="1" si="139"/>
        <v>1252050.168562708</v>
      </c>
      <c r="AA404" s="49">
        <f t="shared" ca="1" si="139"/>
        <v>1278650.3751241285</v>
      </c>
    </row>
    <row r="405" spans="1:27" x14ac:dyDescent="0.45">
      <c r="A405" s="38"/>
      <c r="D405" s="2" t="s">
        <v>59</v>
      </c>
      <c r="E405" s="3" t="s">
        <v>806</v>
      </c>
      <c r="G405" s="49">
        <f t="shared" ref="G405:U405" si="140">IF(F404&lt;0,0,F404)</f>
        <v>0</v>
      </c>
      <c r="H405" s="49">
        <f t="shared" ca="1" si="140"/>
        <v>0</v>
      </c>
      <c r="I405" s="49">
        <f t="shared" ca="1" si="140"/>
        <v>136658.88098345732</v>
      </c>
      <c r="J405" s="49">
        <f t="shared" ca="1" si="140"/>
        <v>871883.42449172854</v>
      </c>
      <c r="K405" s="49">
        <f t="shared" ca="1" si="140"/>
        <v>890880.29617172887</v>
      </c>
      <c r="L405" s="49">
        <f t="shared" ca="1" si="140"/>
        <v>910257.10528532893</v>
      </c>
      <c r="M405" s="49">
        <f t="shared" ca="1" si="140"/>
        <v>930021.4505812003</v>
      </c>
      <c r="N405" s="49">
        <f t="shared" ca="1" si="140"/>
        <v>950181.08278299018</v>
      </c>
      <c r="O405" s="49">
        <f t="shared" ca="1" si="140"/>
        <v>970743.90762881597</v>
      </c>
      <c r="P405" s="49">
        <f t="shared" ca="1" si="140"/>
        <v>991717.98897155665</v>
      </c>
      <c r="Q405" s="49">
        <f t="shared" ca="1" si="140"/>
        <v>1013111.5519411539</v>
      </c>
      <c r="R405" s="49">
        <f t="shared" ca="1" si="140"/>
        <v>1034932.9861701425</v>
      </c>
      <c r="S405" s="49">
        <f t="shared" ca="1" si="140"/>
        <v>1057190.8490837109</v>
      </c>
      <c r="T405" s="49">
        <f t="shared" ca="1" si="140"/>
        <v>1079893.8692555507</v>
      </c>
      <c r="U405" s="49">
        <f t="shared" ca="1" si="140"/>
        <v>1103050.9498308268</v>
      </c>
      <c r="V405" s="49">
        <f t="shared" ref="V405:AA405" ca="1" si="141">IF(U404&lt;0,0,U404)</f>
        <v>1126671.1720176092</v>
      </c>
      <c r="W405" s="49">
        <f t="shared" ca="1" si="141"/>
        <v>1150763.798648126</v>
      </c>
      <c r="X405" s="49">
        <f t="shared" ca="1" si="141"/>
        <v>1175338.2778112539</v>
      </c>
      <c r="Y405" s="49">
        <f t="shared" ca="1" si="141"/>
        <v>1200404.2465576446</v>
      </c>
      <c r="Z405" s="49">
        <f t="shared" ca="1" si="141"/>
        <v>1225971.5346789639</v>
      </c>
      <c r="AA405" s="49">
        <f t="shared" ca="1" si="141"/>
        <v>1252050.168562708</v>
      </c>
    </row>
    <row r="406" spans="1:27" x14ac:dyDescent="0.45">
      <c r="A406" s="38"/>
      <c r="D406" s="61" t="s">
        <v>52</v>
      </c>
      <c r="E406" s="62"/>
      <c r="F406" s="61"/>
      <c r="G406" s="63">
        <v>5.6843418860808015E-14</v>
      </c>
      <c r="H406" s="63">
        <v>5.6843418860808015E-14</v>
      </c>
      <c r="I406" s="63">
        <v>2.8421709430404007E-14</v>
      </c>
      <c r="J406" s="63">
        <v>5.6843418860808015E-14</v>
      </c>
      <c r="K406" s="63">
        <v>0</v>
      </c>
      <c r="L406" s="63">
        <v>0</v>
      </c>
      <c r="M406" s="63">
        <v>0</v>
      </c>
      <c r="N406" s="63">
        <v>0</v>
      </c>
      <c r="O406" s="63">
        <v>0</v>
      </c>
      <c r="P406" s="63">
        <v>0</v>
      </c>
      <c r="Q406" s="63">
        <v>0</v>
      </c>
      <c r="R406" s="63">
        <v>0</v>
      </c>
      <c r="S406" s="63">
        <v>1</v>
      </c>
      <c r="T406" s="63">
        <v>2</v>
      </c>
      <c r="U406" s="63">
        <v>3</v>
      </c>
      <c r="V406" s="63">
        <v>4</v>
      </c>
      <c r="W406" s="63">
        <v>5</v>
      </c>
      <c r="X406" s="63">
        <v>6</v>
      </c>
      <c r="Y406" s="63">
        <v>7</v>
      </c>
      <c r="Z406" s="63">
        <v>8</v>
      </c>
      <c r="AA406" s="63">
        <v>9</v>
      </c>
    </row>
    <row r="408" spans="1:27" hidden="1" x14ac:dyDescent="0.45">
      <c r="B408" s="4" t="s">
        <v>88</v>
      </c>
      <c r="C408" s="4"/>
      <c r="G408" s="46"/>
    </row>
    <row r="409" spans="1:27" hidden="1" x14ac:dyDescent="0.45">
      <c r="B409" s="4"/>
      <c r="C409" s="4"/>
      <c r="D409" s="4" t="s">
        <v>89</v>
      </c>
      <c r="G409" s="46"/>
    </row>
    <row r="410" spans="1:27" hidden="1" x14ac:dyDescent="0.45">
      <c r="B410" s="4"/>
      <c r="C410" s="4"/>
      <c r="D410" s="2" t="s">
        <v>90</v>
      </c>
      <c r="E410" s="23" t="s">
        <v>91</v>
      </c>
      <c r="F410" s="64">
        <v>1</v>
      </c>
    </row>
    <row r="411" spans="1:27" hidden="1" x14ac:dyDescent="0.45">
      <c r="B411" s="4"/>
      <c r="C411" s="4"/>
      <c r="D411" s="2" t="s">
        <v>92</v>
      </c>
      <c r="E411" s="23" t="s">
        <v>93</v>
      </c>
      <c r="F411" s="65">
        <f>20-F410</f>
        <v>19</v>
      </c>
    </row>
    <row r="412" spans="1:27" hidden="1" x14ac:dyDescent="0.45">
      <c r="B412" s="4"/>
      <c r="C412" s="4"/>
      <c r="D412" s="2" t="s">
        <v>382</v>
      </c>
      <c r="F412" s="64">
        <v>2037</v>
      </c>
    </row>
    <row r="413" spans="1:27" hidden="1" x14ac:dyDescent="0.45">
      <c r="B413" s="4"/>
      <c r="C413" s="4"/>
      <c r="D413" s="4" t="s">
        <v>95</v>
      </c>
      <c r="E413" s="2"/>
      <c r="G413" s="2" t="s">
        <v>94</v>
      </c>
      <c r="H413" s="19"/>
      <c r="I413" s="19"/>
      <c r="J413" s="19"/>
      <c r="K413" s="19"/>
      <c r="L413" s="19"/>
      <c r="M413" s="19"/>
      <c r="N413" s="19"/>
      <c r="O413" s="19"/>
      <c r="P413" s="19"/>
      <c r="Q413" s="19"/>
      <c r="R413" s="19"/>
      <c r="S413" s="19"/>
      <c r="T413" s="19"/>
      <c r="U413" s="19"/>
      <c r="V413" s="19"/>
      <c r="W413" s="19"/>
      <c r="X413" s="19"/>
      <c r="Y413" s="19"/>
      <c r="Z413" s="19"/>
      <c r="AA413" s="19"/>
    </row>
    <row r="414" spans="1:27" hidden="1" x14ac:dyDescent="0.45">
      <c r="B414" s="4"/>
      <c r="C414" s="4"/>
      <c r="D414" s="66" t="s">
        <v>96</v>
      </c>
      <c r="E414" s="67">
        <v>0.15</v>
      </c>
      <c r="F414" s="57">
        <f ca="1">(NPV(E414,(OFFSET(G393,,$F$410):OFFSET(G393,,$F$410+F411)))*((1+E414))+OFFSET($F$303,,$F$410))</f>
        <v>16243658.526131678</v>
      </c>
      <c r="G414" s="57">
        <f ca="1">NPV($E414,H393:OFFSET(H393,,$F$412-G10))*((1+$E414))+G303</f>
        <v>15788632.318381045</v>
      </c>
      <c r="H414" s="57">
        <f ca="1">NPV($E414,I393:OFFSET(I393,,$F$412-H10))*((1+$E414))+H303</f>
        <v>17794146.505965315</v>
      </c>
      <c r="I414" s="57">
        <f ca="1">NPV($E414,J393:OFFSET(J393,,$F$412-I10))*((1+$E414))+I303</f>
        <v>19847332.557335433</v>
      </c>
      <c r="J414" s="57">
        <f ca="1">NPV($E414,K393:OFFSET(K393,,$F$412-J10))*((1+$E414))+J303</f>
        <v>22016583.369301364</v>
      </c>
      <c r="K414" s="57">
        <f ca="1">NPV($E414,L393:OFFSET(L393,,$F$412-K10))*((1+$E414))+K303</f>
        <v>24257233.614719667</v>
      </c>
      <c r="L414" s="57">
        <f ca="1">NPV($E414,M393:OFFSET(M393,,$F$412-L10))*((1+$E414))+L303</f>
        <v>26572185.710520919</v>
      </c>
      <c r="M414" s="57">
        <f ca="1">NPV($E414,N393:OFFSET(N393,,$F$412-M10))*((1+$E414))+M303</f>
        <v>28957441.154883832</v>
      </c>
      <c r="N414" s="57">
        <f ca="1">NPV($E414,O393:OFFSET(O393,,$F$412-N10))*((1+$E414))+N303</f>
        <v>31407618.043587133</v>
      </c>
      <c r="O414" s="57">
        <f ca="1">NPV($E414,P393:OFFSET(P393,,$F$412-O10))*((1+$E414))+O303</f>
        <v>33915767.989960402</v>
      </c>
      <c r="P414" s="57">
        <f ca="1">NPV($E414,Q393:OFFSET(Q393,,$F$412-P10))*((1+$E414))+P303</f>
        <v>36473107.822261319</v>
      </c>
      <c r="Q414" s="57">
        <f ca="1">NPV($E414,R393:OFFSET(R393,,$F$412-Q10))*((1+$E414))+Q303</f>
        <v>39068709.082666337</v>
      </c>
      <c r="R414" s="57">
        <f ca="1">NPV($E414,S393:OFFSET(S393,,$F$412-R10))*((1+$E414))+R303</f>
        <v>41689139.417693861</v>
      </c>
      <c r="S414" s="57">
        <f ca="1">NPV($E414,T393:OFFSET(T393,,$F$412-S10))*((1+$E414))+S303</f>
        <v>44318048.582468539</v>
      </c>
      <c r="T414" s="57">
        <f ca="1">NPV($E414,U393:OFFSET(U393,,$F$412-T10))*((1+$E414))+T303</f>
        <v>46935690.682680443</v>
      </c>
      <c r="U414" s="57">
        <f ca="1">NPV($E414,V393:OFFSET(V393,,$F$412-U10))*((1+$E414))+U303</f>
        <v>49518373.01872927</v>
      </c>
      <c r="V414" s="57">
        <f ca="1">NPV($E414,W393:OFFSET(W393,,$F$412-V10))*((1+$E414))+V303</f>
        <v>52037820.44818797</v>
      </c>
      <c r="W414" s="57">
        <f ca="1">NPV($E414,X393:OFFSET(X393,,$F$412-W10))*((1+$E414))+W303</f>
        <v>54460442.516982406</v>
      </c>
      <c r="X414" s="57">
        <f ca="1">NPV($E414,Y393:OFFSET(Y393,,$F$412-X10))*((1+$E414))+X303</f>
        <v>56746488.693951331</v>
      </c>
      <c r="Y414" s="57">
        <f ca="1">NPV($E414,Z393:OFFSET(Z393,,$F$412-Y10))*((1+$E414))+Y303</f>
        <v>64372673.619869061</v>
      </c>
      <c r="Z414" s="57">
        <f ca="1">NPV($E414,AA393:OFFSET(AA393,,$F$412-Z10))*((1+$E414))+Z303</f>
        <v>71970407.291680008</v>
      </c>
      <c r="AA414" s="57">
        <f ca="1">NPV($E414,AB393:OFFSET(AB393,,$F$412-AA10))*((1+$E414))+AA303</f>
        <v>77545593.703795463</v>
      </c>
    </row>
    <row r="415" spans="1:27" hidden="1" x14ac:dyDescent="0.45">
      <c r="B415" s="4"/>
      <c r="C415" s="4"/>
      <c r="D415" s="66" t="s">
        <v>97</v>
      </c>
      <c r="E415" s="68">
        <v>5</v>
      </c>
      <c r="F415" s="57">
        <f ca="1">IF((F$410+F$411)&gt;$AA$9,"NA",OFFSET(F415,,F410))</f>
        <v>-10047225.344995083</v>
      </c>
      <c r="G415" s="57">
        <f t="shared" ref="G415:AA415" ca="1" si="142">$E415*(G277+G271)+G303</f>
        <v>-10047225.344995083</v>
      </c>
      <c r="H415" s="57">
        <f t="shared" ca="1" si="142"/>
        <v>16080071.444893667</v>
      </c>
      <c r="I415" s="57">
        <f t="shared" ca="1" si="142"/>
        <v>19159739.52136711</v>
      </c>
      <c r="J415" s="57">
        <f t="shared" ca="1" si="142"/>
        <v>21692751.45711527</v>
      </c>
      <c r="K415" s="57">
        <f t="shared" ca="1" si="142"/>
        <v>24359271.912797987</v>
      </c>
      <c r="L415" s="57">
        <f t="shared" ca="1" si="142"/>
        <v>27171670.566676453</v>
      </c>
      <c r="M415" s="57">
        <f t="shared" ca="1" si="142"/>
        <v>30136839.28542681</v>
      </c>
      <c r="N415" s="57">
        <f t="shared" ca="1" si="142"/>
        <v>33261923.166926257</v>
      </c>
      <c r="O415" s="57">
        <f t="shared" ca="1" si="142"/>
        <v>36554383.016810678</v>
      </c>
      <c r="P415" s="57">
        <f t="shared" ca="1" si="142"/>
        <v>40022009.437180966</v>
      </c>
      <c r="Q415" s="57">
        <f t="shared" ca="1" si="142"/>
        <v>43672937.076877892</v>
      </c>
      <c r="R415" s="57">
        <f t="shared" ca="1" si="142"/>
        <v>47515659.487163499</v>
      </c>
      <c r="S415" s="57">
        <f t="shared" ca="1" si="142"/>
        <v>51559044.612338811</v>
      </c>
      <c r="T415" s="57">
        <f t="shared" ca="1" si="142"/>
        <v>55812350.942342348</v>
      </c>
      <c r="U415" s="57">
        <f t="shared" ca="1" si="142"/>
        <v>60285244.35548909</v>
      </c>
      <c r="V415" s="57">
        <f t="shared" ca="1" si="142"/>
        <v>64987815.680704676</v>
      </c>
      <c r="W415" s="57">
        <f t="shared" ca="1" si="142"/>
        <v>69930599.009855688</v>
      </c>
      <c r="X415" s="57">
        <f t="shared" ca="1" si="142"/>
        <v>75124590.792075574</v>
      </c>
      <c r="Y415" s="57">
        <f t="shared" ca="1" si="142"/>
        <v>80581269.743339643</v>
      </c>
      <c r="Z415" s="57">
        <f t="shared" ca="1" si="142"/>
        <v>86312617.605953723</v>
      </c>
      <c r="AA415" s="57">
        <f t="shared" ca="1" si="142"/>
        <v>92331140.794092864</v>
      </c>
    </row>
    <row r="416" spans="1:27" hidden="1" x14ac:dyDescent="0.45">
      <c r="B416" s="4"/>
      <c r="C416" s="4"/>
      <c r="D416" s="4"/>
      <c r="E416" s="69"/>
      <c r="F416" s="57"/>
      <c r="G416" s="57"/>
      <c r="H416" s="57"/>
      <c r="I416" s="57"/>
      <c r="J416" s="57"/>
      <c r="K416" s="57"/>
      <c r="L416" s="57"/>
      <c r="M416" s="57"/>
      <c r="N416" s="57"/>
      <c r="O416" s="57"/>
      <c r="P416" s="57"/>
      <c r="Q416" s="57"/>
      <c r="R416" s="57"/>
      <c r="S416" s="57"/>
      <c r="T416" s="57"/>
      <c r="U416" s="57"/>
      <c r="V416" s="57"/>
      <c r="W416" s="57"/>
      <c r="X416" s="57"/>
      <c r="Y416" s="57"/>
      <c r="Z416" s="57"/>
      <c r="AA416" s="57"/>
    </row>
    <row r="417" spans="2:15" hidden="1" x14ac:dyDescent="0.45">
      <c r="B417" s="4"/>
      <c r="C417" s="4"/>
      <c r="D417" s="2" t="s">
        <v>98</v>
      </c>
      <c r="E417" s="70"/>
      <c r="F417" s="71" t="s">
        <v>99</v>
      </c>
      <c r="G417" s="4" t="s">
        <v>100</v>
      </c>
      <c r="N417" s="19"/>
      <c r="O417" s="19"/>
    </row>
    <row r="418" spans="2:15" hidden="1" x14ac:dyDescent="0.45">
      <c r="B418" s="4"/>
      <c r="C418" s="4"/>
      <c r="D418" s="66" t="s">
        <v>101</v>
      </c>
      <c r="E418" s="70"/>
      <c r="F418" s="72">
        <f ca="1">OFFSET($F$317,,$F$410)</f>
        <v>0</v>
      </c>
      <c r="G418" s="72">
        <f ca="1">OFFSET($F$317,,$F$410)</f>
        <v>0</v>
      </c>
    </row>
    <row r="419" spans="2:15" hidden="1" x14ac:dyDescent="0.45">
      <c r="B419" s="4"/>
      <c r="C419" s="4"/>
      <c r="D419" s="66" t="s">
        <v>102</v>
      </c>
      <c r="E419" s="70"/>
      <c r="F419" s="73"/>
    </row>
    <row r="420" spans="2:15" hidden="1" x14ac:dyDescent="0.45">
      <c r="B420" s="4"/>
      <c r="C420" s="4"/>
      <c r="D420" s="74" t="s">
        <v>103</v>
      </c>
      <c r="E420" s="64" t="s">
        <v>104</v>
      </c>
      <c r="F420" s="72">
        <f>IF($E420="Y",SUM($G$362:$H$362),0)</f>
        <v>0</v>
      </c>
      <c r="G420" s="72">
        <f>IF($E420="Y",SUM($G$371:$H$371),0)</f>
        <v>0</v>
      </c>
    </row>
    <row r="421" spans="2:15" hidden="1" x14ac:dyDescent="0.45">
      <c r="B421" s="4"/>
      <c r="C421" s="4"/>
      <c r="D421" s="74" t="s">
        <v>28</v>
      </c>
      <c r="E421" s="75">
        <v>0.05</v>
      </c>
      <c r="F421" s="72">
        <f ca="1">OFFSET($F$309,,$F$420)</f>
        <v>0</v>
      </c>
      <c r="G421" s="72">
        <f ca="1">OFFSET($F$324,,$F$420)</f>
        <v>0</v>
      </c>
      <c r="H421" s="36"/>
    </row>
    <row r="422" spans="2:15" hidden="1" x14ac:dyDescent="0.45">
      <c r="B422" s="4"/>
      <c r="C422" s="4"/>
      <c r="D422" s="74" t="s">
        <v>105</v>
      </c>
      <c r="E422" s="75">
        <v>0</v>
      </c>
      <c r="F422" s="72">
        <f ca="1">(F414-F418-F420-F421)*$E422</f>
        <v>0</v>
      </c>
      <c r="G422" s="72">
        <f ca="1">(G414-G418-G420-G421)*$E422</f>
        <v>0</v>
      </c>
      <c r="H422" s="36"/>
    </row>
    <row r="423" spans="2:15" hidden="1" x14ac:dyDescent="0.45">
      <c r="B423" s="4"/>
      <c r="C423" s="4"/>
      <c r="D423" s="74"/>
      <c r="E423" s="76"/>
      <c r="F423" s="72" t="s">
        <v>106</v>
      </c>
      <c r="G423" s="72" t="s">
        <v>106</v>
      </c>
      <c r="H423" s="36"/>
    </row>
    <row r="424" spans="2:15" hidden="1" x14ac:dyDescent="0.45">
      <c r="B424" s="4"/>
      <c r="C424" s="4"/>
      <c r="D424" s="74" t="s">
        <v>107</v>
      </c>
      <c r="E424" s="76"/>
      <c r="F424" s="72">
        <f ca="1">SUM(F419:F423)</f>
        <v>0</v>
      </c>
      <c r="G424" s="72">
        <f ca="1">SUM(G419:G423)</f>
        <v>0</v>
      </c>
      <c r="H424" s="36"/>
    </row>
    <row r="425" spans="2:15" hidden="1" x14ac:dyDescent="0.45">
      <c r="B425" s="4"/>
      <c r="C425" s="4"/>
      <c r="D425" s="74"/>
      <c r="E425" s="76"/>
      <c r="F425" s="72"/>
      <c r="G425" s="72"/>
      <c r="H425" s="36"/>
    </row>
    <row r="426" spans="2:15" hidden="1" x14ac:dyDescent="0.45">
      <c r="B426" s="4"/>
      <c r="C426" s="4"/>
      <c r="D426" s="74"/>
      <c r="E426" s="24" t="s">
        <v>105</v>
      </c>
      <c r="F426" s="157" t="s">
        <v>186</v>
      </c>
      <c r="G426" s="72"/>
      <c r="H426" s="36"/>
    </row>
    <row r="427" spans="2:15" hidden="1" x14ac:dyDescent="0.45">
      <c r="B427" s="4"/>
      <c r="C427" s="4"/>
      <c r="D427" s="66" t="s">
        <v>172</v>
      </c>
      <c r="E427" s="214">
        <v>0.15</v>
      </c>
      <c r="F427" s="214">
        <v>0</v>
      </c>
      <c r="G427"/>
      <c r="H427" s="55"/>
    </row>
    <row r="428" spans="2:15" hidden="1" x14ac:dyDescent="0.45">
      <c r="B428" s="4"/>
      <c r="C428" s="4"/>
      <c r="D428" s="66" t="s">
        <v>173</v>
      </c>
      <c r="E428" s="214">
        <v>0.25</v>
      </c>
      <c r="F428" s="214">
        <v>0.15</v>
      </c>
      <c r="G428"/>
      <c r="H428"/>
      <c r="I428"/>
      <c r="J428"/>
      <c r="K428" s="78"/>
      <c r="L428" s="77"/>
      <c r="M428" s="77"/>
      <c r="N428" s="77"/>
    </row>
    <row r="429" spans="2:15" hidden="1" x14ac:dyDescent="0.45">
      <c r="B429" s="4"/>
      <c r="C429" s="4"/>
      <c r="D429" s="66" t="s">
        <v>174</v>
      </c>
      <c r="E429" s="79">
        <f>(1-$E427-$E428)</f>
        <v>0.6</v>
      </c>
      <c r="F429" s="79">
        <f>(1-$F427-$F428)</f>
        <v>0.85</v>
      </c>
      <c r="G429"/>
      <c r="H429" s="36"/>
    </row>
    <row r="430" spans="2:15" hidden="1" x14ac:dyDescent="0.45">
      <c r="B430" s="4"/>
      <c r="C430" s="4"/>
      <c r="D430" s="66" t="s">
        <v>52</v>
      </c>
      <c r="E430" s="70"/>
      <c r="F430"/>
      <c r="G430"/>
      <c r="H430" s="36"/>
    </row>
    <row r="431" spans="2:15" hidden="1" x14ac:dyDescent="0.45">
      <c r="B431" s="4"/>
      <c r="C431" s="4" t="s">
        <v>193</v>
      </c>
      <c r="D431" s="66"/>
      <c r="E431" s="70"/>
      <c r="F431" s="73"/>
      <c r="G431" s="73"/>
      <c r="H431" s="36"/>
    </row>
    <row r="432" spans="2:15" hidden="1" x14ac:dyDescent="0.45">
      <c r="B432" s="4"/>
      <c r="C432" s="4"/>
      <c r="D432" s="4" t="s">
        <v>184</v>
      </c>
      <c r="E432" s="160">
        <f ca="1">E429*F414</f>
        <v>9746195.115679007</v>
      </c>
      <c r="F432" s="73"/>
      <c r="G432" s="73"/>
      <c r="H432" s="36"/>
    </row>
    <row r="433" spans="2:27" hidden="1" x14ac:dyDescent="0.45">
      <c r="B433" s="4"/>
      <c r="C433" s="4"/>
      <c r="D433" s="4" t="s">
        <v>185</v>
      </c>
      <c r="E433" s="160">
        <f ca="1">E429*F415</f>
        <v>-6028335.20699705</v>
      </c>
      <c r="F433" s="73"/>
      <c r="G433" s="73"/>
      <c r="H433" s="36"/>
    </row>
    <row r="434" spans="2:27" hidden="1" x14ac:dyDescent="0.45">
      <c r="B434" s="4"/>
      <c r="C434" s="4"/>
      <c r="D434" s="66"/>
      <c r="E434" s="70"/>
      <c r="F434" s="73"/>
      <c r="G434" s="73"/>
      <c r="H434" s="36"/>
    </row>
    <row r="435" spans="2:27" hidden="1" x14ac:dyDescent="0.45">
      <c r="C435" s="4" t="s">
        <v>194</v>
      </c>
      <c r="D435" s="66"/>
      <c r="E435" s="70"/>
      <c r="F435" s="73"/>
      <c r="G435" s="73"/>
      <c r="H435" s="36"/>
    </row>
    <row r="436" spans="2:27" hidden="1" x14ac:dyDescent="0.45">
      <c r="B436" s="4"/>
      <c r="D436" s="4" t="s">
        <v>184</v>
      </c>
      <c r="E436" s="70"/>
      <c r="F436" s="70">
        <v>0</v>
      </c>
      <c r="G436" s="70">
        <v>1</v>
      </c>
      <c r="H436" s="70">
        <v>2</v>
      </c>
      <c r="I436" s="70">
        <v>3</v>
      </c>
      <c r="J436" s="70">
        <v>4</v>
      </c>
      <c r="K436" s="70">
        <v>5</v>
      </c>
      <c r="L436" s="70">
        <v>6</v>
      </c>
      <c r="M436" s="70">
        <v>7</v>
      </c>
      <c r="N436" s="70">
        <v>8</v>
      </c>
      <c r="O436" s="70">
        <v>9</v>
      </c>
      <c r="P436" s="70">
        <v>10</v>
      </c>
      <c r="Q436" s="70">
        <v>11</v>
      </c>
      <c r="R436" s="70">
        <v>12</v>
      </c>
      <c r="S436" s="70">
        <v>13</v>
      </c>
      <c r="T436" s="70">
        <v>14</v>
      </c>
      <c r="U436" s="70">
        <v>15</v>
      </c>
      <c r="V436" s="70">
        <v>16</v>
      </c>
      <c r="W436" s="70">
        <v>17</v>
      </c>
      <c r="X436" s="70">
        <v>18</v>
      </c>
      <c r="Y436" s="70">
        <v>19</v>
      </c>
      <c r="Z436" s="70">
        <v>20</v>
      </c>
      <c r="AA436" s="70">
        <v>21</v>
      </c>
    </row>
    <row r="437" spans="2:27" hidden="1" x14ac:dyDescent="0.45">
      <c r="B437" s="4"/>
      <c r="D437" s="66" t="s">
        <v>182</v>
      </c>
      <c r="E437" s="154"/>
      <c r="F437" s="154"/>
      <c r="G437" s="155">
        <f t="shared" ref="G437:AA437" ca="1" si="143">IF(G$10=$G$10+$F$410-1,$E$428*($F$414-$F$418-$F$424),0)</f>
        <v>4060914.6315329196</v>
      </c>
      <c r="H437" s="155">
        <f t="shared" si="143"/>
        <v>0</v>
      </c>
      <c r="I437" s="155">
        <f t="shared" si="143"/>
        <v>0</v>
      </c>
      <c r="J437" s="155">
        <f t="shared" si="143"/>
        <v>0</v>
      </c>
      <c r="K437" s="155">
        <f t="shared" si="143"/>
        <v>0</v>
      </c>
      <c r="L437" s="155">
        <f t="shared" si="143"/>
        <v>0</v>
      </c>
      <c r="M437" s="155">
        <f t="shared" si="143"/>
        <v>0</v>
      </c>
      <c r="N437" s="155">
        <f t="shared" si="143"/>
        <v>0</v>
      </c>
      <c r="O437" s="155">
        <f t="shared" si="143"/>
        <v>0</v>
      </c>
      <c r="P437" s="155">
        <f t="shared" si="143"/>
        <v>0</v>
      </c>
      <c r="Q437" s="155">
        <f t="shared" si="143"/>
        <v>0</v>
      </c>
      <c r="R437" s="155">
        <f t="shared" si="143"/>
        <v>0</v>
      </c>
      <c r="S437" s="155">
        <f t="shared" si="143"/>
        <v>0</v>
      </c>
      <c r="T437" s="155">
        <f t="shared" si="143"/>
        <v>0</v>
      </c>
      <c r="U437" s="155">
        <f t="shared" si="143"/>
        <v>0</v>
      </c>
      <c r="V437" s="155">
        <f t="shared" si="143"/>
        <v>0</v>
      </c>
      <c r="W437" s="155">
        <f t="shared" si="143"/>
        <v>0</v>
      </c>
      <c r="X437" s="155">
        <f t="shared" si="143"/>
        <v>0</v>
      </c>
      <c r="Y437" s="155">
        <f t="shared" si="143"/>
        <v>0</v>
      </c>
      <c r="Z437" s="155">
        <f t="shared" si="143"/>
        <v>0</v>
      </c>
      <c r="AA437" s="155">
        <f t="shared" si="143"/>
        <v>0</v>
      </c>
    </row>
    <row r="438" spans="2:27" hidden="1" x14ac:dyDescent="0.45">
      <c r="B438" s="4"/>
      <c r="D438" s="66" t="s">
        <v>190</v>
      </c>
      <c r="E438" s="154"/>
      <c r="F438" s="154"/>
      <c r="G438" s="155">
        <f t="shared" ref="G438:U438" si="144">-G356</f>
        <v>0</v>
      </c>
      <c r="H438" s="155">
        <f t="shared" si="144"/>
        <v>0</v>
      </c>
      <c r="I438" s="155">
        <f t="shared" si="144"/>
        <v>0</v>
      </c>
      <c r="J438" s="155">
        <f t="shared" si="144"/>
        <v>0</v>
      </c>
      <c r="K438" s="155">
        <f t="shared" si="144"/>
        <v>0</v>
      </c>
      <c r="L438" s="155">
        <f t="shared" si="144"/>
        <v>0</v>
      </c>
      <c r="M438" s="155">
        <f t="shared" si="144"/>
        <v>0</v>
      </c>
      <c r="N438" s="155">
        <f t="shared" si="144"/>
        <v>0</v>
      </c>
      <c r="O438" s="155">
        <f t="shared" si="144"/>
        <v>0</v>
      </c>
      <c r="P438" s="155">
        <f t="shared" si="144"/>
        <v>0</v>
      </c>
      <c r="Q438" s="155">
        <f t="shared" si="144"/>
        <v>0</v>
      </c>
      <c r="R438" s="155">
        <f t="shared" si="144"/>
        <v>0</v>
      </c>
      <c r="S438" s="155">
        <f t="shared" si="144"/>
        <v>0</v>
      </c>
      <c r="T438" s="155">
        <f t="shared" si="144"/>
        <v>0</v>
      </c>
      <c r="U438" s="155">
        <f t="shared" si="144"/>
        <v>0</v>
      </c>
      <c r="V438" s="155">
        <f t="shared" ref="V438:AA438" si="145">-V356</f>
        <v>0</v>
      </c>
      <c r="W438" s="155">
        <f t="shared" si="145"/>
        <v>0</v>
      </c>
      <c r="X438" s="155">
        <f t="shared" si="145"/>
        <v>0</v>
      </c>
      <c r="Y438" s="155">
        <f t="shared" si="145"/>
        <v>0</v>
      </c>
      <c r="Z438" s="155">
        <f t="shared" si="145"/>
        <v>0</v>
      </c>
      <c r="AA438" s="155">
        <f t="shared" si="145"/>
        <v>0</v>
      </c>
    </row>
    <row r="439" spans="2:27" hidden="1" x14ac:dyDescent="0.45">
      <c r="B439" s="4"/>
      <c r="D439" s="66" t="s">
        <v>191</v>
      </c>
      <c r="E439" s="154"/>
      <c r="F439" s="154"/>
      <c r="G439" s="155">
        <f t="shared" ref="G439:AA439" si="146">G14*(F313+G356/2)</f>
        <v>0</v>
      </c>
      <c r="H439" s="155">
        <f t="shared" si="146"/>
        <v>0</v>
      </c>
      <c r="I439" s="155">
        <f t="shared" si="146"/>
        <v>0</v>
      </c>
      <c r="J439" s="155">
        <f t="shared" si="146"/>
        <v>0</v>
      </c>
      <c r="K439" s="155">
        <f t="shared" si="146"/>
        <v>0</v>
      </c>
      <c r="L439" s="155">
        <f t="shared" si="146"/>
        <v>0</v>
      </c>
      <c r="M439" s="155">
        <f t="shared" si="146"/>
        <v>0</v>
      </c>
      <c r="N439" s="155">
        <f t="shared" si="146"/>
        <v>0</v>
      </c>
      <c r="O439" s="155">
        <f t="shared" si="146"/>
        <v>0</v>
      </c>
      <c r="P439" s="155">
        <f t="shared" si="146"/>
        <v>0</v>
      </c>
      <c r="Q439" s="155">
        <f t="shared" si="146"/>
        <v>0</v>
      </c>
      <c r="R439" s="155">
        <f t="shared" si="146"/>
        <v>0</v>
      </c>
      <c r="S439" s="155">
        <f t="shared" si="146"/>
        <v>0</v>
      </c>
      <c r="T439" s="155">
        <f t="shared" si="146"/>
        <v>0</v>
      </c>
      <c r="U439" s="155">
        <f t="shared" si="146"/>
        <v>0</v>
      </c>
      <c r="V439" s="155">
        <f t="shared" si="146"/>
        <v>0</v>
      </c>
      <c r="W439" s="155">
        <f t="shared" si="146"/>
        <v>0</v>
      </c>
      <c r="X439" s="155">
        <f t="shared" si="146"/>
        <v>0</v>
      </c>
      <c r="Y439" s="155">
        <f t="shared" si="146"/>
        <v>0</v>
      </c>
      <c r="Z439" s="155">
        <f t="shared" si="146"/>
        <v>0</v>
      </c>
      <c r="AA439" s="155">
        <f t="shared" si="146"/>
        <v>0</v>
      </c>
    </row>
    <row r="440" spans="2:27" hidden="1" x14ac:dyDescent="0.45">
      <c r="B440" s="4"/>
      <c r="D440" s="66" t="s">
        <v>192</v>
      </c>
      <c r="E440" s="154"/>
      <c r="F440" s="154"/>
      <c r="G440" s="155">
        <f t="shared" ref="G440:AA440" ca="1" si="147">(G277+G271)*IF(OR(F313&gt;0,G313&gt;0),$F$428,0)</f>
        <v>0</v>
      </c>
      <c r="H440" s="155">
        <f t="shared" ca="1" si="147"/>
        <v>0</v>
      </c>
      <c r="I440" s="155">
        <f t="shared" ca="1" si="147"/>
        <v>0</v>
      </c>
      <c r="J440" s="155">
        <f t="shared" ca="1" si="147"/>
        <v>0</v>
      </c>
      <c r="K440" s="155">
        <f t="shared" ca="1" si="147"/>
        <v>0</v>
      </c>
      <c r="L440" s="155">
        <f t="shared" ca="1" si="147"/>
        <v>0</v>
      </c>
      <c r="M440" s="155">
        <f t="shared" ca="1" si="147"/>
        <v>0</v>
      </c>
      <c r="N440" s="155">
        <f t="shared" ca="1" si="147"/>
        <v>0</v>
      </c>
      <c r="O440" s="155">
        <f t="shared" ca="1" si="147"/>
        <v>0</v>
      </c>
      <c r="P440" s="155">
        <f t="shared" ca="1" si="147"/>
        <v>0</v>
      </c>
      <c r="Q440" s="155">
        <f t="shared" ca="1" si="147"/>
        <v>0</v>
      </c>
      <c r="R440" s="155">
        <f t="shared" ca="1" si="147"/>
        <v>0</v>
      </c>
      <c r="S440" s="155">
        <f t="shared" ca="1" si="147"/>
        <v>0</v>
      </c>
      <c r="T440" s="155">
        <f t="shared" ca="1" si="147"/>
        <v>0</v>
      </c>
      <c r="U440" s="155">
        <f t="shared" ca="1" si="147"/>
        <v>0</v>
      </c>
      <c r="V440" s="155">
        <f t="shared" ca="1" si="147"/>
        <v>0</v>
      </c>
      <c r="W440" s="155">
        <f t="shared" ca="1" si="147"/>
        <v>0</v>
      </c>
      <c r="X440" s="155">
        <f t="shared" ca="1" si="147"/>
        <v>0</v>
      </c>
      <c r="Y440" s="155">
        <f t="shared" ca="1" si="147"/>
        <v>0</v>
      </c>
      <c r="Z440" s="155">
        <f t="shared" ca="1" si="147"/>
        <v>0</v>
      </c>
      <c r="AA440" s="155">
        <f t="shared" ca="1" si="147"/>
        <v>0</v>
      </c>
    </row>
    <row r="441" spans="2:27" customFormat="1" ht="14.65" hidden="1" thickBot="1" x14ac:dyDescent="0.5">
      <c r="G441" s="52" t="s">
        <v>38</v>
      </c>
      <c r="H441" s="52" t="s">
        <v>38</v>
      </c>
      <c r="I441" s="52" t="s">
        <v>38</v>
      </c>
      <c r="J441" s="52" t="s">
        <v>38</v>
      </c>
      <c r="K441" s="52" t="s">
        <v>38</v>
      </c>
      <c r="L441" s="52" t="s">
        <v>38</v>
      </c>
      <c r="M441" s="52" t="s">
        <v>38</v>
      </c>
      <c r="N441" s="52" t="s">
        <v>38</v>
      </c>
      <c r="O441" s="52" t="s">
        <v>38</v>
      </c>
      <c r="P441" s="52" t="s">
        <v>38</v>
      </c>
      <c r="Q441" s="52" t="s">
        <v>38</v>
      </c>
      <c r="R441" s="52" t="s">
        <v>38</v>
      </c>
      <c r="S441" s="52" t="s">
        <v>38</v>
      </c>
      <c r="T441" s="52" t="s">
        <v>38</v>
      </c>
      <c r="U441" s="52" t="s">
        <v>38</v>
      </c>
      <c r="V441" s="52" t="s">
        <v>38</v>
      </c>
      <c r="W441" s="52" t="s">
        <v>38</v>
      </c>
      <c r="X441" s="52" t="s">
        <v>38</v>
      </c>
      <c r="Y441" s="52" t="s">
        <v>38</v>
      </c>
      <c r="Z441" s="52" t="s">
        <v>38</v>
      </c>
      <c r="AA441" s="52" t="s">
        <v>38</v>
      </c>
    </row>
    <row r="442" spans="2:27" ht="14.65" hidden="1" thickBot="1" x14ac:dyDescent="0.5">
      <c r="B442" s="4"/>
      <c r="D442" s="66" t="s">
        <v>181</v>
      </c>
      <c r="E442" s="153" t="e">
        <f ca="1">IRR($G442:$U442)</f>
        <v>#NUM!</v>
      </c>
      <c r="F442" s="154"/>
      <c r="G442" s="155">
        <f t="shared" ref="G442:U442" ca="1" si="148">SUM(G437:G440)</f>
        <v>4060914.6315329196</v>
      </c>
      <c r="H442" s="155">
        <f t="shared" ca="1" si="148"/>
        <v>0</v>
      </c>
      <c r="I442" s="155">
        <f t="shared" ca="1" si="148"/>
        <v>0</v>
      </c>
      <c r="J442" s="155">
        <f t="shared" ca="1" si="148"/>
        <v>0</v>
      </c>
      <c r="K442" s="155">
        <f t="shared" ca="1" si="148"/>
        <v>0</v>
      </c>
      <c r="L442" s="155">
        <f t="shared" ca="1" si="148"/>
        <v>0</v>
      </c>
      <c r="M442" s="155">
        <f t="shared" ca="1" si="148"/>
        <v>0</v>
      </c>
      <c r="N442" s="155">
        <f t="shared" ca="1" si="148"/>
        <v>0</v>
      </c>
      <c r="O442" s="155">
        <f t="shared" ca="1" si="148"/>
        <v>0</v>
      </c>
      <c r="P442" s="155">
        <f t="shared" ca="1" si="148"/>
        <v>0</v>
      </c>
      <c r="Q442" s="155">
        <f t="shared" ca="1" si="148"/>
        <v>0</v>
      </c>
      <c r="R442" s="155">
        <f t="shared" ca="1" si="148"/>
        <v>0</v>
      </c>
      <c r="S442" s="155">
        <f t="shared" ca="1" si="148"/>
        <v>0</v>
      </c>
      <c r="T442" s="155">
        <f t="shared" ca="1" si="148"/>
        <v>0</v>
      </c>
      <c r="U442" s="155">
        <f t="shared" ca="1" si="148"/>
        <v>0</v>
      </c>
      <c r="V442" s="155">
        <f t="shared" ref="V442:AA442" ca="1" si="149">SUM(V437:V440)</f>
        <v>0</v>
      </c>
      <c r="W442" s="155">
        <f t="shared" ca="1" si="149"/>
        <v>0</v>
      </c>
      <c r="X442" s="155">
        <f t="shared" ca="1" si="149"/>
        <v>0</v>
      </c>
      <c r="Y442" s="155">
        <f t="shared" ca="1" si="149"/>
        <v>0</v>
      </c>
      <c r="Z442" s="155">
        <f t="shared" ca="1" si="149"/>
        <v>0</v>
      </c>
      <c r="AA442" s="155">
        <f t="shared" ca="1" si="149"/>
        <v>0</v>
      </c>
    </row>
    <row r="443" spans="2:27" hidden="1" x14ac:dyDescent="0.45">
      <c r="B443" s="4"/>
      <c r="D443" s="66"/>
      <c r="E443"/>
      <c r="F443" s="156"/>
      <c r="G443" s="155"/>
      <c r="H443" s="155"/>
      <c r="I443" s="155"/>
      <c r="J443" s="155"/>
      <c r="K443" s="155"/>
      <c r="L443" s="155"/>
      <c r="M443" s="155"/>
      <c r="N443" s="155"/>
      <c r="O443" s="155"/>
      <c r="P443" s="155"/>
      <c r="Q443" s="155"/>
      <c r="R443" s="155"/>
      <c r="S443" s="155"/>
      <c r="T443" s="155"/>
      <c r="U443" s="155"/>
      <c r="V443" s="155"/>
      <c r="W443" s="155"/>
      <c r="X443" s="155"/>
      <c r="Y443" s="155"/>
      <c r="Z443" s="155"/>
      <c r="AA443" s="155"/>
    </row>
    <row r="444" spans="2:27" hidden="1" x14ac:dyDescent="0.45">
      <c r="B444" s="4"/>
      <c r="D444" s="4" t="s">
        <v>185</v>
      </c>
      <c r="E444" s="70"/>
      <c r="F444" s="70"/>
      <c r="G444" s="70"/>
      <c r="H444" s="36"/>
    </row>
    <row r="445" spans="2:27" hidden="1" x14ac:dyDescent="0.45">
      <c r="B445" s="4"/>
      <c r="D445" s="66" t="s">
        <v>183</v>
      </c>
      <c r="E445" s="154"/>
      <c r="F445" s="154"/>
      <c r="G445" s="155">
        <f t="shared" ref="G445:AA445" ca="1" si="150">IF(G$10=$G$10+$F$410-1,$E$428*($F$415-$G$418-$G$424),0)</f>
        <v>-2511806.3362487708</v>
      </c>
      <c r="H445" s="155">
        <f t="shared" si="150"/>
        <v>0</v>
      </c>
      <c r="I445" s="155">
        <f t="shared" si="150"/>
        <v>0</v>
      </c>
      <c r="J445" s="155">
        <f t="shared" si="150"/>
        <v>0</v>
      </c>
      <c r="K445" s="155">
        <f t="shared" si="150"/>
        <v>0</v>
      </c>
      <c r="L445" s="155">
        <f t="shared" si="150"/>
        <v>0</v>
      </c>
      <c r="M445" s="155">
        <f t="shared" si="150"/>
        <v>0</v>
      </c>
      <c r="N445" s="155">
        <f t="shared" si="150"/>
        <v>0</v>
      </c>
      <c r="O445" s="155">
        <f t="shared" si="150"/>
        <v>0</v>
      </c>
      <c r="P445" s="155">
        <f t="shared" si="150"/>
        <v>0</v>
      </c>
      <c r="Q445" s="155">
        <f t="shared" si="150"/>
        <v>0</v>
      </c>
      <c r="R445" s="155">
        <f t="shared" si="150"/>
        <v>0</v>
      </c>
      <c r="S445" s="155">
        <f t="shared" si="150"/>
        <v>0</v>
      </c>
      <c r="T445" s="155">
        <f t="shared" si="150"/>
        <v>0</v>
      </c>
      <c r="U445" s="155">
        <f t="shared" si="150"/>
        <v>0</v>
      </c>
      <c r="V445" s="155">
        <f t="shared" si="150"/>
        <v>0</v>
      </c>
      <c r="W445" s="155">
        <f t="shared" si="150"/>
        <v>0</v>
      </c>
      <c r="X445" s="155">
        <f t="shared" si="150"/>
        <v>0</v>
      </c>
      <c r="Y445" s="155">
        <f t="shared" si="150"/>
        <v>0</v>
      </c>
      <c r="Z445" s="155">
        <f t="shared" si="150"/>
        <v>0</v>
      </c>
      <c r="AA445" s="155">
        <f t="shared" si="150"/>
        <v>0</v>
      </c>
    </row>
    <row r="446" spans="2:27" hidden="1" x14ac:dyDescent="0.45">
      <c r="B446" s="4"/>
      <c r="D446" s="66" t="s">
        <v>175</v>
      </c>
      <c r="E446" s="154"/>
      <c r="F446" s="154"/>
      <c r="G446" s="155">
        <f t="shared" ref="G446:U446" si="151">G438</f>
        <v>0</v>
      </c>
      <c r="H446" s="155">
        <f t="shared" si="151"/>
        <v>0</v>
      </c>
      <c r="I446" s="155">
        <f t="shared" si="151"/>
        <v>0</v>
      </c>
      <c r="J446" s="155">
        <f t="shared" si="151"/>
        <v>0</v>
      </c>
      <c r="K446" s="155">
        <f t="shared" si="151"/>
        <v>0</v>
      </c>
      <c r="L446" s="155">
        <f t="shared" si="151"/>
        <v>0</v>
      </c>
      <c r="M446" s="155">
        <f t="shared" si="151"/>
        <v>0</v>
      </c>
      <c r="N446" s="155">
        <f t="shared" si="151"/>
        <v>0</v>
      </c>
      <c r="O446" s="155">
        <f t="shared" si="151"/>
        <v>0</v>
      </c>
      <c r="P446" s="155">
        <f t="shared" si="151"/>
        <v>0</v>
      </c>
      <c r="Q446" s="155">
        <f t="shared" si="151"/>
        <v>0</v>
      </c>
      <c r="R446" s="155">
        <f t="shared" si="151"/>
        <v>0</v>
      </c>
      <c r="S446" s="155">
        <f t="shared" si="151"/>
        <v>0</v>
      </c>
      <c r="T446" s="155">
        <f t="shared" si="151"/>
        <v>0</v>
      </c>
      <c r="U446" s="155">
        <f t="shared" si="151"/>
        <v>0</v>
      </c>
      <c r="V446" s="155">
        <f t="shared" ref="V446:AA446" si="152">V438</f>
        <v>0</v>
      </c>
      <c r="W446" s="155">
        <f t="shared" si="152"/>
        <v>0</v>
      </c>
      <c r="X446" s="155">
        <f t="shared" si="152"/>
        <v>0</v>
      </c>
      <c r="Y446" s="155">
        <f t="shared" si="152"/>
        <v>0</v>
      </c>
      <c r="Z446" s="155">
        <f t="shared" si="152"/>
        <v>0</v>
      </c>
      <c r="AA446" s="155">
        <f t="shared" si="152"/>
        <v>0</v>
      </c>
    </row>
    <row r="447" spans="2:27" hidden="1" x14ac:dyDescent="0.45">
      <c r="B447" s="4"/>
      <c r="D447" s="66" t="s">
        <v>176</v>
      </c>
      <c r="E447" s="154"/>
      <c r="F447" s="154"/>
      <c r="G447" s="155">
        <f t="shared" ref="G447:U447" si="153">G439</f>
        <v>0</v>
      </c>
      <c r="H447" s="155">
        <f t="shared" si="153"/>
        <v>0</v>
      </c>
      <c r="I447" s="155">
        <f t="shared" si="153"/>
        <v>0</v>
      </c>
      <c r="J447" s="155">
        <f t="shared" si="153"/>
        <v>0</v>
      </c>
      <c r="K447" s="155">
        <f t="shared" si="153"/>
        <v>0</v>
      </c>
      <c r="L447" s="155">
        <f t="shared" si="153"/>
        <v>0</v>
      </c>
      <c r="M447" s="155">
        <f t="shared" si="153"/>
        <v>0</v>
      </c>
      <c r="N447" s="155">
        <f t="shared" si="153"/>
        <v>0</v>
      </c>
      <c r="O447" s="155">
        <f t="shared" si="153"/>
        <v>0</v>
      </c>
      <c r="P447" s="155">
        <f t="shared" si="153"/>
        <v>0</v>
      </c>
      <c r="Q447" s="155">
        <f t="shared" si="153"/>
        <v>0</v>
      </c>
      <c r="R447" s="155">
        <f t="shared" si="153"/>
        <v>0</v>
      </c>
      <c r="S447" s="155">
        <f t="shared" si="153"/>
        <v>0</v>
      </c>
      <c r="T447" s="155">
        <f t="shared" si="153"/>
        <v>0</v>
      </c>
      <c r="U447" s="155">
        <f t="shared" si="153"/>
        <v>0</v>
      </c>
      <c r="V447" s="155">
        <f t="shared" ref="V447:AA447" si="154">V439</f>
        <v>0</v>
      </c>
      <c r="W447" s="155">
        <f t="shared" si="154"/>
        <v>0</v>
      </c>
      <c r="X447" s="155">
        <f t="shared" si="154"/>
        <v>0</v>
      </c>
      <c r="Y447" s="155">
        <f t="shared" si="154"/>
        <v>0</v>
      </c>
      <c r="Z447" s="155">
        <f t="shared" si="154"/>
        <v>0</v>
      </c>
      <c r="AA447" s="155">
        <f t="shared" si="154"/>
        <v>0</v>
      </c>
    </row>
    <row r="448" spans="2:27" hidden="1" x14ac:dyDescent="0.45">
      <c r="B448" s="4"/>
      <c r="D448" s="66" t="s">
        <v>177</v>
      </c>
      <c r="E448" s="154"/>
      <c r="F448" s="154"/>
      <c r="G448" s="155">
        <f t="shared" ref="G448:U448" ca="1" si="155">G440</f>
        <v>0</v>
      </c>
      <c r="H448" s="155">
        <f t="shared" ca="1" si="155"/>
        <v>0</v>
      </c>
      <c r="I448" s="155">
        <f t="shared" ca="1" si="155"/>
        <v>0</v>
      </c>
      <c r="J448" s="155">
        <f t="shared" ca="1" si="155"/>
        <v>0</v>
      </c>
      <c r="K448" s="155">
        <f t="shared" ca="1" si="155"/>
        <v>0</v>
      </c>
      <c r="L448" s="155">
        <f t="shared" ca="1" si="155"/>
        <v>0</v>
      </c>
      <c r="M448" s="155">
        <f t="shared" ca="1" si="155"/>
        <v>0</v>
      </c>
      <c r="N448" s="155">
        <f t="shared" ca="1" si="155"/>
        <v>0</v>
      </c>
      <c r="O448" s="155">
        <f t="shared" ca="1" si="155"/>
        <v>0</v>
      </c>
      <c r="P448" s="155">
        <f t="shared" ca="1" si="155"/>
        <v>0</v>
      </c>
      <c r="Q448" s="155">
        <f t="shared" ca="1" si="155"/>
        <v>0</v>
      </c>
      <c r="R448" s="155">
        <f t="shared" ca="1" si="155"/>
        <v>0</v>
      </c>
      <c r="S448" s="155">
        <f t="shared" ca="1" si="155"/>
        <v>0</v>
      </c>
      <c r="T448" s="155">
        <f t="shared" ca="1" si="155"/>
        <v>0</v>
      </c>
      <c r="U448" s="155">
        <f t="shared" ca="1" si="155"/>
        <v>0</v>
      </c>
      <c r="V448" s="155">
        <f t="shared" ref="V448:AA448" ca="1" si="156">V440</f>
        <v>0</v>
      </c>
      <c r="W448" s="155">
        <f t="shared" ca="1" si="156"/>
        <v>0</v>
      </c>
      <c r="X448" s="155">
        <f t="shared" ca="1" si="156"/>
        <v>0</v>
      </c>
      <c r="Y448" s="155">
        <f t="shared" ca="1" si="156"/>
        <v>0</v>
      </c>
      <c r="Z448" s="155">
        <f t="shared" ca="1" si="156"/>
        <v>0</v>
      </c>
      <c r="AA448" s="155">
        <f t="shared" ca="1" si="156"/>
        <v>0</v>
      </c>
    </row>
    <row r="449" spans="2:27" customFormat="1" ht="14.65" hidden="1" thickBot="1" x14ac:dyDescent="0.5">
      <c r="G449" s="52" t="s">
        <v>38</v>
      </c>
      <c r="H449" s="52" t="s">
        <v>38</v>
      </c>
      <c r="I449" s="52" t="s">
        <v>38</v>
      </c>
      <c r="J449" s="52" t="s">
        <v>38</v>
      </c>
      <c r="K449" s="52" t="s">
        <v>38</v>
      </c>
      <c r="L449" s="52" t="s">
        <v>38</v>
      </c>
      <c r="M449" s="52" t="s">
        <v>38</v>
      </c>
      <c r="N449" s="52" t="s">
        <v>38</v>
      </c>
      <c r="O449" s="52" t="s">
        <v>38</v>
      </c>
      <c r="P449" s="52" t="s">
        <v>38</v>
      </c>
      <c r="Q449" s="52" t="s">
        <v>38</v>
      </c>
      <c r="R449" s="52" t="s">
        <v>38</v>
      </c>
      <c r="S449" s="52" t="s">
        <v>38</v>
      </c>
      <c r="T449" s="52" t="s">
        <v>38</v>
      </c>
      <c r="U449" s="52" t="s">
        <v>38</v>
      </c>
      <c r="V449" s="52" t="s">
        <v>38</v>
      </c>
      <c r="W449" s="52" t="s">
        <v>38</v>
      </c>
      <c r="X449" s="52" t="s">
        <v>38</v>
      </c>
      <c r="Y449" s="52" t="s">
        <v>38</v>
      </c>
      <c r="Z449" s="52" t="s">
        <v>38</v>
      </c>
      <c r="AA449" s="52" t="s">
        <v>38</v>
      </c>
    </row>
    <row r="450" spans="2:27" ht="14.65" hidden="1" thickBot="1" x14ac:dyDescent="0.5">
      <c r="B450" s="4"/>
      <c r="D450" s="66" t="s">
        <v>181</v>
      </c>
      <c r="E450" s="153" t="e">
        <f ca="1">IRR($G450:$U450)</f>
        <v>#NUM!</v>
      </c>
      <c r="F450" s="154"/>
      <c r="G450" s="155">
        <f ca="1">SUM(G445:G448)</f>
        <v>-2511806.3362487708</v>
      </c>
      <c r="H450" s="155">
        <f t="shared" ref="H450:U450" ca="1" si="157">SUM(H445:H448)</f>
        <v>0</v>
      </c>
      <c r="I450" s="155">
        <f t="shared" ca="1" si="157"/>
        <v>0</v>
      </c>
      <c r="J450" s="155">
        <f t="shared" ca="1" si="157"/>
        <v>0</v>
      </c>
      <c r="K450" s="155">
        <f t="shared" ca="1" si="157"/>
        <v>0</v>
      </c>
      <c r="L450" s="155">
        <f t="shared" ca="1" si="157"/>
        <v>0</v>
      </c>
      <c r="M450" s="155">
        <f t="shared" ca="1" si="157"/>
        <v>0</v>
      </c>
      <c r="N450" s="155">
        <f t="shared" ca="1" si="157"/>
        <v>0</v>
      </c>
      <c r="O450" s="155">
        <f t="shared" ca="1" si="157"/>
        <v>0</v>
      </c>
      <c r="P450" s="155">
        <f t="shared" ca="1" si="157"/>
        <v>0</v>
      </c>
      <c r="Q450" s="155">
        <f t="shared" ca="1" si="157"/>
        <v>0</v>
      </c>
      <c r="R450" s="155">
        <f t="shared" ca="1" si="157"/>
        <v>0</v>
      </c>
      <c r="S450" s="155">
        <f t="shared" ca="1" si="157"/>
        <v>0</v>
      </c>
      <c r="T450" s="155">
        <f t="shared" ca="1" si="157"/>
        <v>0</v>
      </c>
      <c r="U450" s="155">
        <f t="shared" ca="1" si="157"/>
        <v>0</v>
      </c>
      <c r="V450" s="155">
        <f t="shared" ref="V450:AA450" ca="1" si="158">SUM(V445:V448)</f>
        <v>0</v>
      </c>
      <c r="W450" s="155">
        <f t="shared" ca="1" si="158"/>
        <v>0</v>
      </c>
      <c r="X450" s="155">
        <f t="shared" ca="1" si="158"/>
        <v>0</v>
      </c>
      <c r="Y450" s="155">
        <f t="shared" ca="1" si="158"/>
        <v>0</v>
      </c>
      <c r="Z450" s="155">
        <f t="shared" ca="1" si="158"/>
        <v>0</v>
      </c>
      <c r="AA450" s="155">
        <f t="shared" ca="1" si="158"/>
        <v>0</v>
      </c>
    </row>
    <row r="451" spans="2:27" hidden="1" x14ac:dyDescent="0.45">
      <c r="B451" s="4"/>
      <c r="D451" s="66"/>
      <c r="E451"/>
      <c r="F451" s="156"/>
      <c r="G451" s="155"/>
      <c r="H451" s="155"/>
      <c r="I451" s="155"/>
      <c r="J451" s="155"/>
      <c r="K451" s="155"/>
      <c r="L451" s="155"/>
      <c r="M451" s="155"/>
      <c r="N451" s="155"/>
      <c r="O451" s="155"/>
      <c r="P451" s="155"/>
      <c r="Q451" s="155"/>
      <c r="R451" s="155"/>
      <c r="S451" s="155"/>
      <c r="T451" s="155"/>
      <c r="U451" s="155"/>
      <c r="V451" s="155"/>
      <c r="W451" s="155"/>
      <c r="X451" s="155"/>
      <c r="Y451" s="155"/>
      <c r="Z451" s="155"/>
      <c r="AA451" s="155"/>
    </row>
    <row r="452" spans="2:27" hidden="1" x14ac:dyDescent="0.45">
      <c r="B452" s="4"/>
      <c r="C452" s="4" t="s">
        <v>195</v>
      </c>
      <c r="D452" s="66"/>
      <c r="E452"/>
      <c r="F452" s="156"/>
      <c r="G452"/>
      <c r="H452"/>
      <c r="I452"/>
      <c r="J452"/>
      <c r="K452"/>
      <c r="L452"/>
      <c r="M452"/>
      <c r="N452" s="155"/>
      <c r="O452" s="155"/>
      <c r="P452" s="155"/>
      <c r="Q452" s="155"/>
      <c r="R452" s="155"/>
      <c r="S452" s="155"/>
      <c r="T452" s="155"/>
      <c r="U452" s="155"/>
      <c r="V452" s="155"/>
      <c r="W452" s="155"/>
      <c r="X452" s="155"/>
      <c r="Y452" s="155"/>
      <c r="Z452" s="155"/>
      <c r="AA452" s="155"/>
    </row>
    <row r="453" spans="2:27" hidden="1" x14ac:dyDescent="0.45">
      <c r="B453" s="4"/>
      <c r="D453" s="4" t="s">
        <v>184</v>
      </c>
      <c r="E453" s="70"/>
      <c r="F453" s="70"/>
      <c r="G453"/>
      <c r="H453"/>
      <c r="I453"/>
      <c r="J453"/>
      <c r="K453"/>
      <c r="L453"/>
      <c r="M453"/>
    </row>
    <row r="454" spans="2:27" hidden="1" x14ac:dyDescent="0.45">
      <c r="B454" s="4"/>
      <c r="D454" s="66" t="s">
        <v>182</v>
      </c>
      <c r="E454" s="154"/>
      <c r="F454" s="154"/>
      <c r="G454" s="155">
        <f t="shared" ref="G454:AA454" ca="1" si="159">IF(G$10=$G$10+$F$410-1,$E$427*($F$414-$F$418-$F$424),0)</f>
        <v>2436548.7789197518</v>
      </c>
      <c r="H454" s="155">
        <f t="shared" si="159"/>
        <v>0</v>
      </c>
      <c r="I454" s="155">
        <f t="shared" si="159"/>
        <v>0</v>
      </c>
      <c r="J454" s="155">
        <f t="shared" si="159"/>
        <v>0</v>
      </c>
      <c r="K454" s="155">
        <f t="shared" si="159"/>
        <v>0</v>
      </c>
      <c r="L454" s="155">
        <f t="shared" si="159"/>
        <v>0</v>
      </c>
      <c r="M454" s="155">
        <f t="shared" si="159"/>
        <v>0</v>
      </c>
      <c r="N454" s="155">
        <f t="shared" si="159"/>
        <v>0</v>
      </c>
      <c r="O454" s="155">
        <f t="shared" si="159"/>
        <v>0</v>
      </c>
      <c r="P454" s="155">
        <f t="shared" si="159"/>
        <v>0</v>
      </c>
      <c r="Q454" s="155">
        <f t="shared" si="159"/>
        <v>0</v>
      </c>
      <c r="R454" s="155">
        <f t="shared" si="159"/>
        <v>0</v>
      </c>
      <c r="S454" s="155">
        <f t="shared" si="159"/>
        <v>0</v>
      </c>
      <c r="T454" s="155">
        <f t="shared" si="159"/>
        <v>0</v>
      </c>
      <c r="U454" s="155">
        <f t="shared" si="159"/>
        <v>0</v>
      </c>
      <c r="V454" s="155">
        <f t="shared" si="159"/>
        <v>0</v>
      </c>
      <c r="W454" s="155">
        <f t="shared" si="159"/>
        <v>0</v>
      </c>
      <c r="X454" s="155">
        <f t="shared" si="159"/>
        <v>0</v>
      </c>
      <c r="Y454" s="155">
        <f t="shared" si="159"/>
        <v>0</v>
      </c>
      <c r="Z454" s="155">
        <f t="shared" si="159"/>
        <v>0</v>
      </c>
      <c r="AA454" s="155">
        <f t="shared" si="159"/>
        <v>0</v>
      </c>
    </row>
    <row r="455" spans="2:27" hidden="1" x14ac:dyDescent="0.45">
      <c r="B455" s="4"/>
      <c r="D455" s="66" t="s">
        <v>175</v>
      </c>
      <c r="E455" s="154"/>
      <c r="F455" s="154"/>
      <c r="G455" s="155">
        <f t="shared" ref="G455:U455" si="160">-G355</f>
        <v>0</v>
      </c>
      <c r="H455" s="155">
        <f t="shared" si="160"/>
        <v>0</v>
      </c>
      <c r="I455" s="155">
        <f t="shared" si="160"/>
        <v>0</v>
      </c>
      <c r="J455" s="155">
        <f t="shared" si="160"/>
        <v>0</v>
      </c>
      <c r="K455" s="155">
        <f t="shared" si="160"/>
        <v>0</v>
      </c>
      <c r="L455" s="155">
        <f t="shared" si="160"/>
        <v>0</v>
      </c>
      <c r="M455" s="155">
        <f t="shared" si="160"/>
        <v>0</v>
      </c>
      <c r="N455" s="155">
        <f>-N355</f>
        <v>0</v>
      </c>
      <c r="O455" s="155">
        <f>-O355</f>
        <v>0</v>
      </c>
      <c r="P455" s="155">
        <f>-P355</f>
        <v>0</v>
      </c>
      <c r="Q455" s="155">
        <f>-Q355</f>
        <v>0</v>
      </c>
      <c r="R455" s="155">
        <f>-R355</f>
        <v>0</v>
      </c>
      <c r="S455" s="155">
        <f t="shared" si="160"/>
        <v>0</v>
      </c>
      <c r="T455" s="155">
        <f t="shared" si="160"/>
        <v>0</v>
      </c>
      <c r="U455" s="155">
        <f t="shared" si="160"/>
        <v>0</v>
      </c>
      <c r="V455" s="155">
        <f t="shared" ref="V455:AA455" si="161">-V355</f>
        <v>0</v>
      </c>
      <c r="W455" s="155">
        <f t="shared" si="161"/>
        <v>0</v>
      </c>
      <c r="X455" s="155">
        <f t="shared" si="161"/>
        <v>0</v>
      </c>
      <c r="Y455" s="155">
        <f t="shared" si="161"/>
        <v>0</v>
      </c>
      <c r="Z455" s="155">
        <f t="shared" si="161"/>
        <v>0</v>
      </c>
      <c r="AA455" s="155">
        <f t="shared" si="161"/>
        <v>0</v>
      </c>
    </row>
    <row r="456" spans="2:27" hidden="1" x14ac:dyDescent="0.45">
      <c r="B456" s="4"/>
      <c r="D456" s="66" t="s">
        <v>176</v>
      </c>
      <c r="E456" s="154"/>
      <c r="F456" s="154"/>
      <c r="G456" s="159">
        <f t="shared" ref="G456:AA456" si="162">G13*(F312+G355/2)</f>
        <v>0</v>
      </c>
      <c r="H456" s="159">
        <f t="shared" si="162"/>
        <v>0</v>
      </c>
      <c r="I456" s="159">
        <f t="shared" si="162"/>
        <v>0</v>
      </c>
      <c r="J456" s="159">
        <f t="shared" si="162"/>
        <v>0</v>
      </c>
      <c r="K456" s="159">
        <f t="shared" si="162"/>
        <v>0</v>
      </c>
      <c r="L456" s="159">
        <f t="shared" si="162"/>
        <v>0</v>
      </c>
      <c r="M456" s="159">
        <f t="shared" si="162"/>
        <v>0</v>
      </c>
      <c r="N456" s="159">
        <f t="shared" si="162"/>
        <v>0</v>
      </c>
      <c r="O456" s="159">
        <f t="shared" si="162"/>
        <v>0</v>
      </c>
      <c r="P456" s="159">
        <f t="shared" si="162"/>
        <v>0</v>
      </c>
      <c r="Q456" s="159">
        <f t="shared" si="162"/>
        <v>0</v>
      </c>
      <c r="R456" s="159">
        <f t="shared" si="162"/>
        <v>0</v>
      </c>
      <c r="S456" s="159">
        <f t="shared" si="162"/>
        <v>0</v>
      </c>
      <c r="T456" s="159">
        <f t="shared" si="162"/>
        <v>0</v>
      </c>
      <c r="U456" s="159">
        <f t="shared" si="162"/>
        <v>0</v>
      </c>
      <c r="V456" s="159">
        <f t="shared" si="162"/>
        <v>0</v>
      </c>
      <c r="W456" s="159">
        <f t="shared" si="162"/>
        <v>0</v>
      </c>
      <c r="X456" s="159">
        <f t="shared" si="162"/>
        <v>0</v>
      </c>
      <c r="Y456" s="159">
        <f t="shared" si="162"/>
        <v>0</v>
      </c>
      <c r="Z456" s="159">
        <f t="shared" si="162"/>
        <v>0</v>
      </c>
      <c r="AA456" s="159">
        <f t="shared" si="162"/>
        <v>0</v>
      </c>
    </row>
    <row r="457" spans="2:27" hidden="1" x14ac:dyDescent="0.45">
      <c r="B457" s="4"/>
      <c r="D457" s="66" t="s">
        <v>177</v>
      </c>
      <c r="E457" s="154"/>
      <c r="F457" s="154"/>
      <c r="G457" s="159">
        <f t="shared" ref="G457:AA457" ca="1" si="163">(G277+G271)*IF(OR(F312&gt;0,G312&gt;0),$F$427,0)</f>
        <v>0</v>
      </c>
      <c r="H457" s="159">
        <f t="shared" ca="1" si="163"/>
        <v>0</v>
      </c>
      <c r="I457" s="159">
        <f t="shared" ca="1" si="163"/>
        <v>0</v>
      </c>
      <c r="J457" s="159">
        <f t="shared" ca="1" si="163"/>
        <v>0</v>
      </c>
      <c r="K457" s="159">
        <f t="shared" ca="1" si="163"/>
        <v>0</v>
      </c>
      <c r="L457" s="159">
        <f t="shared" ca="1" si="163"/>
        <v>0</v>
      </c>
      <c r="M457" s="159">
        <f t="shared" ca="1" si="163"/>
        <v>0</v>
      </c>
      <c r="N457" s="159">
        <f t="shared" ca="1" si="163"/>
        <v>0</v>
      </c>
      <c r="O457" s="159">
        <f t="shared" ca="1" si="163"/>
        <v>0</v>
      </c>
      <c r="P457" s="159">
        <f t="shared" ca="1" si="163"/>
        <v>0</v>
      </c>
      <c r="Q457" s="159">
        <f t="shared" ca="1" si="163"/>
        <v>0</v>
      </c>
      <c r="R457" s="159">
        <f t="shared" ca="1" si="163"/>
        <v>0</v>
      </c>
      <c r="S457" s="159">
        <f t="shared" ca="1" si="163"/>
        <v>0</v>
      </c>
      <c r="T457" s="159">
        <f t="shared" ca="1" si="163"/>
        <v>0</v>
      </c>
      <c r="U457" s="159">
        <f t="shared" ca="1" si="163"/>
        <v>0</v>
      </c>
      <c r="V457" s="159">
        <f t="shared" ca="1" si="163"/>
        <v>0</v>
      </c>
      <c r="W457" s="159">
        <f t="shared" ca="1" si="163"/>
        <v>0</v>
      </c>
      <c r="X457" s="159">
        <f t="shared" ca="1" si="163"/>
        <v>0</v>
      </c>
      <c r="Y457" s="159">
        <f t="shared" ca="1" si="163"/>
        <v>0</v>
      </c>
      <c r="Z457" s="159">
        <f t="shared" ca="1" si="163"/>
        <v>0</v>
      </c>
      <c r="AA457" s="159">
        <f t="shared" ca="1" si="163"/>
        <v>0</v>
      </c>
    </row>
    <row r="458" spans="2:27" customFormat="1" ht="14.65" hidden="1" thickBot="1" x14ac:dyDescent="0.5">
      <c r="G458" s="52" t="s">
        <v>38</v>
      </c>
      <c r="H458" s="52" t="s">
        <v>38</v>
      </c>
      <c r="I458" s="52" t="s">
        <v>38</v>
      </c>
      <c r="J458" s="52" t="s">
        <v>38</v>
      </c>
      <c r="K458" s="52" t="s">
        <v>38</v>
      </c>
      <c r="L458" s="52" t="s">
        <v>38</v>
      </c>
      <c r="M458" s="52" t="s">
        <v>38</v>
      </c>
      <c r="N458" s="52" t="s">
        <v>38</v>
      </c>
      <c r="O458" s="52" t="s">
        <v>38</v>
      </c>
      <c r="P458" s="52" t="s">
        <v>38</v>
      </c>
      <c r="Q458" s="52" t="s">
        <v>38</v>
      </c>
      <c r="R458" s="52" t="s">
        <v>38</v>
      </c>
      <c r="S458" s="52" t="s">
        <v>38</v>
      </c>
      <c r="T458" s="52" t="s">
        <v>38</v>
      </c>
      <c r="U458" s="52" t="s">
        <v>38</v>
      </c>
      <c r="V458" s="52" t="s">
        <v>38</v>
      </c>
      <c r="W458" s="52" t="s">
        <v>38</v>
      </c>
      <c r="X458" s="52" t="s">
        <v>38</v>
      </c>
      <c r="Y458" s="52" t="s">
        <v>38</v>
      </c>
      <c r="Z458" s="52" t="s">
        <v>38</v>
      </c>
      <c r="AA458" s="52" t="s">
        <v>38</v>
      </c>
    </row>
    <row r="459" spans="2:27" ht="14.65" hidden="1" thickBot="1" x14ac:dyDescent="0.5">
      <c r="B459" s="4"/>
      <c r="D459" s="66" t="s">
        <v>181</v>
      </c>
      <c r="E459" s="153" t="e">
        <f ca="1">IRR($G459:$U459)</f>
        <v>#NUM!</v>
      </c>
      <c r="F459" s="154"/>
      <c r="G459" s="155">
        <f t="shared" ref="G459:U459" ca="1" si="164">SUM(G454:G457)</f>
        <v>2436548.7789197518</v>
      </c>
      <c r="H459" s="155">
        <f t="shared" ca="1" si="164"/>
        <v>0</v>
      </c>
      <c r="I459" s="155">
        <f t="shared" ca="1" si="164"/>
        <v>0</v>
      </c>
      <c r="J459" s="155">
        <f t="shared" ca="1" si="164"/>
        <v>0</v>
      </c>
      <c r="K459" s="155">
        <f t="shared" ca="1" si="164"/>
        <v>0</v>
      </c>
      <c r="L459" s="155">
        <f t="shared" ca="1" si="164"/>
        <v>0</v>
      </c>
      <c r="M459" s="155">
        <f t="shared" ca="1" si="164"/>
        <v>0</v>
      </c>
      <c r="N459" s="155">
        <f t="shared" ca="1" si="164"/>
        <v>0</v>
      </c>
      <c r="O459" s="155">
        <f t="shared" ca="1" si="164"/>
        <v>0</v>
      </c>
      <c r="P459" s="155">
        <f t="shared" ca="1" si="164"/>
        <v>0</v>
      </c>
      <c r="Q459" s="155">
        <f t="shared" ca="1" si="164"/>
        <v>0</v>
      </c>
      <c r="R459" s="155">
        <f t="shared" ca="1" si="164"/>
        <v>0</v>
      </c>
      <c r="S459" s="155">
        <f t="shared" ca="1" si="164"/>
        <v>0</v>
      </c>
      <c r="T459" s="155">
        <f t="shared" ca="1" si="164"/>
        <v>0</v>
      </c>
      <c r="U459" s="155">
        <f t="shared" ca="1" si="164"/>
        <v>0</v>
      </c>
      <c r="V459" s="155">
        <f t="shared" ref="V459:AA459" ca="1" si="165">SUM(V454:V457)</f>
        <v>0</v>
      </c>
      <c r="W459" s="155">
        <f t="shared" ca="1" si="165"/>
        <v>0</v>
      </c>
      <c r="X459" s="155">
        <f t="shared" ca="1" si="165"/>
        <v>0</v>
      </c>
      <c r="Y459" s="155">
        <f t="shared" ca="1" si="165"/>
        <v>0</v>
      </c>
      <c r="Z459" s="155">
        <f t="shared" ca="1" si="165"/>
        <v>0</v>
      </c>
      <c r="AA459" s="155">
        <f t="shared" ca="1" si="165"/>
        <v>0</v>
      </c>
    </row>
    <row r="460" spans="2:27" hidden="1" x14ac:dyDescent="0.45">
      <c r="B460" s="4"/>
      <c r="C460" s="66"/>
      <c r="D460" s="70"/>
      <c r="E460" s="73"/>
      <c r="G460" s="36"/>
    </row>
    <row r="461" spans="2:27" hidden="1" x14ac:dyDescent="0.45">
      <c r="B461" s="4"/>
      <c r="D461" s="4" t="s">
        <v>185</v>
      </c>
      <c r="E461" s="70"/>
      <c r="F461" s="70"/>
      <c r="G461" s="70"/>
      <c r="H461" s="70"/>
      <c r="I461" s="70"/>
      <c r="J461" s="70"/>
      <c r="K461" s="70"/>
      <c r="L461" s="70"/>
      <c r="M461" s="70"/>
      <c r="N461" s="70"/>
      <c r="O461" s="70"/>
      <c r="P461" s="70"/>
      <c r="Q461" s="70"/>
      <c r="R461" s="70"/>
      <c r="S461" s="70"/>
      <c r="T461" s="70"/>
      <c r="U461" s="70"/>
      <c r="V461" s="70"/>
      <c r="W461" s="70"/>
      <c r="X461" s="70"/>
      <c r="Y461" s="70"/>
      <c r="Z461" s="70"/>
      <c r="AA461" s="70"/>
    </row>
    <row r="462" spans="2:27" hidden="1" x14ac:dyDescent="0.45">
      <c r="B462" s="4"/>
      <c r="D462" s="66" t="s">
        <v>183</v>
      </c>
      <c r="E462" s="154"/>
      <c r="F462" s="154"/>
      <c r="G462" s="155">
        <f t="shared" ref="G462:AA462" ca="1" si="166">IF(G$10=$G$10+$F$410-1,$E$427*($F$415-$G$418-$G$424),0)</f>
        <v>-1507083.8017492625</v>
      </c>
      <c r="H462" s="155">
        <f t="shared" si="166"/>
        <v>0</v>
      </c>
      <c r="I462" s="155">
        <f t="shared" si="166"/>
        <v>0</v>
      </c>
      <c r="J462" s="155">
        <f t="shared" si="166"/>
        <v>0</v>
      </c>
      <c r="K462" s="155">
        <f t="shared" si="166"/>
        <v>0</v>
      </c>
      <c r="L462" s="155">
        <f t="shared" si="166"/>
        <v>0</v>
      </c>
      <c r="M462" s="155">
        <f t="shared" si="166"/>
        <v>0</v>
      </c>
      <c r="N462" s="155">
        <f t="shared" si="166"/>
        <v>0</v>
      </c>
      <c r="O462" s="155">
        <f t="shared" si="166"/>
        <v>0</v>
      </c>
      <c r="P462" s="155">
        <f t="shared" si="166"/>
        <v>0</v>
      </c>
      <c r="Q462" s="155">
        <f t="shared" si="166"/>
        <v>0</v>
      </c>
      <c r="R462" s="155">
        <f t="shared" si="166"/>
        <v>0</v>
      </c>
      <c r="S462" s="155">
        <f t="shared" si="166"/>
        <v>0</v>
      </c>
      <c r="T462" s="155">
        <f t="shared" si="166"/>
        <v>0</v>
      </c>
      <c r="U462" s="155">
        <f t="shared" si="166"/>
        <v>0</v>
      </c>
      <c r="V462" s="155">
        <f t="shared" si="166"/>
        <v>0</v>
      </c>
      <c r="W462" s="155">
        <f t="shared" si="166"/>
        <v>0</v>
      </c>
      <c r="X462" s="155">
        <f t="shared" si="166"/>
        <v>0</v>
      </c>
      <c r="Y462" s="155">
        <f t="shared" si="166"/>
        <v>0</v>
      </c>
      <c r="Z462" s="155">
        <f t="shared" si="166"/>
        <v>0</v>
      </c>
      <c r="AA462" s="155">
        <f t="shared" si="166"/>
        <v>0</v>
      </c>
    </row>
    <row r="463" spans="2:27" hidden="1" x14ac:dyDescent="0.45">
      <c r="B463" s="4"/>
      <c r="D463" s="66" t="s">
        <v>175</v>
      </c>
      <c r="E463" s="154"/>
      <c r="F463" s="154"/>
      <c r="G463" s="155">
        <f>G455</f>
        <v>0</v>
      </c>
      <c r="H463" s="155">
        <f t="shared" ref="H463:U463" si="167">H455</f>
        <v>0</v>
      </c>
      <c r="I463" s="155">
        <f t="shared" si="167"/>
        <v>0</v>
      </c>
      <c r="J463" s="155">
        <f t="shared" si="167"/>
        <v>0</v>
      </c>
      <c r="K463" s="155">
        <f t="shared" si="167"/>
        <v>0</v>
      </c>
      <c r="L463" s="155">
        <f t="shared" si="167"/>
        <v>0</v>
      </c>
      <c r="M463" s="155">
        <f t="shared" si="167"/>
        <v>0</v>
      </c>
      <c r="N463" s="155">
        <f t="shared" si="167"/>
        <v>0</v>
      </c>
      <c r="O463" s="155">
        <f t="shared" si="167"/>
        <v>0</v>
      </c>
      <c r="P463" s="155">
        <f t="shared" si="167"/>
        <v>0</v>
      </c>
      <c r="Q463" s="155">
        <f t="shared" si="167"/>
        <v>0</v>
      </c>
      <c r="R463" s="155">
        <f t="shared" si="167"/>
        <v>0</v>
      </c>
      <c r="S463" s="155">
        <f t="shared" si="167"/>
        <v>0</v>
      </c>
      <c r="T463" s="155">
        <f t="shared" si="167"/>
        <v>0</v>
      </c>
      <c r="U463" s="155">
        <f t="shared" si="167"/>
        <v>0</v>
      </c>
      <c r="V463" s="155">
        <f t="shared" ref="V463:AA463" si="168">V455</f>
        <v>0</v>
      </c>
      <c r="W463" s="155">
        <f t="shared" si="168"/>
        <v>0</v>
      </c>
      <c r="X463" s="155">
        <f t="shared" si="168"/>
        <v>0</v>
      </c>
      <c r="Y463" s="155">
        <f t="shared" si="168"/>
        <v>0</v>
      </c>
      <c r="Z463" s="155">
        <f t="shared" si="168"/>
        <v>0</v>
      </c>
      <c r="AA463" s="155">
        <f t="shared" si="168"/>
        <v>0</v>
      </c>
    </row>
    <row r="464" spans="2:27" hidden="1" x14ac:dyDescent="0.45">
      <c r="B464" s="4"/>
      <c r="D464" s="66" t="s">
        <v>176</v>
      </c>
      <c r="E464" s="154"/>
      <c r="F464" s="154"/>
      <c r="G464" s="155">
        <f t="shared" ref="G464:U464" si="169">G456</f>
        <v>0</v>
      </c>
      <c r="H464" s="155">
        <f t="shared" si="169"/>
        <v>0</v>
      </c>
      <c r="I464" s="155">
        <f t="shared" si="169"/>
        <v>0</v>
      </c>
      <c r="J464" s="155">
        <f t="shared" si="169"/>
        <v>0</v>
      </c>
      <c r="K464" s="155">
        <f t="shared" si="169"/>
        <v>0</v>
      </c>
      <c r="L464" s="155">
        <f t="shared" si="169"/>
        <v>0</v>
      </c>
      <c r="M464" s="155">
        <f t="shared" si="169"/>
        <v>0</v>
      </c>
      <c r="N464" s="155">
        <f t="shared" si="169"/>
        <v>0</v>
      </c>
      <c r="O464" s="155">
        <f t="shared" si="169"/>
        <v>0</v>
      </c>
      <c r="P464" s="155">
        <f t="shared" si="169"/>
        <v>0</v>
      </c>
      <c r="Q464" s="155">
        <f t="shared" si="169"/>
        <v>0</v>
      </c>
      <c r="R464" s="155">
        <f t="shared" si="169"/>
        <v>0</v>
      </c>
      <c r="S464" s="155">
        <f t="shared" si="169"/>
        <v>0</v>
      </c>
      <c r="T464" s="155">
        <f t="shared" si="169"/>
        <v>0</v>
      </c>
      <c r="U464" s="155">
        <f t="shared" si="169"/>
        <v>0</v>
      </c>
      <c r="V464" s="155">
        <f t="shared" ref="V464:AA464" si="170">V456</f>
        <v>0</v>
      </c>
      <c r="W464" s="155">
        <f t="shared" si="170"/>
        <v>0</v>
      </c>
      <c r="X464" s="155">
        <f t="shared" si="170"/>
        <v>0</v>
      </c>
      <c r="Y464" s="155">
        <f t="shared" si="170"/>
        <v>0</v>
      </c>
      <c r="Z464" s="155">
        <f t="shared" si="170"/>
        <v>0</v>
      </c>
      <c r="AA464" s="155">
        <f t="shared" si="170"/>
        <v>0</v>
      </c>
    </row>
    <row r="465" spans="1:27" hidden="1" x14ac:dyDescent="0.45">
      <c r="B465" s="4"/>
      <c r="D465" s="66" t="s">
        <v>177</v>
      </c>
      <c r="E465" s="154"/>
      <c r="F465" s="154"/>
      <c r="G465" s="155">
        <f t="shared" ref="G465:U465" ca="1" si="171">G457</f>
        <v>0</v>
      </c>
      <c r="H465" s="155">
        <f t="shared" ca="1" si="171"/>
        <v>0</v>
      </c>
      <c r="I465" s="155">
        <f t="shared" ca="1" si="171"/>
        <v>0</v>
      </c>
      <c r="J465" s="155">
        <f t="shared" ca="1" si="171"/>
        <v>0</v>
      </c>
      <c r="K465" s="155">
        <f t="shared" ca="1" si="171"/>
        <v>0</v>
      </c>
      <c r="L465" s="155">
        <f t="shared" ca="1" si="171"/>
        <v>0</v>
      </c>
      <c r="M465" s="155">
        <f t="shared" ca="1" si="171"/>
        <v>0</v>
      </c>
      <c r="N465" s="155">
        <f t="shared" ca="1" si="171"/>
        <v>0</v>
      </c>
      <c r="O465" s="155">
        <f t="shared" ca="1" si="171"/>
        <v>0</v>
      </c>
      <c r="P465" s="155">
        <f t="shared" ca="1" si="171"/>
        <v>0</v>
      </c>
      <c r="Q465" s="155">
        <f t="shared" ca="1" si="171"/>
        <v>0</v>
      </c>
      <c r="R465" s="155">
        <f t="shared" ca="1" si="171"/>
        <v>0</v>
      </c>
      <c r="S465" s="155">
        <f t="shared" ca="1" si="171"/>
        <v>0</v>
      </c>
      <c r="T465" s="155">
        <f t="shared" ca="1" si="171"/>
        <v>0</v>
      </c>
      <c r="U465" s="155">
        <f t="shared" ca="1" si="171"/>
        <v>0</v>
      </c>
      <c r="V465" s="155">
        <f t="shared" ref="V465:AA465" ca="1" si="172">V457</f>
        <v>0</v>
      </c>
      <c r="W465" s="155">
        <f t="shared" ca="1" si="172"/>
        <v>0</v>
      </c>
      <c r="X465" s="155">
        <f t="shared" ca="1" si="172"/>
        <v>0</v>
      </c>
      <c r="Y465" s="155">
        <f t="shared" ca="1" si="172"/>
        <v>0</v>
      </c>
      <c r="Z465" s="155">
        <f t="shared" ca="1" si="172"/>
        <v>0</v>
      </c>
      <c r="AA465" s="155">
        <f t="shared" ca="1" si="172"/>
        <v>0</v>
      </c>
    </row>
    <row r="466" spans="1:27" customFormat="1" ht="14.65" hidden="1" thickBot="1" x14ac:dyDescent="0.5">
      <c r="G466" s="52" t="s">
        <v>38</v>
      </c>
      <c r="H466" s="52" t="s">
        <v>38</v>
      </c>
      <c r="I466" s="52" t="s">
        <v>38</v>
      </c>
      <c r="J466" s="52" t="s">
        <v>38</v>
      </c>
      <c r="K466" s="52" t="s">
        <v>38</v>
      </c>
      <c r="L466" s="52" t="s">
        <v>38</v>
      </c>
      <c r="M466" s="52" t="s">
        <v>38</v>
      </c>
      <c r="N466" s="52" t="s">
        <v>38</v>
      </c>
      <c r="O466" s="52" t="s">
        <v>38</v>
      </c>
      <c r="P466" s="52" t="s">
        <v>38</v>
      </c>
      <c r="Q466" s="52" t="s">
        <v>38</v>
      </c>
      <c r="R466" s="52" t="s">
        <v>38</v>
      </c>
      <c r="S466" s="52" t="s">
        <v>38</v>
      </c>
      <c r="T466" s="52" t="s">
        <v>38</v>
      </c>
      <c r="U466" s="52" t="s">
        <v>38</v>
      </c>
      <c r="V466" s="52" t="s">
        <v>38</v>
      </c>
      <c r="W466" s="52" t="s">
        <v>38</v>
      </c>
      <c r="X466" s="52" t="s">
        <v>38</v>
      </c>
      <c r="Y466" s="52" t="s">
        <v>38</v>
      </c>
      <c r="Z466" s="52" t="s">
        <v>38</v>
      </c>
      <c r="AA466" s="52" t="s">
        <v>38</v>
      </c>
    </row>
    <row r="467" spans="1:27" ht="14.65" hidden="1" thickBot="1" x14ac:dyDescent="0.5">
      <c r="B467" s="4"/>
      <c r="D467" s="66" t="s">
        <v>181</v>
      </c>
      <c r="E467" s="153" t="e">
        <f ca="1">IRR($G467:$U467)</f>
        <v>#NUM!</v>
      </c>
      <c r="F467" s="154"/>
      <c r="G467" s="155">
        <f ca="1">SUM(G462:G465)</f>
        <v>-1507083.8017492625</v>
      </c>
      <c r="H467" s="155">
        <f t="shared" ref="H467:U467" ca="1" si="173">SUM(H462:H465)</f>
        <v>0</v>
      </c>
      <c r="I467" s="155">
        <f t="shared" ca="1" si="173"/>
        <v>0</v>
      </c>
      <c r="J467" s="155">
        <f t="shared" ca="1" si="173"/>
        <v>0</v>
      </c>
      <c r="K467" s="155">
        <f t="shared" ca="1" si="173"/>
        <v>0</v>
      </c>
      <c r="L467" s="155">
        <f t="shared" ca="1" si="173"/>
        <v>0</v>
      </c>
      <c r="M467" s="155">
        <f t="shared" ca="1" si="173"/>
        <v>0</v>
      </c>
      <c r="N467" s="155">
        <f t="shared" ca="1" si="173"/>
        <v>0</v>
      </c>
      <c r="O467" s="155">
        <f t="shared" ca="1" si="173"/>
        <v>0</v>
      </c>
      <c r="P467" s="155">
        <f t="shared" ca="1" si="173"/>
        <v>0</v>
      </c>
      <c r="Q467" s="155">
        <f t="shared" ca="1" si="173"/>
        <v>0</v>
      </c>
      <c r="R467" s="155">
        <f t="shared" ca="1" si="173"/>
        <v>0</v>
      </c>
      <c r="S467" s="155">
        <f t="shared" ca="1" si="173"/>
        <v>0</v>
      </c>
      <c r="T467" s="155">
        <f t="shared" ca="1" si="173"/>
        <v>0</v>
      </c>
      <c r="U467" s="155">
        <f t="shared" ca="1" si="173"/>
        <v>0</v>
      </c>
      <c r="V467" s="155">
        <f t="shared" ref="V467:AA467" ca="1" si="174">SUM(V462:V465)</f>
        <v>0</v>
      </c>
      <c r="W467" s="155">
        <f t="shared" ca="1" si="174"/>
        <v>0</v>
      </c>
      <c r="X467" s="155">
        <f t="shared" ca="1" si="174"/>
        <v>0</v>
      </c>
      <c r="Y467" s="155">
        <f t="shared" ca="1" si="174"/>
        <v>0</v>
      </c>
      <c r="Z467" s="155">
        <f t="shared" ca="1" si="174"/>
        <v>0</v>
      </c>
      <c r="AA467" s="155">
        <f t="shared" ca="1" si="174"/>
        <v>0</v>
      </c>
    </row>
    <row r="470" spans="1:27" s="59" customFormat="1" x14ac:dyDescent="0.45">
      <c r="A470" s="80" t="s">
        <v>108</v>
      </c>
      <c r="M470" s="81"/>
    </row>
  </sheetData>
  <mergeCells count="2">
    <mergeCell ref="B7:D7"/>
    <mergeCell ref="B8:D8"/>
  </mergeCells>
  <pageMargins left="0.23622047244094491" right="0.23622047244094491" top="0.74803149606299213" bottom="0.74803149606299213" header="0.31496062992125984" footer="0.31496062992125984"/>
  <pageSetup paperSize="9" scale="45" fitToHeight="0" orientation="landscape" r:id="rId1"/>
  <headerFooter>
    <oddFooter>Page &amp;P of &amp;N</oddFooter>
  </headerFooter>
  <rowBreaks count="4" manualBreakCount="4">
    <brk id="170" max="15" man="1"/>
    <brk id="293" max="15" man="1"/>
    <brk id="365" max="15" man="1"/>
    <brk id="393" max="15"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9.9978637043366805E-2"/>
  </sheetPr>
  <dimension ref="A1:CV23"/>
  <sheetViews>
    <sheetView showGridLines="0" zoomScaleNormal="100" workbookViewId="0">
      <pane ySplit="10" topLeftCell="A11" activePane="bottomLeft" state="frozen"/>
      <selection activeCell="H11" sqref="H11"/>
      <selection pane="bottomLeft" activeCell="F22" sqref="F22"/>
    </sheetView>
  </sheetViews>
  <sheetFormatPr defaultColWidth="9.1328125" defaultRowHeight="14.25" x14ac:dyDescent="0.45"/>
  <cols>
    <col min="1" max="1" width="2.59765625" customWidth="1"/>
    <col min="2" max="2" width="65.1328125" customWidth="1"/>
    <col min="3" max="3" width="17.1328125" customWidth="1"/>
    <col min="4" max="82" width="18.3984375" customWidth="1"/>
    <col min="83" max="83" width="3.1328125" customWidth="1"/>
    <col min="84" max="92" width="20.3984375" customWidth="1"/>
    <col min="93" max="100" width="19.73046875" customWidth="1"/>
  </cols>
  <sheetData>
    <row r="1" spans="1:100" s="2" customFormat="1" x14ac:dyDescent="0.45">
      <c r="B1" s="18" t="str">
        <f ca="1">RIGHT(CELL("filename",$B$1),LEN(CELL("filename",$B$1))-FIND("]",CELL("filename",$B$1)))</f>
        <v>Summary</v>
      </c>
      <c r="C1" s="18"/>
      <c r="J1" s="20">
        <v>12</v>
      </c>
      <c r="K1" s="20">
        <v>13</v>
      </c>
      <c r="L1" s="20">
        <v>14</v>
      </c>
      <c r="M1" s="20">
        <v>15</v>
      </c>
      <c r="N1" s="20"/>
    </row>
    <row r="2" spans="1:100" s="2" customFormat="1" x14ac:dyDescent="0.45">
      <c r="I2" s="18"/>
    </row>
    <row r="3" spans="1:100" s="2" customFormat="1" x14ac:dyDescent="0.45">
      <c r="A3" s="4" t="s">
        <v>6</v>
      </c>
      <c r="I3" s="4"/>
    </row>
    <row r="4" spans="1:100" s="2" customFormat="1" x14ac:dyDescent="0.45">
      <c r="A4" s="264"/>
      <c r="B4" s="265" t="s">
        <v>7</v>
      </c>
      <c r="C4" s="55"/>
      <c r="I4"/>
    </row>
    <row r="5" spans="1:100" s="2" customFormat="1" x14ac:dyDescent="0.45">
      <c r="A5" s="266"/>
      <c r="B5" s="265" t="s">
        <v>8</v>
      </c>
      <c r="C5" s="55"/>
      <c r="I5"/>
    </row>
    <row r="6" spans="1:100" s="2" customFormat="1" x14ac:dyDescent="0.45">
      <c r="A6" s="267"/>
      <c r="B6" s="265" t="s">
        <v>9</v>
      </c>
      <c r="C6" s="55"/>
      <c r="I6"/>
      <c r="Q6"/>
      <c r="R6"/>
      <c r="S6"/>
      <c r="T6"/>
      <c r="U6"/>
      <c r="V6"/>
    </row>
    <row r="7" spans="1:100" s="2" customFormat="1" x14ac:dyDescent="0.45">
      <c r="A7" s="268"/>
      <c r="B7" s="265" t="s">
        <v>10</v>
      </c>
      <c r="C7" s="55"/>
      <c r="I7"/>
      <c r="Q7"/>
      <c r="R7"/>
      <c r="S7"/>
      <c r="T7"/>
      <c r="U7"/>
      <c r="V7"/>
    </row>
    <row r="9" spans="1:100" x14ac:dyDescent="0.45">
      <c r="B9" s="269"/>
      <c r="C9" s="269"/>
      <c r="G9" s="270"/>
      <c r="H9" s="271"/>
      <c r="AD9" s="270" t="s">
        <v>375</v>
      </c>
      <c r="AE9" s="271" t="e">
        <f>#REF!/6/20</f>
        <v>#REF!</v>
      </c>
      <c r="AP9" s="270" t="s">
        <v>375</v>
      </c>
      <c r="AQ9" s="271" t="e">
        <f>#REF!/6/20</f>
        <v>#REF!</v>
      </c>
      <c r="AT9" s="272"/>
      <c r="BB9" s="270" t="s">
        <v>375</v>
      </c>
      <c r="BC9" s="271" t="e">
        <f>#REF!/6/20</f>
        <v>#REF!</v>
      </c>
      <c r="BF9" s="272"/>
      <c r="BN9" s="270" t="s">
        <v>375</v>
      </c>
      <c r="BO9" s="271" t="e">
        <f>#REF!/6/20</f>
        <v>#REF!</v>
      </c>
      <c r="BR9" s="272"/>
      <c r="BX9" s="272"/>
      <c r="BY9" s="272"/>
      <c r="BZ9" s="270" t="s">
        <v>375</v>
      </c>
      <c r="CA9" s="271" t="e">
        <f>#REF!/6/20</f>
        <v>#REF!</v>
      </c>
      <c r="CD9" s="272"/>
      <c r="CO9" s="717" t="s">
        <v>376</v>
      </c>
      <c r="CP9" s="718"/>
      <c r="CQ9" s="718"/>
      <c r="CR9" s="718"/>
      <c r="CS9" s="718"/>
      <c r="CT9" s="718"/>
      <c r="CU9" s="718"/>
      <c r="CV9" s="719"/>
    </row>
    <row r="10" spans="1:100" x14ac:dyDescent="0.45">
      <c r="B10" s="273" t="s">
        <v>377</v>
      </c>
      <c r="C10" s="274" t="s">
        <v>0</v>
      </c>
      <c r="D10" s="274">
        <v>2021</v>
      </c>
      <c r="E10" s="274">
        <f t="shared" ref="E10:J10" si="0">D10+1</f>
        <v>2022</v>
      </c>
      <c r="F10" s="274">
        <f t="shared" si="0"/>
        <v>2023</v>
      </c>
      <c r="G10" s="274">
        <f t="shared" si="0"/>
        <v>2024</v>
      </c>
      <c r="H10" s="274">
        <f t="shared" si="0"/>
        <v>2025</v>
      </c>
      <c r="I10" s="274">
        <f t="shared" si="0"/>
        <v>2026</v>
      </c>
      <c r="J10" s="274">
        <f t="shared" si="0"/>
        <v>2027</v>
      </c>
    </row>
    <row r="11" spans="1:100" x14ac:dyDescent="0.45">
      <c r="B11" s="275" t="s">
        <v>155</v>
      </c>
      <c r="C11" s="440" t="s">
        <v>495</v>
      </c>
      <c r="D11" s="276">
        <f>'Financial Overview'!G268/1000000</f>
        <v>0</v>
      </c>
      <c r="E11" s="276">
        <f>'Financial Overview'!H268/1000000</f>
        <v>9.0576000000000008</v>
      </c>
      <c r="F11" s="276">
        <f>'Financial Overview'!I268/1000000</f>
        <v>9.2387519999999999</v>
      </c>
      <c r="G11" s="276">
        <f>'Financial Overview'!J268/1000000</f>
        <v>9.4235270400000015</v>
      </c>
      <c r="H11" s="276">
        <f>'Financial Overview'!K268/1000000</f>
        <v>9.6119975808000007</v>
      </c>
      <c r="I11" s="276">
        <f>'Financial Overview'!L268/1000000</f>
        <v>9.8042375324159998</v>
      </c>
      <c r="J11" s="276">
        <f>'Financial Overview'!M268/1000000</f>
        <v>10.000322283064321</v>
      </c>
    </row>
    <row r="12" spans="1:100" x14ac:dyDescent="0.45">
      <c r="B12" s="275" t="s">
        <v>378</v>
      </c>
      <c r="C12" s="440" t="s">
        <v>495</v>
      </c>
      <c r="D12" s="276">
        <f ca="1">('Financial Overview'!G277+'Financial Overview'!G271)/1000000</f>
        <v>-2.1288</v>
      </c>
      <c r="E12" s="276">
        <f ca="1">('Financial Overview'!H277+'Financial Overview'!H271)/1000000</f>
        <v>3.1040640000000006</v>
      </c>
      <c r="F12" s="276">
        <f ca="1">('Financial Overview'!I277+'Financial Overview'!I271)/1000000</f>
        <v>3.1661452799999998</v>
      </c>
      <c r="G12" s="276">
        <f ca="1">('Financial Overview'!J277+'Financial Overview'!J271)/1000000</f>
        <v>3.2294681856000009</v>
      </c>
      <c r="H12" s="276">
        <f ca="1">('Financial Overview'!K277+'Financial Overview'!K271)/1000000</f>
        <v>3.2940575493120008</v>
      </c>
      <c r="I12" s="276">
        <f ca="1">('Financial Overview'!L277+'Financial Overview'!L271)/1000000</f>
        <v>3.359938700298239</v>
      </c>
      <c r="J12" s="276">
        <f ca="1">('Financial Overview'!M277+'Financial Overview'!M271)/1000000</f>
        <v>3.4271374743042053</v>
      </c>
    </row>
    <row r="13" spans="1:100" x14ac:dyDescent="0.45">
      <c r="B13" s="275" t="s">
        <v>803</v>
      </c>
      <c r="C13" s="440" t="s">
        <v>495</v>
      </c>
      <c r="D13" s="276">
        <f ca="1">('Financial Overview'!G305-'Financial Overview'!G307)/1000000</f>
        <v>8.3401002113950398</v>
      </c>
      <c r="E13" s="276">
        <f ca="1">('Financial Overview'!H305-'Financial Overview'!H307)/1000000</f>
        <v>10.161322702623119</v>
      </c>
      <c r="F13" s="276">
        <f ca="1">('Financial Overview'!I305-'Financial Overview'!I307)/1000000</f>
        <v>12.07748880654402</v>
      </c>
      <c r="G13" s="276">
        <f ca="1">('Financial Overview'!J305-'Financial Overview'!J307)/1000000</f>
        <v>14.135326805915652</v>
      </c>
      <c r="H13" s="276">
        <f ca="1">('Financial Overview'!K305-'Financial Overview'!K307)/1000000</f>
        <v>16.326958074917187</v>
      </c>
      <c r="I13" s="276">
        <f ca="1">('Financial Overview'!L305-'Financial Overview'!L307)/1000000</f>
        <v>18.658634515326014</v>
      </c>
      <c r="J13" s="276">
        <f ca="1">('Financial Overview'!M305-'Financial Overview'!M307)/1000000</f>
        <v>21.137011853384269</v>
      </c>
    </row>
    <row r="14" spans="1:100" x14ac:dyDescent="0.45">
      <c r="B14" s="275" t="s">
        <v>379</v>
      </c>
      <c r="C14" s="440" t="s">
        <v>495</v>
      </c>
      <c r="D14" s="276">
        <f>'Financial Overview'!G317/1000000</f>
        <v>0</v>
      </c>
      <c r="E14" s="276">
        <f>'Financial Overview'!H317/1000000</f>
        <v>0</v>
      </c>
      <c r="F14" s="276">
        <f>'Financial Overview'!I317/1000000</f>
        <v>0</v>
      </c>
      <c r="G14" s="276">
        <f>'Financial Overview'!J317/1000000</f>
        <v>0</v>
      </c>
      <c r="H14" s="276">
        <f>'Financial Overview'!K317/1000000</f>
        <v>0</v>
      </c>
      <c r="I14" s="276">
        <f>'Financial Overview'!L317/1000000</f>
        <v>0</v>
      </c>
      <c r="J14" s="276">
        <f>'Financial Overview'!M317/1000000</f>
        <v>0</v>
      </c>
    </row>
    <row r="15" spans="1:100" x14ac:dyDescent="0.45">
      <c r="B15" s="275" t="s">
        <v>380</v>
      </c>
      <c r="C15" s="440" t="s">
        <v>495</v>
      </c>
      <c r="D15" s="276">
        <f ca="1">'Financial Overview'!G323/1000000</f>
        <v>8.3401002113950398</v>
      </c>
      <c r="E15" s="276">
        <f ca="1">'Financial Overview'!H323/1000000</f>
        <v>10.161322702623119</v>
      </c>
      <c r="F15" s="276">
        <f ca="1">'Financial Overview'!I323/1000000</f>
        <v>12.07748880654402</v>
      </c>
      <c r="G15" s="276">
        <f ca="1">'Financial Overview'!J323/1000000</f>
        <v>14.135326805915652</v>
      </c>
      <c r="H15" s="276">
        <f ca="1">'Financial Overview'!K323/1000000</f>
        <v>16.326958074917187</v>
      </c>
      <c r="I15" s="276">
        <f ca="1">'Financial Overview'!L323/1000000</f>
        <v>18.658634515326014</v>
      </c>
      <c r="J15" s="276">
        <f ca="1">'Financial Overview'!M323/1000000</f>
        <v>21.137011853384269</v>
      </c>
    </row>
    <row r="16" spans="1:100" x14ac:dyDescent="0.45">
      <c r="B16" s="275" t="s">
        <v>381</v>
      </c>
      <c r="C16" s="440" t="s">
        <v>495</v>
      </c>
      <c r="D16" s="276">
        <f>SUM('Financial Overview'!$G$361:G361)/1000000</f>
        <v>10</v>
      </c>
      <c r="E16" s="276">
        <f>SUM('Financial Overview'!$G$361:H361)/1000000</f>
        <v>10</v>
      </c>
      <c r="F16" s="276">
        <f>SUM('Financial Overview'!$G$361:I361)/1000000</f>
        <v>10</v>
      </c>
      <c r="G16" s="276">
        <f>SUM('Financial Overview'!$G$361:J361)/1000000</f>
        <v>10</v>
      </c>
      <c r="H16" s="276">
        <f>SUM('Financial Overview'!$G$361:K361)/1000000</f>
        <v>10</v>
      </c>
      <c r="I16" s="276">
        <f>SUM('Financial Overview'!$G$361:L361)/1000000</f>
        <v>10</v>
      </c>
      <c r="J16" s="276">
        <f>SUM('Financial Overview'!$G$361:M361)/1000000</f>
        <v>10</v>
      </c>
    </row>
    <row r="18" spans="2:10" x14ac:dyDescent="0.45">
      <c r="B18" s="275" t="s">
        <v>498</v>
      </c>
      <c r="C18" s="445" t="s">
        <v>496</v>
      </c>
      <c r="D18" s="441">
        <f>Assumptions!H17</f>
        <v>8</v>
      </c>
      <c r="E18" s="441">
        <f>Assumptions!I17</f>
        <v>0</v>
      </c>
      <c r="F18" s="441">
        <f>Assumptions!J17</f>
        <v>0</v>
      </c>
      <c r="G18" s="441">
        <f>Assumptions!K17</f>
        <v>0</v>
      </c>
      <c r="H18" s="441">
        <f>Assumptions!L17</f>
        <v>0</v>
      </c>
      <c r="I18" s="441">
        <f>Assumptions!M17</f>
        <v>0</v>
      </c>
      <c r="J18" s="441">
        <f>Assumptions!N17</f>
        <v>0</v>
      </c>
    </row>
    <row r="19" spans="2:10" x14ac:dyDescent="0.45">
      <c r="B19" s="275" t="s">
        <v>514</v>
      </c>
      <c r="C19" s="445" t="s">
        <v>496</v>
      </c>
      <c r="D19" s="441">
        <f>D18</f>
        <v>8</v>
      </c>
      <c r="E19" s="441">
        <f t="shared" ref="E19:J19" si="1">D19+E18</f>
        <v>8</v>
      </c>
      <c r="F19" s="441">
        <f t="shared" si="1"/>
        <v>8</v>
      </c>
      <c r="G19" s="441">
        <f t="shared" si="1"/>
        <v>8</v>
      </c>
      <c r="H19" s="441">
        <f t="shared" si="1"/>
        <v>8</v>
      </c>
      <c r="I19" s="441">
        <f t="shared" si="1"/>
        <v>8</v>
      </c>
      <c r="J19" s="441">
        <f t="shared" si="1"/>
        <v>8</v>
      </c>
    </row>
    <row r="20" spans="2:10" x14ac:dyDescent="0.45">
      <c r="B20" s="275" t="s">
        <v>497</v>
      </c>
      <c r="C20" s="440" t="s">
        <v>492</v>
      </c>
      <c r="D20" s="441">
        <f>Assumptions!H18</f>
        <v>4</v>
      </c>
      <c r="E20" s="441">
        <f>Assumptions!I18</f>
        <v>0</v>
      </c>
      <c r="F20" s="441">
        <f>Assumptions!J18</f>
        <v>0</v>
      </c>
      <c r="G20" s="441">
        <f>Assumptions!K18</f>
        <v>0</v>
      </c>
      <c r="H20" s="441">
        <f>Assumptions!L18</f>
        <v>0</v>
      </c>
      <c r="I20" s="441">
        <f>Assumptions!M18</f>
        <v>0</v>
      </c>
      <c r="J20" s="441">
        <f>Assumptions!N18</f>
        <v>0</v>
      </c>
    </row>
    <row r="21" spans="2:10" x14ac:dyDescent="0.45">
      <c r="B21" s="275" t="s">
        <v>540</v>
      </c>
      <c r="C21" s="440" t="s">
        <v>492</v>
      </c>
      <c r="D21" s="441">
        <f>D20</f>
        <v>4</v>
      </c>
      <c r="E21" s="441">
        <f t="shared" ref="E21:J21" si="2">D21+E20</f>
        <v>4</v>
      </c>
      <c r="F21" s="441">
        <f t="shared" si="2"/>
        <v>4</v>
      </c>
      <c r="G21" s="441">
        <f t="shared" si="2"/>
        <v>4</v>
      </c>
      <c r="H21" s="441">
        <f t="shared" si="2"/>
        <v>4</v>
      </c>
      <c r="I21" s="441">
        <f t="shared" si="2"/>
        <v>4</v>
      </c>
      <c r="J21" s="441">
        <f t="shared" si="2"/>
        <v>4</v>
      </c>
    </row>
    <row r="22" spans="2:10" x14ac:dyDescent="0.45">
      <c r="B22" s="275" t="s">
        <v>494</v>
      </c>
      <c r="C22" s="440" t="s">
        <v>493</v>
      </c>
      <c r="D22" s="441" t="s">
        <v>208</v>
      </c>
      <c r="E22" s="441">
        <f>Assumptions!I28</f>
        <v>600</v>
      </c>
      <c r="F22" s="441">
        <f>Assumptions!J28</f>
        <v>600</v>
      </c>
      <c r="G22" s="441">
        <f>Assumptions!K28</f>
        <v>600</v>
      </c>
      <c r="H22" s="441">
        <f>Assumptions!L28</f>
        <v>600</v>
      </c>
      <c r="I22" s="441">
        <f>Assumptions!M28</f>
        <v>600</v>
      </c>
      <c r="J22" s="441">
        <f>Assumptions!N28</f>
        <v>600</v>
      </c>
    </row>
    <row r="23" spans="2:10" x14ac:dyDescent="0.45">
      <c r="B23" s="275" t="s">
        <v>143</v>
      </c>
      <c r="C23" s="440" t="s">
        <v>493</v>
      </c>
      <c r="D23" s="208" t="s">
        <v>208</v>
      </c>
      <c r="E23" s="208">
        <f t="shared" ref="E23:J23" si="3">E22*E21</f>
        <v>2400</v>
      </c>
      <c r="F23" s="208">
        <f t="shared" si="3"/>
        <v>2400</v>
      </c>
      <c r="G23" s="208">
        <f t="shared" si="3"/>
        <v>2400</v>
      </c>
      <c r="H23" s="208">
        <f t="shared" si="3"/>
        <v>2400</v>
      </c>
      <c r="I23" s="208">
        <f t="shared" si="3"/>
        <v>2400</v>
      </c>
      <c r="J23" s="208">
        <f t="shared" si="3"/>
        <v>2400</v>
      </c>
    </row>
  </sheetData>
  <mergeCells count="1">
    <mergeCell ref="CO9:CV9"/>
  </mergeCells>
  <conditionalFormatting sqref="A3:C7 D1 B8:P9 B2:D2 E1:DC5 E6:P7 W6:DC9">
    <cfRule type="expression" dxfId="181" priority="5">
      <formula>_xlfn.ISFORMULA(A1)</formula>
    </cfRule>
  </conditionalFormatting>
  <conditionalFormatting sqref="C10:J10 C18:C19">
    <cfRule type="expression" dxfId="180" priority="4">
      <formula>_xludf.ISFORMULA(C10)</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9.9978637043366805E-2"/>
  </sheetPr>
  <dimension ref="A1:N77"/>
  <sheetViews>
    <sheetView showGridLines="0" zoomScale="70" zoomScaleNormal="70" workbookViewId="0">
      <pane xSplit="6" ySplit="10" topLeftCell="G11" activePane="bottomRight" state="frozen"/>
      <selection activeCell="H11" sqref="H11"/>
      <selection pane="topRight" activeCell="H11" sqref="H11"/>
      <selection pane="bottomLeft" activeCell="H11" sqref="H11"/>
      <selection pane="bottomRight" activeCell="I12" sqref="I12"/>
    </sheetView>
  </sheetViews>
  <sheetFormatPr defaultColWidth="9" defaultRowHeight="14.25" x14ac:dyDescent="0.45"/>
  <cols>
    <col min="1" max="2" width="3.3984375" style="177" customWidth="1"/>
    <col min="3" max="3" width="78.59765625" style="177" customWidth="1"/>
    <col min="4" max="4" width="17.1328125" style="192" customWidth="1"/>
    <col min="5" max="5" width="16.86328125" style="192" customWidth="1"/>
    <col min="6" max="6" width="14" style="177" bestFit="1" customWidth="1"/>
    <col min="7" max="7" width="15.3984375" style="177" customWidth="1"/>
    <col min="8" max="11" width="20.3984375" style="177" customWidth="1"/>
    <col min="12" max="12" width="18.1328125" style="177" customWidth="1"/>
    <col min="13" max="16384" width="9" style="177"/>
  </cols>
  <sheetData>
    <row r="1" spans="1:14" s="141" customFormat="1" x14ac:dyDescent="0.45">
      <c r="A1" s="147" t="s">
        <v>246</v>
      </c>
      <c r="D1" s="143"/>
      <c r="E1" s="206">
        <f ca="1">'Operational Costs'!F1</f>
        <v>16243658.526131678</v>
      </c>
      <c r="F1" s="209">
        <f ca="1">'Operational Costs'!G1</f>
        <v>559751.44489366515</v>
      </c>
      <c r="J1" s="143"/>
      <c r="K1"/>
    </row>
    <row r="2" spans="1:14" s="141" customFormat="1" x14ac:dyDescent="0.45">
      <c r="D2" s="143"/>
      <c r="E2" s="143"/>
      <c r="G2" s="143"/>
      <c r="H2" s="143"/>
      <c r="I2" s="143"/>
      <c r="J2" s="143"/>
      <c r="K2"/>
    </row>
    <row r="3" spans="1:14" s="141" customFormat="1" x14ac:dyDescent="0.45">
      <c r="A3" s="4" t="s">
        <v>6</v>
      </c>
      <c r="D3" s="143"/>
      <c r="E3" s="143"/>
      <c r="G3" s="2"/>
      <c r="J3" s="2"/>
      <c r="K3"/>
    </row>
    <row r="4" spans="1:14" s="141" customFormat="1" x14ac:dyDescent="0.45">
      <c r="A4" s="5"/>
      <c r="B4" s="6" t="s">
        <v>7</v>
      </c>
      <c r="C4" s="146"/>
      <c r="D4" s="124"/>
      <c r="E4" s="124"/>
      <c r="F4" s="55"/>
      <c r="K4"/>
    </row>
    <row r="5" spans="1:14" s="141" customFormat="1" x14ac:dyDescent="0.45">
      <c r="A5" s="8"/>
      <c r="B5" s="6" t="s">
        <v>8</v>
      </c>
      <c r="C5" s="146"/>
      <c r="D5" s="124"/>
      <c r="E5" s="124"/>
      <c r="F5" s="55"/>
      <c r="K5"/>
    </row>
    <row r="6" spans="1:14" s="141" customFormat="1" x14ac:dyDescent="0.45">
      <c r="A6" s="9"/>
      <c r="B6" s="6" t="s">
        <v>9</v>
      </c>
      <c r="C6" s="146"/>
      <c r="D6" s="124"/>
      <c r="E6" s="124"/>
      <c r="F6" s="55"/>
      <c r="K6"/>
      <c r="L6" s="150"/>
      <c r="M6" s="150"/>
      <c r="N6" s="150"/>
    </row>
    <row r="7" spans="1:14" s="141" customFormat="1" x14ac:dyDescent="0.45">
      <c r="A7" s="10"/>
      <c r="B7" s="6" t="s">
        <v>10</v>
      </c>
      <c r="C7" s="146"/>
      <c r="D7" s="124"/>
      <c r="E7" s="124"/>
      <c r="F7" s="55"/>
      <c r="K7"/>
    </row>
    <row r="8" spans="1:14" customFormat="1" x14ac:dyDescent="0.45">
      <c r="D8" s="210"/>
      <c r="E8" s="210"/>
    </row>
    <row r="9" spans="1:14" s="142" customFormat="1" x14ac:dyDescent="0.45">
      <c r="D9" s="144"/>
      <c r="E9" s="144"/>
      <c r="G9" s="149"/>
      <c r="H9" s="149"/>
      <c r="I9" s="149"/>
      <c r="J9" s="144"/>
      <c r="K9"/>
      <c r="L9" s="165"/>
      <c r="M9" s="165"/>
      <c r="N9" s="165"/>
    </row>
    <row r="10" spans="1:14" x14ac:dyDescent="0.45">
      <c r="B10" s="191" t="s">
        <v>215</v>
      </c>
      <c r="D10" s="169" t="s">
        <v>0</v>
      </c>
      <c r="E10" s="169" t="s">
        <v>240</v>
      </c>
      <c r="F10" s="168"/>
      <c r="G10" s="169" t="s">
        <v>216</v>
      </c>
      <c r="H10" s="169" t="s">
        <v>234</v>
      </c>
      <c r="I10" s="169" t="s">
        <v>815</v>
      </c>
      <c r="J10" s="169" t="s">
        <v>235</v>
      </c>
      <c r="K10" s="169" t="s">
        <v>816</v>
      </c>
      <c r="L10" s="174" t="s">
        <v>217</v>
      </c>
      <c r="M10" s="178"/>
    </row>
    <row r="11" spans="1:14" x14ac:dyDescent="0.45">
      <c r="B11" s="191" t="s">
        <v>504</v>
      </c>
      <c r="D11" s="169"/>
      <c r="E11" s="169"/>
      <c r="F11" s="168"/>
      <c r="G11" s="171"/>
      <c r="K11" s="171"/>
    </row>
    <row r="12" spans="1:14" x14ac:dyDescent="0.45">
      <c r="C12" s="173" t="str">
        <f>Assumptions!D60</f>
        <v>Landscaping</v>
      </c>
      <c r="D12" s="180" t="s">
        <v>241</v>
      </c>
      <c r="E12" s="180" t="s">
        <v>209</v>
      </c>
      <c r="F12" s="173" t="s">
        <v>483</v>
      </c>
      <c r="G12" s="196">
        <v>1</v>
      </c>
      <c r="H12" s="200">
        <f>I12*Assumptions!$H$14</f>
        <v>72000000</v>
      </c>
      <c r="I12" s="193">
        <f>Assumptions!I84</f>
        <v>120200.33388981636</v>
      </c>
      <c r="J12" s="179">
        <f>G12*H12</f>
        <v>72000000</v>
      </c>
      <c r="K12" s="172">
        <f>J12/Assumptions!$H$14</f>
        <v>120200.33388981636</v>
      </c>
    </row>
    <row r="13" spans="1:14" customFormat="1" ht="14.25" customHeight="1" x14ac:dyDescent="0.45">
      <c r="B13" s="1"/>
      <c r="C13" s="545" t="str">
        <f>Assumptions!D61</f>
        <v>Building</v>
      </c>
      <c r="D13" s="180" t="s">
        <v>241</v>
      </c>
      <c r="E13" s="176" t="s">
        <v>209</v>
      </c>
      <c r="F13" s="173" t="s">
        <v>482</v>
      </c>
      <c r="G13" s="545">
        <v>1</v>
      </c>
      <c r="H13" s="200">
        <f>I13*Assumptions!$H$14</f>
        <v>20400000</v>
      </c>
      <c r="I13" s="193">
        <f>Assumptions!I85</f>
        <v>34056.761268781302</v>
      </c>
      <c r="J13" s="194">
        <f>H13*G13</f>
        <v>20400000</v>
      </c>
      <c r="K13" s="172">
        <f>J13/Assumptions!$H$14</f>
        <v>34056.761268781302</v>
      </c>
    </row>
    <row r="14" spans="1:14" x14ac:dyDescent="0.45">
      <c r="C14" s="545" t="str">
        <f>Assumptions!D62</f>
        <v>Storage</v>
      </c>
      <c r="D14" s="180" t="s">
        <v>241</v>
      </c>
      <c r="E14" s="180" t="s">
        <v>209</v>
      </c>
      <c r="F14" s="173" t="s">
        <v>387</v>
      </c>
      <c r="G14" s="545">
        <v>1</v>
      </c>
      <c r="H14" s="200">
        <f>I14*Assumptions!$H$14</f>
        <v>8400000</v>
      </c>
      <c r="I14" s="193">
        <f>Assumptions!I86</f>
        <v>14023.372287145243</v>
      </c>
      <c r="J14" s="179">
        <f t="shared" ref="J14:J19" si="0">G14*H14</f>
        <v>8400000</v>
      </c>
      <c r="K14" s="172">
        <f>J14/Assumptions!$H$14</f>
        <v>14023.372287145243</v>
      </c>
    </row>
    <row r="15" spans="1:14" x14ac:dyDescent="0.45">
      <c r="C15" s="545" t="str">
        <f>Assumptions!D63</f>
        <v>Water system</v>
      </c>
      <c r="D15" s="180" t="s">
        <v>241</v>
      </c>
      <c r="E15" s="180" t="s">
        <v>209</v>
      </c>
      <c r="F15" s="173" t="s">
        <v>387</v>
      </c>
      <c r="G15" s="545">
        <v>1</v>
      </c>
      <c r="H15" s="200">
        <f>I15*Assumptions!$H$14</f>
        <v>8400000</v>
      </c>
      <c r="I15" s="193">
        <f>Assumptions!I87</f>
        <v>14023.372287145243</v>
      </c>
      <c r="J15" s="179">
        <f t="shared" si="0"/>
        <v>8400000</v>
      </c>
      <c r="K15" s="172">
        <f>J15/Assumptions!$H$14</f>
        <v>14023.372287145243</v>
      </c>
    </row>
    <row r="16" spans="1:14" x14ac:dyDescent="0.45">
      <c r="C16" s="545" t="str">
        <f>Assumptions!D64</f>
        <v>Electricity</v>
      </c>
      <c r="D16" s="180" t="s">
        <v>241</v>
      </c>
      <c r="E16" s="180" t="s">
        <v>209</v>
      </c>
      <c r="F16" s="173" t="s">
        <v>387</v>
      </c>
      <c r="G16" s="545">
        <v>1</v>
      </c>
      <c r="H16" s="200">
        <f>I16*Assumptions!$H$14</f>
        <v>3600000</v>
      </c>
      <c r="I16" s="193">
        <f>Assumptions!I88</f>
        <v>6010.0166944908178</v>
      </c>
      <c r="J16" s="179">
        <f t="shared" si="0"/>
        <v>3600000</v>
      </c>
      <c r="K16" s="172">
        <f>J16/Assumptions!$H$14</f>
        <v>6010.0166944908178</v>
      </c>
    </row>
    <row r="17" spans="3:11" x14ac:dyDescent="0.45">
      <c r="C17" s="545" t="str">
        <f>Assumptions!D65</f>
        <v>Waste management including biogas</v>
      </c>
      <c r="D17" s="180" t="s">
        <v>241</v>
      </c>
      <c r="E17" s="180" t="s">
        <v>209</v>
      </c>
      <c r="F17" s="173" t="s">
        <v>387</v>
      </c>
      <c r="G17" s="545">
        <v>1</v>
      </c>
      <c r="H17" s="200">
        <f>I17*Assumptions!$H$14</f>
        <v>7200000</v>
      </c>
      <c r="I17" s="193">
        <f>Assumptions!I89</f>
        <v>12020.033388981636</v>
      </c>
      <c r="J17" s="179">
        <f t="shared" si="0"/>
        <v>7200000</v>
      </c>
      <c r="K17" s="172">
        <f>J17/Assumptions!$H$14</f>
        <v>12020.033388981636</v>
      </c>
    </row>
    <row r="18" spans="3:11" ht="17.25" customHeight="1" x14ac:dyDescent="0.45">
      <c r="C18" s="545" t="str">
        <f>Assumptions!D66</f>
        <v>Fruit bubble washing machine Contact www.pasenmachinery.com</v>
      </c>
      <c r="D18" s="180" t="s">
        <v>241</v>
      </c>
      <c r="E18" s="180" t="s">
        <v>209</v>
      </c>
      <c r="F18" s="173" t="s">
        <v>387</v>
      </c>
      <c r="G18" s="545">
        <v>1</v>
      </c>
      <c r="H18" s="200">
        <f>I18*Assumptions!$H$14</f>
        <v>4620000</v>
      </c>
      <c r="I18" s="193">
        <f>Assumptions!I90</f>
        <v>7712.8547579298829</v>
      </c>
      <c r="J18" s="179">
        <f t="shared" si="0"/>
        <v>4620000</v>
      </c>
      <c r="K18" s="172">
        <f>J18/Assumptions!$H$14</f>
        <v>7712.8547579298829</v>
      </c>
    </row>
    <row r="19" spans="3:11" x14ac:dyDescent="0.45">
      <c r="C19" s="545" t="str">
        <f>Assumptions!D67</f>
        <v>Depulping tables</v>
      </c>
      <c r="D19" s="180" t="s">
        <v>241</v>
      </c>
      <c r="E19" s="180" t="s">
        <v>209</v>
      </c>
      <c r="F19" s="173" t="s">
        <v>387</v>
      </c>
      <c r="G19" s="545">
        <v>1</v>
      </c>
      <c r="H19" s="200">
        <f>I19*Assumptions!$H$14</f>
        <v>1043694</v>
      </c>
      <c r="I19" s="193">
        <f>Assumptions!I91</f>
        <v>1742.3939899833056</v>
      </c>
      <c r="J19" s="179">
        <f t="shared" si="0"/>
        <v>1043694</v>
      </c>
      <c r="K19" s="172">
        <f>J19/Assumptions!$H$14</f>
        <v>1742.3939899833056</v>
      </c>
    </row>
    <row r="20" spans="3:11" x14ac:dyDescent="0.45">
      <c r="C20" s="545" t="str">
        <f>Assumptions!D68</f>
        <v>Steamer</v>
      </c>
      <c r="D20" s="180" t="s">
        <v>241</v>
      </c>
      <c r="E20" s="180" t="s">
        <v>209</v>
      </c>
      <c r="F20" s="173" t="s">
        <v>387</v>
      </c>
      <c r="G20" s="545">
        <v>1</v>
      </c>
      <c r="H20" s="200">
        <f>I20*Assumptions!$H$14</f>
        <v>5400000</v>
      </c>
      <c r="I20" s="193">
        <f>Assumptions!I92</f>
        <v>9015.0250417362276</v>
      </c>
      <c r="J20" s="179">
        <f t="shared" ref="J20:J30" si="1">G20*H20</f>
        <v>5400000</v>
      </c>
      <c r="K20" s="172">
        <f>J20/Assumptions!$H$14</f>
        <v>9015.0250417362276</v>
      </c>
    </row>
    <row r="21" spans="3:11" x14ac:dyDescent="0.45">
      <c r="C21" s="545" t="str">
        <f>Assumptions!D69</f>
        <v>Hangar dryer</v>
      </c>
      <c r="D21" s="180" t="s">
        <v>241</v>
      </c>
      <c r="E21" s="180" t="s">
        <v>209</v>
      </c>
      <c r="F21" s="173" t="s">
        <v>387</v>
      </c>
      <c r="G21" s="545">
        <v>1</v>
      </c>
      <c r="H21" s="200">
        <f>I21*Assumptions!$H$14</f>
        <v>6600000</v>
      </c>
      <c r="I21" s="193">
        <f>Assumptions!I93</f>
        <v>11018.363939899833</v>
      </c>
      <c r="J21" s="179">
        <f t="shared" si="1"/>
        <v>6600000</v>
      </c>
      <c r="K21" s="172">
        <f>J21/Assumptions!$H$14</f>
        <v>11018.363939899833</v>
      </c>
    </row>
    <row r="22" spans="3:11" x14ac:dyDescent="0.45">
      <c r="C22" s="545" t="str">
        <f>Assumptions!D70</f>
        <v>Shelling machine,  Henan My Only Food Machine Co., Ltd.</v>
      </c>
      <c r="D22" s="180" t="s">
        <v>241</v>
      </c>
      <c r="E22" s="180" t="s">
        <v>209</v>
      </c>
      <c r="F22" s="173" t="s">
        <v>387</v>
      </c>
      <c r="G22" s="545">
        <v>1</v>
      </c>
      <c r="H22" s="200">
        <f>I22*Assumptions!$H$14</f>
        <v>5040000</v>
      </c>
      <c r="I22" s="193">
        <f>Assumptions!I94</f>
        <v>8414.0233722871453</v>
      </c>
      <c r="J22" s="179">
        <f t="shared" si="1"/>
        <v>5040000</v>
      </c>
      <c r="K22" s="172">
        <f>J22/Assumptions!$H$14</f>
        <v>8414.0233722871453</v>
      </c>
    </row>
    <row r="23" spans="3:11" x14ac:dyDescent="0.45">
      <c r="C23" s="545" t="str">
        <f>Assumptions!D71</f>
        <v xml:space="preserve">Almond Packaging </v>
      </c>
      <c r="D23" s="180" t="s">
        <v>241</v>
      </c>
      <c r="E23" s="180" t="s">
        <v>209</v>
      </c>
      <c r="F23" s="173" t="s">
        <v>387</v>
      </c>
      <c r="G23" s="545">
        <v>1</v>
      </c>
      <c r="H23" s="200">
        <f>I23*Assumptions!$H$14</f>
        <v>600000</v>
      </c>
      <c r="I23" s="193">
        <f>Assumptions!I95</f>
        <v>1001.669449081803</v>
      </c>
      <c r="J23" s="179">
        <f t="shared" si="1"/>
        <v>600000</v>
      </c>
      <c r="K23" s="172">
        <f>J23/Assumptions!$H$14</f>
        <v>1001.669449081803</v>
      </c>
    </row>
    <row r="24" spans="3:11" x14ac:dyDescent="0.45">
      <c r="C24" s="545" t="str">
        <f>Assumptions!D72</f>
        <v>Pulp dryer</v>
      </c>
      <c r="D24" s="180" t="s">
        <v>241</v>
      </c>
      <c r="E24" s="180" t="s">
        <v>209</v>
      </c>
      <c r="F24" s="173" t="s">
        <v>387</v>
      </c>
      <c r="G24" s="545">
        <v>1</v>
      </c>
      <c r="H24" s="200">
        <f>I24*Assumptions!$H$14</f>
        <v>36000000</v>
      </c>
      <c r="I24" s="193">
        <f>Assumptions!I96</f>
        <v>60100.166944908182</v>
      </c>
      <c r="J24" s="179">
        <f t="shared" si="1"/>
        <v>36000000</v>
      </c>
      <c r="K24" s="172">
        <f>J24/Assumptions!$H$14</f>
        <v>60100.166944908182</v>
      </c>
    </row>
    <row r="25" spans="3:11" x14ac:dyDescent="0.45">
      <c r="C25" s="545" t="str">
        <f>Assumptions!D73</f>
        <v>Thermal installation</v>
      </c>
      <c r="D25" s="180" t="s">
        <v>241</v>
      </c>
      <c r="E25" s="180" t="s">
        <v>209</v>
      </c>
      <c r="F25" s="173" t="s">
        <v>387</v>
      </c>
      <c r="G25" s="545">
        <v>1</v>
      </c>
      <c r="H25" s="200">
        <f>I25*Assumptions!$H$14</f>
        <v>11160000</v>
      </c>
      <c r="I25" s="193">
        <f>Assumptions!I97</f>
        <v>18631.051752921536</v>
      </c>
      <c r="J25" s="179">
        <f t="shared" si="1"/>
        <v>11160000</v>
      </c>
      <c r="K25" s="172">
        <f>J25/Assumptions!$H$14</f>
        <v>18631.051752921536</v>
      </c>
    </row>
    <row r="26" spans="3:11" x14ac:dyDescent="0.45">
      <c r="C26" s="171" t="str">
        <f>Assumptions!D74</f>
        <v>Dried pulp packaging machine  Zhejiang Ruibao Packaging Machine Co., Ltd.</v>
      </c>
      <c r="D26" s="180" t="s">
        <v>241</v>
      </c>
      <c r="E26" s="180" t="s">
        <v>209</v>
      </c>
      <c r="F26" s="173" t="s">
        <v>387</v>
      </c>
      <c r="G26" s="545">
        <v>1</v>
      </c>
      <c r="H26" s="200">
        <f>I26*Assumptions!$H$14</f>
        <v>2280000</v>
      </c>
      <c r="I26" s="193">
        <f>Assumptions!I98</f>
        <v>3806.3439065108514</v>
      </c>
      <c r="J26" s="179">
        <f t="shared" si="1"/>
        <v>2280000</v>
      </c>
      <c r="K26" s="172">
        <f>J26/Assumptions!$H$14</f>
        <v>3806.3439065108514</v>
      </c>
    </row>
    <row r="27" spans="3:11" x14ac:dyDescent="0.45">
      <c r="C27" s="171" t="str">
        <f>Assumptions!D75</f>
        <v>Dried pulp packaging table</v>
      </c>
      <c r="D27" s="180" t="s">
        <v>241</v>
      </c>
      <c r="E27" s="180" t="s">
        <v>209</v>
      </c>
      <c r="F27" s="173" t="s">
        <v>387</v>
      </c>
      <c r="G27" s="545">
        <v>1</v>
      </c>
      <c r="H27" s="200">
        <f>I27*Assumptions!$H$14</f>
        <v>2088000</v>
      </c>
      <c r="I27" s="193">
        <f>Assumptions!I99</f>
        <v>3485.8096828046746</v>
      </c>
      <c r="J27" s="179">
        <f t="shared" si="1"/>
        <v>2088000</v>
      </c>
      <c r="K27" s="172">
        <f>J27/Assumptions!$H$14</f>
        <v>3485.8096828046746</v>
      </c>
    </row>
    <row r="28" spans="3:11" x14ac:dyDescent="0.45">
      <c r="C28" s="171" t="str">
        <f>Assumptions!D76</f>
        <v>Production tools</v>
      </c>
      <c r="D28" s="180" t="s">
        <v>241</v>
      </c>
      <c r="E28" s="180" t="s">
        <v>209</v>
      </c>
      <c r="F28" s="173" t="s">
        <v>387</v>
      </c>
      <c r="G28" s="545">
        <v>1</v>
      </c>
      <c r="H28" s="200">
        <f>I28*Assumptions!$H$14</f>
        <v>9600000</v>
      </c>
      <c r="I28" s="193">
        <f>Assumptions!I100</f>
        <v>16026.711185308848</v>
      </c>
      <c r="J28" s="179">
        <f t="shared" si="1"/>
        <v>9600000</v>
      </c>
      <c r="K28" s="172">
        <f>J28/Assumptions!$H$14</f>
        <v>16026.711185308848</v>
      </c>
    </row>
    <row r="29" spans="3:11" x14ac:dyDescent="0.45">
      <c r="C29" s="171" t="str">
        <f>Assumptions!D77</f>
        <v>Transport Installation and Commissioning</v>
      </c>
      <c r="D29" s="180" t="s">
        <v>241</v>
      </c>
      <c r="E29" s="180" t="s">
        <v>209</v>
      </c>
      <c r="F29" s="173" t="s">
        <v>387</v>
      </c>
      <c r="G29" s="545">
        <v>1</v>
      </c>
      <c r="H29" s="200">
        <f>I29*Assumptions!$H$14</f>
        <v>43256923.499999993</v>
      </c>
      <c r="I29" s="193">
        <f>Assumptions!I101</f>
        <v>72215.231218697823</v>
      </c>
      <c r="J29" s="179">
        <f t="shared" si="1"/>
        <v>43256923.499999993</v>
      </c>
      <c r="K29" s="172">
        <f>J29/Assumptions!$H$14</f>
        <v>72215.231218697823</v>
      </c>
    </row>
    <row r="30" spans="3:11" x14ac:dyDescent="0.45">
      <c r="C30" s="171" t="str">
        <f>Assumptions!D78</f>
        <v>Vehicules</v>
      </c>
      <c r="D30" s="180" t="s">
        <v>241</v>
      </c>
      <c r="E30" s="180" t="s">
        <v>209</v>
      </c>
      <c r="F30" s="173" t="s">
        <v>387</v>
      </c>
      <c r="G30" s="545">
        <v>1</v>
      </c>
      <c r="H30" s="200">
        <f>I30*Assumptions!$H$14</f>
        <v>6960000</v>
      </c>
      <c r="I30" s="193">
        <f>Assumptions!I102</f>
        <v>11619.365609348915</v>
      </c>
      <c r="J30" s="179">
        <f t="shared" si="1"/>
        <v>6960000</v>
      </c>
      <c r="K30" s="172">
        <f>J30/Assumptions!$H$14</f>
        <v>11619.365609348915</v>
      </c>
    </row>
    <row r="31" spans="3:11" hidden="1" x14ac:dyDescent="0.45">
      <c r="C31" s="171"/>
      <c r="D31" s="180"/>
      <c r="E31" s="180"/>
      <c r="F31" s="173"/>
      <c r="G31" s="545"/>
      <c r="H31" s="200"/>
      <c r="I31" s="193"/>
      <c r="J31" s="179"/>
      <c r="K31" s="172"/>
    </row>
    <row r="32" spans="3:11" hidden="1" x14ac:dyDescent="0.45">
      <c r="C32" s="171"/>
      <c r="D32" s="180"/>
      <c r="E32" s="180"/>
      <c r="F32" s="171"/>
      <c r="G32" s="203"/>
      <c r="H32" s="193"/>
      <c r="I32" s="200"/>
      <c r="J32" s="179"/>
      <c r="K32" s="172"/>
    </row>
    <row r="33" spans="2:12" hidden="1" x14ac:dyDescent="0.45">
      <c r="C33" s="173"/>
      <c r="D33" s="180"/>
      <c r="E33" s="180"/>
      <c r="F33" s="171"/>
      <c r="G33" s="203"/>
      <c r="H33" s="193"/>
      <c r="I33" s="200"/>
      <c r="J33" s="179"/>
      <c r="K33" s="172"/>
    </row>
    <row r="34" spans="2:12" customFormat="1" hidden="1" x14ac:dyDescent="0.45">
      <c r="D34" s="210"/>
      <c r="E34" s="210"/>
      <c r="J34" s="162" t="s">
        <v>22</v>
      </c>
      <c r="K34" s="162" t="s">
        <v>22</v>
      </c>
    </row>
    <row r="35" spans="2:12" x14ac:dyDescent="0.45">
      <c r="C35" s="168" t="s">
        <v>231</v>
      </c>
      <c r="D35" s="180" t="s">
        <v>210</v>
      </c>
      <c r="E35" s="180" t="s">
        <v>209</v>
      </c>
      <c r="F35" s="168"/>
      <c r="G35" s="168"/>
      <c r="H35" s="179"/>
      <c r="I35" s="200"/>
      <c r="J35" s="175">
        <f>SUM(J12:J33)</f>
        <v>254648617.5</v>
      </c>
      <c r="K35" s="175">
        <f>SUM(K12:K33)</f>
        <v>425122.90066777967</v>
      </c>
      <c r="L35" s="547"/>
    </row>
    <row r="36" spans="2:12" x14ac:dyDescent="0.45">
      <c r="C36" s="168"/>
      <c r="D36" s="169"/>
      <c r="E36" s="169"/>
      <c r="F36" s="168"/>
      <c r="G36" s="180"/>
      <c r="H36" s="179"/>
      <c r="I36" s="200"/>
      <c r="J36" s="179"/>
      <c r="K36" s="171"/>
    </row>
    <row r="37" spans="2:12" x14ac:dyDescent="0.45">
      <c r="B37" s="191" t="s">
        <v>505</v>
      </c>
      <c r="D37" s="169"/>
      <c r="E37" s="169"/>
      <c r="F37" s="168"/>
      <c r="G37" s="171"/>
      <c r="H37" s="179"/>
      <c r="I37" s="200"/>
      <c r="J37" s="179"/>
      <c r="K37" s="171"/>
    </row>
    <row r="38" spans="2:12" customFormat="1" ht="14.25" customHeight="1" x14ac:dyDescent="0.45">
      <c r="C38" s="170" t="str">
        <f>Assumptions!D109</f>
        <v>Landscaping</v>
      </c>
      <c r="D38" s="176" t="s">
        <v>806</v>
      </c>
      <c r="E38" s="176" t="s">
        <v>806</v>
      </c>
      <c r="F38" s="173" t="s">
        <v>483</v>
      </c>
      <c r="G38" s="196">
        <v>1</v>
      </c>
      <c r="H38" s="200">
        <f>I38*Assumptions!$H$14</f>
        <v>72000000</v>
      </c>
      <c r="I38" s="200">
        <f>Assumptions!I147</f>
        <v>120200.33388981636</v>
      </c>
      <c r="J38" s="182">
        <f>H38*G38</f>
        <v>72000000</v>
      </c>
      <c r="K38" s="182">
        <f>I38*G38</f>
        <v>120200.33388981636</v>
      </c>
      <c r="L38" s="115"/>
    </row>
    <row r="39" spans="2:12" customFormat="1" ht="14.25" customHeight="1" x14ac:dyDescent="0.45">
      <c r="C39" s="170" t="str">
        <f>Assumptions!D110</f>
        <v>Building</v>
      </c>
      <c r="D39" s="180" t="s">
        <v>241</v>
      </c>
      <c r="E39" s="176" t="s">
        <v>209</v>
      </c>
      <c r="F39" s="173" t="s">
        <v>482</v>
      </c>
      <c r="G39" s="196">
        <v>1</v>
      </c>
      <c r="H39" s="200">
        <f>I39*Assumptions!$H$14</f>
        <v>30000000</v>
      </c>
      <c r="I39" s="200">
        <f>Assumptions!I148</f>
        <v>50083.472454090152</v>
      </c>
      <c r="J39" s="185">
        <f>H39*G39</f>
        <v>30000000</v>
      </c>
      <c r="K39" s="182">
        <f>I39*G39</f>
        <v>50083.472454090152</v>
      </c>
      <c r="L39" s="115"/>
    </row>
    <row r="40" spans="2:12" customFormat="1" ht="14.25" customHeight="1" x14ac:dyDescent="0.45">
      <c r="C40" s="170" t="str">
        <f>Assumptions!D111</f>
        <v>Storage</v>
      </c>
      <c r="D40" s="180" t="s">
        <v>241</v>
      </c>
      <c r="E40" s="176" t="s">
        <v>209</v>
      </c>
      <c r="F40" s="173" t="s">
        <v>387</v>
      </c>
      <c r="G40" s="196">
        <v>1</v>
      </c>
      <c r="H40" s="200">
        <f>I40*Assumptions!$H$14</f>
        <v>8400000</v>
      </c>
      <c r="I40" s="200">
        <f>Assumptions!I149</f>
        <v>14023.372287145243</v>
      </c>
      <c r="J40" s="185">
        <f>H40*G40</f>
        <v>8400000</v>
      </c>
      <c r="K40" s="182">
        <f>I40*G40</f>
        <v>14023.372287145243</v>
      </c>
      <c r="L40" s="115"/>
    </row>
    <row r="41" spans="2:12" customFormat="1" ht="14.25" customHeight="1" x14ac:dyDescent="0.45">
      <c r="C41" s="170" t="str">
        <f>Assumptions!D112</f>
        <v>Water System</v>
      </c>
      <c r="D41" s="180" t="s">
        <v>241</v>
      </c>
      <c r="E41" s="176" t="s">
        <v>209</v>
      </c>
      <c r="F41" s="173" t="s">
        <v>387</v>
      </c>
      <c r="G41" s="196">
        <v>1</v>
      </c>
      <c r="H41" s="200">
        <f>I41*Assumptions!$H$14</f>
        <v>8400000</v>
      </c>
      <c r="I41" s="200">
        <f>Assumptions!I150</f>
        <v>14023.372287145243</v>
      </c>
      <c r="J41" s="185">
        <f>H41*G41</f>
        <v>8400000</v>
      </c>
      <c r="K41" s="182">
        <f>I41*G41</f>
        <v>14023.372287145243</v>
      </c>
      <c r="L41" s="115"/>
    </row>
    <row r="42" spans="2:12" customFormat="1" ht="14.25" customHeight="1" x14ac:dyDescent="0.45">
      <c r="C42" s="170" t="str">
        <f>Assumptions!D113</f>
        <v>Electricity</v>
      </c>
      <c r="D42" s="180" t="s">
        <v>241</v>
      </c>
      <c r="E42" s="176" t="s">
        <v>209</v>
      </c>
      <c r="F42" s="173" t="s">
        <v>387</v>
      </c>
      <c r="G42" s="196">
        <v>1</v>
      </c>
      <c r="H42" s="200">
        <f>I42*Assumptions!$H$14</f>
        <v>3600000</v>
      </c>
      <c r="I42" s="200">
        <f>Assumptions!I151</f>
        <v>6010.0166944908178</v>
      </c>
      <c r="J42" s="185">
        <f>H42*G42</f>
        <v>3600000</v>
      </c>
      <c r="K42" s="182">
        <f>I42*G42</f>
        <v>6010.0166944908178</v>
      </c>
      <c r="L42" s="115"/>
    </row>
    <row r="43" spans="2:12" x14ac:dyDescent="0.45">
      <c r="C43" s="173" t="str">
        <f>Assumptions!D114</f>
        <v>Waste Management</v>
      </c>
      <c r="D43" s="180" t="s">
        <v>241</v>
      </c>
      <c r="E43" s="180" t="s">
        <v>209</v>
      </c>
      <c r="F43" s="173" t="s">
        <v>387</v>
      </c>
      <c r="G43" s="196">
        <v>1</v>
      </c>
      <c r="H43" s="200">
        <f>I43*Assumptions!$H$14</f>
        <v>3600000</v>
      </c>
      <c r="I43" s="200">
        <f>Assumptions!I152</f>
        <v>6010.0166944908178</v>
      </c>
      <c r="J43" s="179">
        <f>G43*H43</f>
        <v>3600000</v>
      </c>
      <c r="K43" s="172">
        <f>J43/Assumptions!$H$14</f>
        <v>6010.0166944908178</v>
      </c>
    </row>
    <row r="44" spans="2:12" customFormat="1" ht="14.25" customHeight="1" x14ac:dyDescent="0.45">
      <c r="B44" s="1"/>
      <c r="C44" s="2" t="str">
        <f>Assumptions!D115</f>
        <v>Dry cleaner NSD 0</v>
      </c>
      <c r="D44" s="180" t="s">
        <v>241</v>
      </c>
      <c r="E44" s="176" t="s">
        <v>209</v>
      </c>
      <c r="F44" s="173" t="s">
        <v>387</v>
      </c>
      <c r="G44" s="196">
        <v>1</v>
      </c>
      <c r="H44" s="200">
        <f>I44*Assumptions!$H$14</f>
        <v>21600000</v>
      </c>
      <c r="I44" s="200">
        <f>Assumptions!I153</f>
        <v>36060.100166944911</v>
      </c>
      <c r="J44" s="194">
        <f>H44*G44</f>
        <v>21600000</v>
      </c>
      <c r="K44" s="172">
        <f>J44/Assumptions!$H$14</f>
        <v>36060.100166944911</v>
      </c>
    </row>
    <row r="45" spans="2:12" customFormat="1" ht="14.25" customHeight="1" x14ac:dyDescent="0.45">
      <c r="B45" s="1"/>
      <c r="C45" s="2" t="str">
        <f>Assumptions!D116</f>
        <v xml:space="preserve">Crusher </v>
      </c>
      <c r="D45" s="180" t="s">
        <v>241</v>
      </c>
      <c r="E45" s="176" t="s">
        <v>209</v>
      </c>
      <c r="F45" s="173" t="s">
        <v>387</v>
      </c>
      <c r="G45" s="196">
        <v>1</v>
      </c>
      <c r="H45" s="200">
        <f>I45*Assumptions!$H$14</f>
        <v>3535200</v>
      </c>
      <c r="I45" s="200">
        <f>Assumptions!I154</f>
        <v>5901.8363939899837</v>
      </c>
      <c r="J45" s="194">
        <f>H45*G45</f>
        <v>3535200</v>
      </c>
      <c r="K45" s="172">
        <f>J45/Assumptions!$H$14</f>
        <v>5901.8363939899837</v>
      </c>
    </row>
    <row r="46" spans="2:12" customFormat="1" ht="14.25" customHeight="1" x14ac:dyDescent="0.45">
      <c r="B46" s="1"/>
      <c r="C46" s="2" t="str">
        <f>Assumptions!D117</f>
        <v>Shea nut drying/roasting unit</v>
      </c>
      <c r="D46" s="180" t="s">
        <v>241</v>
      </c>
      <c r="E46" s="176" t="s">
        <v>209</v>
      </c>
      <c r="F46" s="173" t="s">
        <v>387</v>
      </c>
      <c r="G46" s="196">
        <v>1</v>
      </c>
      <c r="H46" s="200">
        <f>I46*Assumptions!$H$14</f>
        <v>2710200</v>
      </c>
      <c r="I46" s="200">
        <f>Assumptions!I155</f>
        <v>4524.5409015025043</v>
      </c>
      <c r="J46" s="194">
        <f>H46*G46</f>
        <v>2710200</v>
      </c>
      <c r="K46" s="172">
        <f>J46/Assumptions!$H$14</f>
        <v>4524.5409015025043</v>
      </c>
    </row>
    <row r="47" spans="2:12" customFormat="1" ht="14.25" customHeight="1" x14ac:dyDescent="0.45">
      <c r="B47" s="1"/>
      <c r="C47" s="2" t="str">
        <f>Assumptions!D118</f>
        <v>Press MBU 40</v>
      </c>
      <c r="D47" s="180" t="s">
        <v>241</v>
      </c>
      <c r="E47" s="176" t="s">
        <v>209</v>
      </c>
      <c r="F47" s="173" t="s">
        <v>387</v>
      </c>
      <c r="G47" s="196">
        <v>1</v>
      </c>
      <c r="H47" s="200">
        <f>I47*Assumptions!$H$14</f>
        <v>24223200</v>
      </c>
      <c r="I47" s="200">
        <f>Assumptions!I156</f>
        <v>40439.398998330551</v>
      </c>
      <c r="J47" s="194">
        <f>H47*G47</f>
        <v>24223200</v>
      </c>
      <c r="K47" s="172">
        <f>J47/Assumptions!$H$14</f>
        <v>40439.398998330551</v>
      </c>
    </row>
    <row r="48" spans="2:12" customFormat="1" ht="14.25" customHeight="1" x14ac:dyDescent="0.45">
      <c r="C48" s="2" t="str">
        <f>Assumptions!D119</f>
        <v>Thermal installation</v>
      </c>
      <c r="D48" s="180" t="s">
        <v>241</v>
      </c>
      <c r="E48" s="176" t="s">
        <v>209</v>
      </c>
      <c r="F48" s="173" t="s">
        <v>387</v>
      </c>
      <c r="G48" s="196">
        <v>1</v>
      </c>
      <c r="H48" s="200">
        <f>I48*Assumptions!$H$14</f>
        <v>22320000</v>
      </c>
      <c r="I48" s="200">
        <f>Assumptions!I157</f>
        <v>37262.103505843072</v>
      </c>
      <c r="J48" s="194">
        <f>H48*G48</f>
        <v>22320000</v>
      </c>
      <c r="K48" s="172">
        <f>J48/Assumptions!$H$14</f>
        <v>37262.103505843072</v>
      </c>
    </row>
    <row r="49" spans="3:11" x14ac:dyDescent="0.45">
      <c r="C49" s="173" t="str">
        <f>Assumptions!D120</f>
        <v>Filter Kinetic</v>
      </c>
      <c r="D49" s="180" t="s">
        <v>241</v>
      </c>
      <c r="E49" s="180" t="s">
        <v>209</v>
      </c>
      <c r="F49" s="173" t="s">
        <v>387</v>
      </c>
      <c r="G49" s="196">
        <v>1</v>
      </c>
      <c r="H49" s="200">
        <f>I49*Assumptions!$H$14</f>
        <v>3310200</v>
      </c>
      <c r="I49" s="200">
        <f>Assumptions!I158</f>
        <v>5526.210350584307</v>
      </c>
      <c r="J49" s="179">
        <f t="shared" ref="J49:J54" si="2">G49*H49</f>
        <v>3310200</v>
      </c>
      <c r="K49" s="172">
        <f>J49/Assumptions!$H$14</f>
        <v>5526.210350584307</v>
      </c>
    </row>
    <row r="50" spans="3:11" x14ac:dyDescent="0.45">
      <c r="C50" s="173" t="str">
        <f>Assumptions!D121</f>
        <v>Packaging Filling and labelling machine</v>
      </c>
      <c r="D50" s="180" t="s">
        <v>241</v>
      </c>
      <c r="E50" s="180" t="s">
        <v>209</v>
      </c>
      <c r="F50" s="173" t="s">
        <v>387</v>
      </c>
      <c r="G50" s="196">
        <v>1</v>
      </c>
      <c r="H50" s="200">
        <f>I50*Assumptions!$H$14</f>
        <v>4810200</v>
      </c>
      <c r="I50" s="200">
        <f>Assumptions!I159</f>
        <v>8030.3839732888146</v>
      </c>
      <c r="J50" s="179">
        <f t="shared" si="2"/>
        <v>4810200</v>
      </c>
      <c r="K50" s="172">
        <f>J50/Assumptions!$H$14</f>
        <v>8030.3839732888146</v>
      </c>
    </row>
    <row r="51" spans="3:11" x14ac:dyDescent="0.45">
      <c r="C51" s="173" t="str">
        <f>Assumptions!D122</f>
        <v>Packaging table</v>
      </c>
      <c r="D51" s="180" t="s">
        <v>241</v>
      </c>
      <c r="E51" s="180" t="s">
        <v>209</v>
      </c>
      <c r="F51" s="173" t="s">
        <v>387</v>
      </c>
      <c r="G51" s="196">
        <v>1</v>
      </c>
      <c r="H51" s="200">
        <f>I51*Assumptions!$H$14</f>
        <v>2088000</v>
      </c>
      <c r="I51" s="200">
        <f>Assumptions!I160</f>
        <v>3485.8096828046746</v>
      </c>
      <c r="J51" s="179">
        <f t="shared" si="2"/>
        <v>2088000</v>
      </c>
      <c r="K51" s="172">
        <f>J51/Assumptions!$H$14</f>
        <v>3485.8096828046746</v>
      </c>
    </row>
    <row r="52" spans="3:11" x14ac:dyDescent="0.45">
      <c r="C52" s="173" t="str">
        <f>Assumptions!D123</f>
        <v>Production tools</v>
      </c>
      <c r="D52" s="180" t="s">
        <v>241</v>
      </c>
      <c r="E52" s="180" t="s">
        <v>209</v>
      </c>
      <c r="F52" s="173" t="s">
        <v>387</v>
      </c>
      <c r="G52" s="196">
        <v>1</v>
      </c>
      <c r="H52" s="200">
        <f>I52*Assumptions!$H$14</f>
        <v>4800000</v>
      </c>
      <c r="I52" s="200">
        <f>Assumptions!I161</f>
        <v>8013.3555926544241</v>
      </c>
      <c r="J52" s="179">
        <f t="shared" si="2"/>
        <v>4800000</v>
      </c>
      <c r="K52" s="172">
        <f>J52/Assumptions!$H$14</f>
        <v>8013.3555926544241</v>
      </c>
    </row>
    <row r="53" spans="3:11" ht="17.25" customHeight="1" x14ac:dyDescent="0.45">
      <c r="C53" s="205" t="str">
        <f>Assumptions!D124</f>
        <v>Transport Installation and Commissioning</v>
      </c>
      <c r="D53" s="180" t="s">
        <v>241</v>
      </c>
      <c r="E53" s="180" t="s">
        <v>209</v>
      </c>
      <c r="F53" s="173" t="s">
        <v>387</v>
      </c>
      <c r="G53" s="196">
        <v>1</v>
      </c>
      <c r="H53" s="200">
        <f>I53*Assumptions!$H$14</f>
        <v>52538249.999999993</v>
      </c>
      <c r="I53" s="200">
        <f>Assumptions!I162</f>
        <v>87709.933222036721</v>
      </c>
      <c r="J53" s="179">
        <f t="shared" si="2"/>
        <v>52538249.999999993</v>
      </c>
      <c r="K53" s="172">
        <f>J53/Assumptions!$H$14</f>
        <v>87709.933222036721</v>
      </c>
    </row>
    <row r="54" spans="3:11" x14ac:dyDescent="0.45">
      <c r="C54" s="173" t="str">
        <f>Assumptions!D125</f>
        <v>Vehicles</v>
      </c>
      <c r="D54" s="180" t="s">
        <v>241</v>
      </c>
      <c r="E54" s="180" t="s">
        <v>209</v>
      </c>
      <c r="F54" s="173" t="s">
        <v>387</v>
      </c>
      <c r="G54" s="196">
        <v>1</v>
      </c>
      <c r="H54" s="200">
        <f>I54*Assumptions!$H$14</f>
        <v>6960000</v>
      </c>
      <c r="I54" s="200">
        <f>Assumptions!I163</f>
        <v>11619.365609348915</v>
      </c>
      <c r="J54" s="179">
        <f t="shared" si="2"/>
        <v>6960000</v>
      </c>
      <c r="K54" s="172">
        <f>J54/Assumptions!$H$14</f>
        <v>11619.365609348915</v>
      </c>
    </row>
    <row r="55" spans="3:11" hidden="1" x14ac:dyDescent="0.45">
      <c r="C55" s="173">
        <f>Assumptions!D126</f>
        <v>0</v>
      </c>
      <c r="D55" s="180" t="s">
        <v>241</v>
      </c>
      <c r="E55" s="180" t="s">
        <v>209</v>
      </c>
      <c r="F55" s="173" t="s">
        <v>481</v>
      </c>
      <c r="G55" s="196">
        <v>1</v>
      </c>
      <c r="H55" s="200">
        <f>I55*Assumptions!$H$14</f>
        <v>0</v>
      </c>
      <c r="I55" s="200">
        <f>Assumptions!I164</f>
        <v>0</v>
      </c>
      <c r="J55" s="179">
        <f t="shared" ref="J55:J73" si="3">G55*H55</f>
        <v>0</v>
      </c>
      <c r="K55" s="172">
        <f>J55/Assumptions!$H$14</f>
        <v>0</v>
      </c>
    </row>
    <row r="56" spans="3:11" x14ac:dyDescent="0.45">
      <c r="C56" s="173" t="str">
        <f>Assumptions!D127</f>
        <v>Centralised capex</v>
      </c>
      <c r="D56" s="180" t="s">
        <v>241</v>
      </c>
      <c r="E56" s="180" t="s">
        <v>209</v>
      </c>
      <c r="F56" s="173" t="s">
        <v>483</v>
      </c>
      <c r="G56" s="196">
        <v>1</v>
      </c>
      <c r="H56" s="200">
        <f>I56*Assumptions!$H$14</f>
        <v>71940000</v>
      </c>
      <c r="I56" s="200">
        <f>Assumptions!I165</f>
        <v>120100.16694490818</v>
      </c>
      <c r="J56" s="179">
        <f t="shared" si="3"/>
        <v>71940000</v>
      </c>
      <c r="K56" s="172">
        <f>J56/Assumptions!$H$14</f>
        <v>120100.16694490818</v>
      </c>
    </row>
    <row r="57" spans="3:11" hidden="1" x14ac:dyDescent="0.45">
      <c r="C57" s="173">
        <f>Assumptions!D128</f>
        <v>0</v>
      </c>
      <c r="D57" s="180" t="s">
        <v>241</v>
      </c>
      <c r="E57" s="180" t="s">
        <v>209</v>
      </c>
      <c r="F57" s="173"/>
      <c r="G57" s="196"/>
      <c r="H57" s="200">
        <f>I57*Assumptions!$H$14</f>
        <v>0</v>
      </c>
      <c r="I57" s="200">
        <f>Assumptions!I166</f>
        <v>0</v>
      </c>
      <c r="J57" s="179">
        <f t="shared" si="3"/>
        <v>0</v>
      </c>
      <c r="K57" s="172">
        <f>J57/Assumptions!$H$14</f>
        <v>0</v>
      </c>
    </row>
    <row r="58" spans="3:11" hidden="1" x14ac:dyDescent="0.45">
      <c r="C58" s="173"/>
      <c r="D58" s="180"/>
      <c r="E58" s="180"/>
      <c r="F58" s="173"/>
      <c r="G58" s="203"/>
      <c r="H58" s="193"/>
      <c r="I58" s="200">
        <f>H58/Assumptions!$H$14</f>
        <v>0</v>
      </c>
      <c r="J58" s="179">
        <f t="shared" si="3"/>
        <v>0</v>
      </c>
      <c r="K58" s="172">
        <f>J58/Assumptions!$H$14</f>
        <v>0</v>
      </c>
    </row>
    <row r="59" spans="3:11" hidden="1" x14ac:dyDescent="0.45">
      <c r="C59" s="173"/>
      <c r="D59" s="180"/>
      <c r="E59" s="180"/>
      <c r="F59" s="173"/>
      <c r="G59" s="203"/>
      <c r="H59" s="193"/>
      <c r="I59" s="200">
        <f>H59/Assumptions!$H$14</f>
        <v>0</v>
      </c>
      <c r="J59" s="179">
        <f t="shared" si="3"/>
        <v>0</v>
      </c>
      <c r="K59" s="172">
        <f>J59/Assumptions!$H$14</f>
        <v>0</v>
      </c>
    </row>
    <row r="60" spans="3:11" hidden="1" x14ac:dyDescent="0.45">
      <c r="C60" s="173"/>
      <c r="D60" s="180"/>
      <c r="E60" s="180"/>
      <c r="F60" s="173"/>
      <c r="G60" s="203"/>
      <c r="H60" s="193"/>
      <c r="I60" s="200">
        <f>H60/Assumptions!$H$14</f>
        <v>0</v>
      </c>
      <c r="J60" s="179">
        <f t="shared" si="3"/>
        <v>0</v>
      </c>
      <c r="K60" s="172">
        <f>J60/Assumptions!$H$14</f>
        <v>0</v>
      </c>
    </row>
    <row r="61" spans="3:11" hidden="1" x14ac:dyDescent="0.45">
      <c r="C61" s="173"/>
      <c r="D61" s="180"/>
      <c r="E61" s="180"/>
      <c r="F61" s="173"/>
      <c r="G61" s="203"/>
      <c r="H61" s="193"/>
      <c r="I61" s="200">
        <f>H61/Assumptions!$H$14</f>
        <v>0</v>
      </c>
      <c r="J61" s="179">
        <f t="shared" si="3"/>
        <v>0</v>
      </c>
      <c r="K61" s="172">
        <f>J61/Assumptions!$H$14</f>
        <v>0</v>
      </c>
    </row>
    <row r="62" spans="3:11" hidden="1" x14ac:dyDescent="0.45">
      <c r="C62" s="173"/>
      <c r="D62" s="180"/>
      <c r="E62" s="180"/>
      <c r="F62" s="173"/>
      <c r="G62" s="203"/>
      <c r="H62" s="193"/>
      <c r="I62" s="200">
        <f>H62/Assumptions!$H$14</f>
        <v>0</v>
      </c>
      <c r="J62" s="179">
        <f t="shared" si="3"/>
        <v>0</v>
      </c>
      <c r="K62" s="172">
        <f>J62/Assumptions!$H$14</f>
        <v>0</v>
      </c>
    </row>
    <row r="63" spans="3:11" hidden="1" x14ac:dyDescent="0.45">
      <c r="C63" s="173"/>
      <c r="D63" s="180"/>
      <c r="E63" s="180"/>
      <c r="F63" s="173"/>
      <c r="G63" s="203"/>
      <c r="H63" s="193"/>
      <c r="I63" s="200">
        <f>H63/Assumptions!$H$14</f>
        <v>0</v>
      </c>
      <c r="J63" s="179">
        <f t="shared" si="3"/>
        <v>0</v>
      </c>
      <c r="K63" s="172">
        <f>J63/Assumptions!$H$14</f>
        <v>0</v>
      </c>
    </row>
    <row r="64" spans="3:11" hidden="1" x14ac:dyDescent="0.45">
      <c r="C64" s="173"/>
      <c r="D64" s="180"/>
      <c r="E64" s="180"/>
      <c r="F64" s="173"/>
      <c r="G64" s="203"/>
      <c r="H64" s="193"/>
      <c r="I64" s="200">
        <f>H64/Assumptions!$H$14</f>
        <v>0</v>
      </c>
      <c r="J64" s="179">
        <f t="shared" si="3"/>
        <v>0</v>
      </c>
      <c r="K64" s="172">
        <f>J64/Assumptions!$H$14</f>
        <v>0</v>
      </c>
    </row>
    <row r="65" spans="3:13" hidden="1" x14ac:dyDescent="0.45">
      <c r="C65" s="173"/>
      <c r="D65" s="180"/>
      <c r="E65" s="180"/>
      <c r="F65" s="173"/>
      <c r="G65" s="203"/>
      <c r="H65" s="193"/>
      <c r="I65" s="200">
        <f>H65/Assumptions!$H$14</f>
        <v>0</v>
      </c>
      <c r="J65" s="179">
        <f t="shared" si="3"/>
        <v>0</v>
      </c>
      <c r="K65" s="172">
        <f>J65/Assumptions!$H$14</f>
        <v>0</v>
      </c>
    </row>
    <row r="66" spans="3:13" hidden="1" x14ac:dyDescent="0.45">
      <c r="C66" s="173"/>
      <c r="D66" s="180"/>
      <c r="E66" s="180"/>
      <c r="F66" s="173"/>
      <c r="G66" s="203"/>
      <c r="H66" s="193"/>
      <c r="I66" s="200">
        <f>H66/Assumptions!$H$14</f>
        <v>0</v>
      </c>
      <c r="J66" s="179">
        <f t="shared" si="3"/>
        <v>0</v>
      </c>
      <c r="K66" s="172">
        <f>J66/Assumptions!$H$14</f>
        <v>0</v>
      </c>
    </row>
    <row r="67" spans="3:13" hidden="1" x14ac:dyDescent="0.45">
      <c r="C67" s="173"/>
      <c r="D67" s="180"/>
      <c r="E67" s="180"/>
      <c r="F67" s="173"/>
      <c r="G67" s="203"/>
      <c r="H67" s="193"/>
      <c r="I67" s="200">
        <f>H67/Assumptions!$H$14</f>
        <v>0</v>
      </c>
      <c r="J67" s="179">
        <f t="shared" si="3"/>
        <v>0</v>
      </c>
      <c r="K67" s="172">
        <f>J67/Assumptions!$H$14</f>
        <v>0</v>
      </c>
    </row>
    <row r="68" spans="3:13" hidden="1" x14ac:dyDescent="0.45">
      <c r="C68" s="173"/>
      <c r="D68" s="180"/>
      <c r="E68" s="180"/>
      <c r="F68" s="11"/>
      <c r="G68" s="203"/>
      <c r="H68" s="193"/>
      <c r="I68" s="200">
        <f>H68/Assumptions!$H$14</f>
        <v>0</v>
      </c>
      <c r="J68" s="179">
        <f t="shared" si="3"/>
        <v>0</v>
      </c>
      <c r="K68" s="172">
        <f>J68/Assumptions!$H$14</f>
        <v>0</v>
      </c>
    </row>
    <row r="69" spans="3:13" hidden="1" x14ac:dyDescent="0.45">
      <c r="C69" s="173"/>
      <c r="D69" s="180"/>
      <c r="E69" s="180"/>
      <c r="F69" s="173"/>
      <c r="G69" s="203"/>
      <c r="H69" s="193"/>
      <c r="I69" s="200">
        <f>H69/Assumptions!$H$14</f>
        <v>0</v>
      </c>
      <c r="J69" s="179">
        <f t="shared" si="3"/>
        <v>0</v>
      </c>
      <c r="K69" s="172">
        <f>J69/Assumptions!$H$14</f>
        <v>0</v>
      </c>
    </row>
    <row r="70" spans="3:13" hidden="1" x14ac:dyDescent="0.45">
      <c r="C70" s="173"/>
      <c r="D70" s="180"/>
      <c r="E70" s="180"/>
      <c r="F70" s="173"/>
      <c r="G70" s="203"/>
      <c r="H70" s="193"/>
      <c r="I70" s="200">
        <f>H70/Assumptions!$H$14</f>
        <v>0</v>
      </c>
      <c r="J70" s="179">
        <f t="shared" si="3"/>
        <v>0</v>
      </c>
      <c r="K70" s="172">
        <f>J70/Assumptions!$H$14</f>
        <v>0</v>
      </c>
    </row>
    <row r="71" spans="3:13" hidden="1" x14ac:dyDescent="0.45">
      <c r="C71" s="173"/>
      <c r="D71" s="180"/>
      <c r="E71" s="180"/>
      <c r="F71" s="173"/>
      <c r="G71" s="203"/>
      <c r="H71" s="193"/>
      <c r="I71" s="200">
        <f>H71/Assumptions!$H$14</f>
        <v>0</v>
      </c>
      <c r="J71" s="179">
        <f t="shared" si="3"/>
        <v>0</v>
      </c>
      <c r="K71" s="172">
        <f>J71/Assumptions!$H$14</f>
        <v>0</v>
      </c>
    </row>
    <row r="72" spans="3:13" hidden="1" x14ac:dyDescent="0.45">
      <c r="C72" s="173"/>
      <c r="D72" s="180"/>
      <c r="E72" s="180"/>
      <c r="F72" s="173"/>
      <c r="G72" s="203"/>
      <c r="H72" s="193"/>
      <c r="I72" s="200">
        <f>H72/Assumptions!$H$14</f>
        <v>0</v>
      </c>
      <c r="J72" s="179">
        <f t="shared" si="3"/>
        <v>0</v>
      </c>
      <c r="K72" s="172">
        <f>J72/Assumptions!$H$14</f>
        <v>0</v>
      </c>
    </row>
    <row r="73" spans="3:13" hidden="1" x14ac:dyDescent="0.45">
      <c r="C73" s="173"/>
      <c r="D73" s="180"/>
      <c r="E73" s="180"/>
      <c r="F73" s="173"/>
      <c r="G73" s="203"/>
      <c r="H73" s="193"/>
      <c r="I73" s="200">
        <f>H73/Assumptions!$H$14</f>
        <v>0</v>
      </c>
      <c r="J73" s="179">
        <f t="shared" si="3"/>
        <v>0</v>
      </c>
      <c r="K73" s="172">
        <f>J73/Assumptions!$H$14</f>
        <v>0</v>
      </c>
    </row>
    <row r="74" spans="3:13" customFormat="1" hidden="1" x14ac:dyDescent="0.45">
      <c r="D74" s="210"/>
      <c r="E74" s="210"/>
      <c r="J74" s="162" t="s">
        <v>22</v>
      </c>
      <c r="K74" s="162" t="s">
        <v>22</v>
      </c>
    </row>
    <row r="75" spans="3:13" x14ac:dyDescent="0.45">
      <c r="C75" s="168" t="s">
        <v>231</v>
      </c>
      <c r="D75" s="180" t="s">
        <v>210</v>
      </c>
      <c r="E75" s="180" t="s">
        <v>209</v>
      </c>
      <c r="F75" s="168"/>
      <c r="G75" s="168"/>
      <c r="H75" s="179"/>
      <c r="I75" s="200"/>
      <c r="J75" s="175">
        <f>SUM(J38:J73)</f>
        <v>346835250</v>
      </c>
      <c r="K75" s="175">
        <f>SUM(K38:K73)</f>
        <v>579023.78964941564</v>
      </c>
    </row>
    <row r="76" spans="3:13" x14ac:dyDescent="0.45">
      <c r="C76" s="168"/>
      <c r="D76" s="169"/>
      <c r="E76" s="169"/>
      <c r="F76" s="168"/>
      <c r="G76" s="180"/>
      <c r="H76" s="179"/>
      <c r="I76" s="200"/>
      <c r="J76" s="179"/>
      <c r="K76" s="171"/>
    </row>
    <row r="77" spans="3:13" customFormat="1" ht="14.25" customHeight="1" x14ac:dyDescent="0.45">
      <c r="C77" s="720"/>
      <c r="D77" s="720"/>
      <c r="E77" s="720"/>
      <c r="F77" s="720"/>
      <c r="G77" s="720"/>
      <c r="H77" s="720"/>
      <c r="I77" s="720"/>
      <c r="J77" s="720"/>
      <c r="K77" s="720"/>
      <c r="L77" s="186"/>
      <c r="M77" s="187"/>
    </row>
  </sheetData>
  <mergeCells count="1">
    <mergeCell ref="C77:K77"/>
  </mergeCells>
  <conditionalFormatting sqref="J3 A4:F6 G3 A3">
    <cfRule type="expression" dxfId="179" priority="66">
      <formula>_xlfn.ISFORMULA(INDIRECT("rc",FALSE))</formula>
    </cfRule>
  </conditionalFormatting>
  <conditionalFormatting sqref="A7">
    <cfRule type="expression" dxfId="178" priority="65">
      <formula>_xlfn.ISFORMULA(INDIRECT("rc",FALSE))</formula>
    </cfRule>
  </conditionalFormatting>
  <conditionalFormatting sqref="B7">
    <cfRule type="expression" dxfId="177" priority="64">
      <formula>_xlfn.ISFORMULA(INDIRECT("rc",FALSE))</formula>
    </cfRule>
  </conditionalFormatting>
  <conditionalFormatting sqref="C7:F7">
    <cfRule type="expression" dxfId="176" priority="63">
      <formula>_xlfn.ISFORMULA(INDIRECT("rc",FALSE))</formula>
    </cfRule>
  </conditionalFormatting>
  <conditionalFormatting sqref="A75:T76 A1:M11 A33:M37 A58:T60 A43:E43 A58:M67 A69:M82 A68:E68 G68:M68 A56:F57 J49:T57 J43:T43 D39:D42 J21:M26 A49:E55 A21:B32 D32:M32 L27:M31 D21:E31">
    <cfRule type="expression" dxfId="175" priority="62">
      <formula>_xlfn.ISFORMULA(A1)</formula>
    </cfRule>
  </conditionalFormatting>
  <conditionalFormatting sqref="K74">
    <cfRule type="expression" dxfId="174" priority="54">
      <formula>_xlfn.ISFORMULA(INDIRECT("rc",FALSE))</formula>
    </cfRule>
  </conditionalFormatting>
  <conditionalFormatting sqref="J74">
    <cfRule type="expression" dxfId="173" priority="53">
      <formula>_xlfn.ISFORMULA(INDIRECT("rc",FALSE))</formula>
    </cfRule>
  </conditionalFormatting>
  <conditionalFormatting sqref="J34">
    <cfRule type="expression" dxfId="172" priority="52">
      <formula>_xlfn.ISFORMULA(INDIRECT("rc",FALSE))</formula>
    </cfRule>
  </conditionalFormatting>
  <conditionalFormatting sqref="K34">
    <cfRule type="expression" dxfId="171" priority="51">
      <formula>_xlfn.ISFORMULA(INDIRECT("rc",FALSE))</formula>
    </cfRule>
  </conditionalFormatting>
  <conditionalFormatting sqref="F59">
    <cfRule type="expression" dxfId="170" priority="44">
      <formula>_xlfn.ISFORMULA(F59)</formula>
    </cfRule>
  </conditionalFormatting>
  <conditionalFormatting sqref="A12:B12 A14:B19 J14:T19 J12:T12 D14:E19 D12:F12 F13:F31">
    <cfRule type="expression" dxfId="169" priority="43">
      <formula>_xlfn.ISFORMULA(A12)</formula>
    </cfRule>
  </conditionalFormatting>
  <conditionalFormatting sqref="A20:B20 J20:M20 D20:E20">
    <cfRule type="expression" dxfId="168" priority="42">
      <formula>_xlfn.ISFORMULA(A20)</formula>
    </cfRule>
  </conditionalFormatting>
  <conditionalFormatting sqref="A20:B20 J20:T20 D20:E20">
    <cfRule type="expression" dxfId="167" priority="41">
      <formula>_xlfn.ISFORMULA(A20)</formula>
    </cfRule>
  </conditionalFormatting>
  <conditionalFormatting sqref="A45:E45 J45:M45">
    <cfRule type="expression" dxfId="166" priority="40">
      <formula>_xlfn.ISFORMULA(A45)</formula>
    </cfRule>
  </conditionalFormatting>
  <conditionalFormatting sqref="A13:B13 J13:M13 D13:E13 G13:G31">
    <cfRule type="expression" dxfId="165" priority="39">
      <formula>_xlfn.ISFORMULA(A13)</formula>
    </cfRule>
  </conditionalFormatting>
  <conditionalFormatting sqref="A46:E48 J46:M48">
    <cfRule type="expression" dxfId="164" priority="38">
      <formula>_xlfn.ISFORMULA(A46)</formula>
    </cfRule>
  </conditionalFormatting>
  <conditionalFormatting sqref="A44:E44 J44:M44">
    <cfRule type="expression" dxfId="163" priority="37">
      <formula>_xlfn.ISFORMULA(A44)</formula>
    </cfRule>
  </conditionalFormatting>
  <conditionalFormatting sqref="A39:C42 J39:M42 E39:E42">
    <cfRule type="expression" dxfId="162" priority="35">
      <formula>_xlfn.ISFORMULA(A39)</formula>
    </cfRule>
  </conditionalFormatting>
  <conditionalFormatting sqref="A38:E38 J38:M38 G38:G57">
    <cfRule type="expression" dxfId="161" priority="32">
      <formula>_xlfn.ISFORMULA(A38)</formula>
    </cfRule>
  </conditionalFormatting>
  <conditionalFormatting sqref="F68">
    <cfRule type="expression" dxfId="160" priority="30">
      <formula>_xlfn.ISFORMULA(F68)</formula>
    </cfRule>
  </conditionalFormatting>
  <conditionalFormatting sqref="C20">
    <cfRule type="expression" dxfId="159" priority="20">
      <formula>_xlfn.ISFORMULA(C20)</formula>
    </cfRule>
  </conditionalFormatting>
  <conditionalFormatting sqref="C20">
    <cfRule type="expression" dxfId="158" priority="19">
      <formula>_xlfn.ISFORMULA(C20)</formula>
    </cfRule>
  </conditionalFormatting>
  <conditionalFormatting sqref="I12:I31">
    <cfRule type="expression" dxfId="157" priority="4">
      <formula>_xlfn.ISFORMULA(I12)</formula>
    </cfRule>
  </conditionalFormatting>
  <conditionalFormatting sqref="G12">
    <cfRule type="expression" dxfId="156" priority="2">
      <formula>_xlfn.ISFORMULA(G12)</formula>
    </cfRule>
  </conditionalFormatting>
  <conditionalFormatting sqref="C21:C32">
    <cfRule type="expression" dxfId="155" priority="22">
      <formula>_xlfn.ISFORMULA(C21)</formula>
    </cfRule>
  </conditionalFormatting>
  <conditionalFormatting sqref="C12 C14:C19">
    <cfRule type="expression" dxfId="154" priority="21">
      <formula>_xlfn.ISFORMULA(C12)</formula>
    </cfRule>
  </conditionalFormatting>
  <conditionalFormatting sqref="C13">
    <cfRule type="expression" dxfId="153" priority="18">
      <formula>_xlfn.ISFORMULA(C13)</formula>
    </cfRule>
  </conditionalFormatting>
  <conditionalFormatting sqref="I38:I57">
    <cfRule type="expression" dxfId="152" priority="16">
      <formula>_xlfn.ISFORMULA(I38)</formula>
    </cfRule>
  </conditionalFormatting>
  <conditionalFormatting sqref="H38:H57">
    <cfRule type="expression" dxfId="151" priority="15">
      <formula>_xlfn.ISFORMULA(H38)</formula>
    </cfRule>
  </conditionalFormatting>
  <conditionalFormatting sqref="H12:H26">
    <cfRule type="expression" dxfId="150" priority="10">
      <formula>_xlfn.ISFORMULA(H12)</formula>
    </cfRule>
  </conditionalFormatting>
  <conditionalFormatting sqref="J27:K31">
    <cfRule type="expression" dxfId="149" priority="9">
      <formula>_xlfn.ISFORMULA(J27)</formula>
    </cfRule>
  </conditionalFormatting>
  <conditionalFormatting sqref="H27:H31">
    <cfRule type="expression" dxfId="148" priority="7">
      <formula>_xlfn.ISFORMULA(H27)</formula>
    </cfRule>
  </conditionalFormatting>
  <conditionalFormatting sqref="F38:F55">
    <cfRule type="expression" dxfId="147" priority="1">
      <formula>_xlfn.ISFORMULA(F38)</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49" id="{C34D94CE-B09A-4F4F-81F5-0DBC7296FF50}">
            <xm:f>_xlfn.ISFORMULA('Operational Costs'!A69)</xm:f>
            <x14:dxf>
              <fill>
                <patternFill>
                  <bgColor theme="4" tint="0.59996337778862885"/>
                </patternFill>
              </fill>
            </x14:dxf>
          </x14:cfRule>
          <xm:sqref>A77:AF77</xm:sqref>
        </x14:conditionalFormatting>
        <x14:conditionalFormatting xmlns:xm="http://schemas.microsoft.com/office/excel/2006/main">
          <x14:cfRule type="expression" priority="487" id="{C34D94CE-B09A-4F4F-81F5-0DBC7296FF50}">
            <xm:f>_xlfn.ISFORMULA('Operational Costs'!F12)</xm:f>
            <x14:dxf>
              <fill>
                <patternFill>
                  <bgColor theme="4" tint="0.59996337778862885"/>
                </patternFill>
              </fill>
            </x14:dxf>
          </x14:cfRule>
          <xm:sqref>E41 J41:L41</xm:sqref>
        </x14:conditionalFormatting>
        <x14:conditionalFormatting xmlns:xm="http://schemas.microsoft.com/office/excel/2006/main">
          <x14:cfRule type="expression" priority="491" id="{EE331EB2-6666-4B46-9F1F-FDDAB82E735C}">
            <xm:f>_xlfn.ISFORMULA('Operational Costs'!A12)</xm:f>
            <x14:dxf>
              <fill>
                <patternFill>
                  <bgColor theme="4" tint="0.59996337778862885"/>
                </patternFill>
              </fill>
            </x14:dxf>
          </x14:cfRule>
          <xm:sqref>A41:C41 N41:AF41</xm:sqref>
        </x14:conditionalFormatting>
        <x14:conditionalFormatting xmlns:xm="http://schemas.microsoft.com/office/excel/2006/main">
          <x14:cfRule type="expression" priority="492" id="{C34D94CE-B09A-4F4F-81F5-0DBC7296FF50}">
            <xm:f>_xlfn.ISFORMULA('Operational Costs'!E1048571)</xm:f>
            <x14:dxf>
              <fill>
                <patternFill>
                  <bgColor theme="4" tint="0.59996337778862885"/>
                </patternFill>
              </fill>
            </x14:dxf>
          </x14:cfRule>
          <xm:sqref>D38:E38 J38:L39 E39 G12 G38:G57</xm:sqref>
        </x14:conditionalFormatting>
        <x14:conditionalFormatting xmlns:xm="http://schemas.microsoft.com/office/excel/2006/main">
          <x14:cfRule type="expression" priority="495" id="{EE331EB2-6666-4B46-9F1F-FDDAB82E735C}">
            <xm:f>_xlfn.ISFORMULA('Operational Costs'!A21)</xm:f>
            <x14:dxf>
              <fill>
                <patternFill>
                  <bgColor theme="4" tint="0.59996337778862885"/>
                </patternFill>
              </fill>
            </x14:dxf>
          </x14:cfRule>
          <xm:sqref>A38:C39 N38:AF39</xm:sqref>
        </x14:conditionalFormatting>
        <x14:conditionalFormatting xmlns:xm="http://schemas.microsoft.com/office/excel/2006/main">
          <x14:cfRule type="expression" priority="503" id="{C34D94CE-B09A-4F4F-81F5-0DBC7296FF50}">
            <xm:f>_xlfn.ISFORMULA('Operational Costs'!#REF!)</xm:f>
            <x14:dxf>
              <fill>
                <patternFill>
                  <bgColor theme="4" tint="0.59996337778862885"/>
                </patternFill>
              </fill>
            </x14:dxf>
          </x14:cfRule>
          <xm:sqref>E40 J40:L40</xm:sqref>
        </x14:conditionalFormatting>
        <x14:conditionalFormatting xmlns:xm="http://schemas.microsoft.com/office/excel/2006/main">
          <x14:cfRule type="expression" priority="507" id="{EE331EB2-6666-4B46-9F1F-FDDAB82E735C}">
            <xm:f>_xlfn.ISFORMULA('Operational Costs'!#REF!)</xm:f>
            <x14:dxf>
              <fill>
                <patternFill>
                  <bgColor theme="4" tint="0.59996337778862885"/>
                </patternFill>
              </fill>
            </x14:dxf>
          </x14:cfRule>
          <xm:sqref>A40:C40 N40:AF40</xm:sqref>
        </x14:conditionalFormatting>
        <x14:conditionalFormatting xmlns:xm="http://schemas.microsoft.com/office/excel/2006/main">
          <x14:cfRule type="expression" priority="509" id="{C34D94CE-B09A-4F4F-81F5-0DBC7296FF50}">
            <xm:f>_xlfn.ISFORMULA('Operational Costs'!F18)</xm:f>
            <x14:dxf>
              <fill>
                <patternFill>
                  <bgColor theme="4" tint="0.59996337778862885"/>
                </patternFill>
              </fill>
            </x14:dxf>
          </x14:cfRule>
          <xm:sqref>E42 J42:L42</xm:sqref>
        </x14:conditionalFormatting>
        <x14:conditionalFormatting xmlns:xm="http://schemas.microsoft.com/office/excel/2006/main">
          <x14:cfRule type="expression" priority="511" id="{EE331EB2-6666-4B46-9F1F-FDDAB82E735C}">
            <xm:f>_xlfn.ISFORMULA('Operational Costs'!A18)</xm:f>
            <x14:dxf>
              <fill>
                <patternFill>
                  <bgColor theme="4" tint="0.59996337778862885"/>
                </patternFill>
              </fill>
            </x14:dxf>
          </x14:cfRule>
          <xm:sqref>A42:C42 N42:AF42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7E9A7-15E6-47D6-A563-76CB7FA9DCF5}">
  <dimension ref="B4:Q13"/>
  <sheetViews>
    <sheetView workbookViewId="0">
      <selection activeCell="D1" sqref="D1"/>
    </sheetView>
  </sheetViews>
  <sheetFormatPr defaultColWidth="9.06640625" defaultRowHeight="14.25" x14ac:dyDescent="0.45"/>
  <cols>
    <col min="1" max="1" width="5.06640625" style="545" customWidth="1"/>
    <col min="2" max="2" width="12.53125" style="545" customWidth="1"/>
    <col min="3" max="3" width="7.19921875" style="545" customWidth="1"/>
    <col min="4" max="4" width="7.265625" style="545" customWidth="1"/>
    <col min="5" max="5" width="7" style="545" customWidth="1"/>
    <col min="6" max="6" width="9.06640625" style="545"/>
    <col min="7" max="7" width="6.53125" style="545" customWidth="1"/>
    <col min="8" max="9" width="9.06640625" style="545"/>
    <col min="10" max="10" width="5.46484375" style="545" customWidth="1"/>
    <col min="11" max="11" width="3.59765625" style="545" customWidth="1"/>
    <col min="12" max="12" width="23.53125" style="545" customWidth="1"/>
    <col min="13" max="16" width="9.06640625" style="545"/>
    <col min="17" max="17" width="11.796875" style="545" customWidth="1"/>
    <col min="18" max="16384" width="9.06640625" style="545"/>
  </cols>
  <sheetData>
    <row r="4" spans="2:17" ht="14.65" customHeight="1" x14ac:dyDescent="0.45">
      <c r="B4" s="721" t="s">
        <v>831</v>
      </c>
      <c r="C4" s="651" t="s">
        <v>832</v>
      </c>
      <c r="D4" s="651" t="s">
        <v>833</v>
      </c>
      <c r="E4" s="651" t="s">
        <v>834</v>
      </c>
      <c r="F4" s="732" t="s">
        <v>835</v>
      </c>
      <c r="G4" s="732" t="s">
        <v>836</v>
      </c>
      <c r="H4" s="733" t="s">
        <v>837</v>
      </c>
      <c r="I4" s="734"/>
      <c r="L4" s="721" t="s">
        <v>838</v>
      </c>
      <c r="M4" s="652" t="s">
        <v>839</v>
      </c>
      <c r="N4" s="652" t="s">
        <v>840</v>
      </c>
      <c r="O4" s="733" t="s">
        <v>841</v>
      </c>
      <c r="P4" s="735"/>
      <c r="Q4" s="721" t="s">
        <v>842</v>
      </c>
    </row>
    <row r="5" spans="2:17" x14ac:dyDescent="0.45">
      <c r="B5" s="722"/>
      <c r="C5" s="653" t="s">
        <v>843</v>
      </c>
      <c r="D5" s="653" t="s">
        <v>843</v>
      </c>
      <c r="E5" s="653" t="s">
        <v>843</v>
      </c>
      <c r="F5" s="732"/>
      <c r="G5" s="732"/>
      <c r="H5" s="653" t="s">
        <v>844</v>
      </c>
      <c r="I5" s="653" t="s">
        <v>806</v>
      </c>
      <c r="L5" s="722"/>
      <c r="M5" s="653" t="s">
        <v>845</v>
      </c>
      <c r="N5" s="653" t="s">
        <v>846</v>
      </c>
      <c r="O5" s="653" t="s">
        <v>844</v>
      </c>
      <c r="P5" s="653" t="s">
        <v>806</v>
      </c>
      <c r="Q5" s="722"/>
    </row>
    <row r="6" spans="2:17" ht="16.149999999999999" customHeight="1" x14ac:dyDescent="0.45">
      <c r="B6" s="723" t="s">
        <v>847</v>
      </c>
      <c r="C6" s="654">
        <v>8</v>
      </c>
      <c r="D6" s="654">
        <v>5</v>
      </c>
      <c r="E6" s="654">
        <v>4</v>
      </c>
      <c r="F6" s="654">
        <f>C6*D6*E6</f>
        <v>160</v>
      </c>
      <c r="G6" s="655">
        <v>15000</v>
      </c>
      <c r="H6" s="656">
        <f>F6*G6</f>
        <v>2400000</v>
      </c>
      <c r="I6" s="655">
        <v>4119.6000000000004</v>
      </c>
      <c r="L6" s="726" t="s">
        <v>848</v>
      </c>
      <c r="M6" s="728">
        <v>85</v>
      </c>
      <c r="N6" s="654">
        <v>2</v>
      </c>
      <c r="O6" s="654">
        <v>250</v>
      </c>
      <c r="P6" s="657">
        <v>0.43</v>
      </c>
      <c r="Q6" s="730" t="s">
        <v>849</v>
      </c>
    </row>
    <row r="7" spans="2:17" x14ac:dyDescent="0.45">
      <c r="B7" s="724"/>
      <c r="C7" s="654">
        <v>10</v>
      </c>
      <c r="D7" s="654">
        <v>5</v>
      </c>
      <c r="E7" s="654">
        <v>4</v>
      </c>
      <c r="F7" s="654">
        <f>C7*D7*E7</f>
        <v>200</v>
      </c>
      <c r="G7" s="655">
        <v>15000</v>
      </c>
      <c r="H7" s="656">
        <f>F7*G7</f>
        <v>3000000</v>
      </c>
      <c r="I7" s="655">
        <v>5149.5</v>
      </c>
      <c r="L7" s="727"/>
      <c r="M7" s="729"/>
      <c r="N7" s="654">
        <v>8</v>
      </c>
      <c r="O7" s="654">
        <v>1000</v>
      </c>
      <c r="P7" s="657">
        <v>1.72</v>
      </c>
      <c r="Q7" s="731"/>
    </row>
    <row r="8" spans="2:17" x14ac:dyDescent="0.45">
      <c r="B8" s="724"/>
      <c r="C8" s="654">
        <v>12</v>
      </c>
      <c r="D8" s="654">
        <v>5</v>
      </c>
      <c r="E8" s="654">
        <v>4</v>
      </c>
      <c r="F8" s="654">
        <f>C8*D8*E8</f>
        <v>240</v>
      </c>
      <c r="G8" s="655">
        <v>15000</v>
      </c>
      <c r="H8" s="656">
        <f>F8*G8</f>
        <v>3600000</v>
      </c>
      <c r="I8" s="658">
        <v>6179.4</v>
      </c>
    </row>
    <row r="9" spans="2:17" x14ac:dyDescent="0.45">
      <c r="B9" s="725"/>
      <c r="C9" s="654">
        <v>15</v>
      </c>
      <c r="D9" s="654">
        <v>5</v>
      </c>
      <c r="E9" s="654">
        <v>4</v>
      </c>
      <c r="F9" s="654">
        <f>C9*D9*E9</f>
        <v>300</v>
      </c>
      <c r="G9" s="655">
        <v>15000</v>
      </c>
      <c r="H9" s="656">
        <f>F9*G9</f>
        <v>4500000</v>
      </c>
      <c r="I9" s="658">
        <v>7724.25</v>
      </c>
    </row>
    <row r="12" spans="2:17" ht="29.65" customHeight="1" x14ac:dyDescent="0.45"/>
    <row r="13" spans="2:17" ht="29" customHeight="1" x14ac:dyDescent="0.45"/>
  </sheetData>
  <mergeCells count="11">
    <mergeCell ref="Q4:Q5"/>
    <mergeCell ref="B6:B9"/>
    <mergeCell ref="L6:L7"/>
    <mergeCell ref="M6:M7"/>
    <mergeCell ref="Q6:Q7"/>
    <mergeCell ref="B4:B5"/>
    <mergeCell ref="F4:F5"/>
    <mergeCell ref="G4:G5"/>
    <mergeCell ref="H4:I4"/>
    <mergeCell ref="L4:L5"/>
    <mergeCell ref="O4:P4"/>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BBB43-5111-4EA0-AC64-20690B352E87}">
  <dimension ref="B2:H62"/>
  <sheetViews>
    <sheetView workbookViewId="0">
      <selection activeCell="D28" sqref="D28"/>
    </sheetView>
  </sheetViews>
  <sheetFormatPr defaultColWidth="8.73046875" defaultRowHeight="13.15" x14ac:dyDescent="0.45"/>
  <cols>
    <col min="1" max="1" width="8.73046875" style="660"/>
    <col min="2" max="2" width="31.19921875" style="659" customWidth="1"/>
    <col min="3" max="3" width="12" style="660" customWidth="1"/>
    <col min="4" max="4" width="12.19921875" style="660" customWidth="1"/>
    <col min="5" max="5" width="10.265625" style="660" customWidth="1"/>
    <col min="6" max="6" width="14.06640625" style="660" customWidth="1"/>
    <col min="7" max="7" width="10.59765625" style="660" customWidth="1"/>
    <col min="8" max="8" width="9.265625" style="660" bestFit="1" customWidth="1"/>
    <col min="9" max="16384" width="8.73046875" style="660"/>
  </cols>
  <sheetData>
    <row r="2" spans="2:8" x14ac:dyDescent="0.45">
      <c r="D2" s="660" t="s">
        <v>850</v>
      </c>
      <c r="E2" s="661">
        <v>1.6999999999999999E-3</v>
      </c>
      <c r="F2" s="751"/>
    </row>
    <row r="3" spans="2:8" x14ac:dyDescent="0.45">
      <c r="B3" s="740" t="s">
        <v>851</v>
      </c>
      <c r="C3" s="741"/>
      <c r="D3" s="741"/>
      <c r="E3" s="741"/>
      <c r="F3" s="741"/>
      <c r="G3" s="741"/>
    </row>
    <row r="4" spans="2:8" s="662" customFormat="1" x14ac:dyDescent="0.45">
      <c r="B4" s="742" t="s">
        <v>852</v>
      </c>
      <c r="C4" s="744" t="s">
        <v>853</v>
      </c>
      <c r="D4" s="746" t="s">
        <v>836</v>
      </c>
      <c r="E4" s="746"/>
      <c r="F4" s="746" t="s">
        <v>854</v>
      </c>
      <c r="G4" s="746"/>
    </row>
    <row r="5" spans="2:8" s="662" customFormat="1" x14ac:dyDescent="0.45">
      <c r="B5" s="743"/>
      <c r="C5" s="745"/>
      <c r="D5" s="663" t="s">
        <v>855</v>
      </c>
      <c r="E5" s="663" t="s">
        <v>806</v>
      </c>
      <c r="F5" s="663" t="s">
        <v>855</v>
      </c>
      <c r="G5" s="663" t="s">
        <v>806</v>
      </c>
    </row>
    <row r="6" spans="2:8" ht="15.5" customHeight="1" thickBot="1" x14ac:dyDescent="0.5">
      <c r="B6" s="747" t="s">
        <v>856</v>
      </c>
      <c r="C6" s="748"/>
      <c r="D6" s="748"/>
      <c r="E6" s="748"/>
      <c r="F6" s="748"/>
      <c r="G6" s="749"/>
    </row>
    <row r="7" spans="2:8" ht="13.5" thickBot="1" x14ac:dyDescent="0.5">
      <c r="B7" s="695" t="s">
        <v>884</v>
      </c>
      <c r="C7" s="697">
        <v>1</v>
      </c>
      <c r="D7" s="697">
        <v>60000000</v>
      </c>
      <c r="E7" s="670">
        <f>$E$2*D7</f>
        <v>102000</v>
      </c>
      <c r="F7" s="672">
        <f>D7*C7</f>
        <v>60000000</v>
      </c>
      <c r="G7" s="670">
        <f>$E$2*F7</f>
        <v>102000</v>
      </c>
      <c r="H7" s="675"/>
    </row>
    <row r="8" spans="2:8" ht="13.5" thickBot="1" x14ac:dyDescent="0.5">
      <c r="B8" s="696" t="s">
        <v>885</v>
      </c>
      <c r="C8" s="698">
        <v>1</v>
      </c>
      <c r="D8" s="698">
        <v>17000000</v>
      </c>
      <c r="E8" s="670">
        <f t="shared" ref="E8:E25" si="0">$E$2*D8</f>
        <v>28900</v>
      </c>
      <c r="F8" s="672">
        <f t="shared" ref="F8:F25" si="1">D8*C8</f>
        <v>17000000</v>
      </c>
      <c r="G8" s="670">
        <f t="shared" ref="G8:G25" si="2">$E$2*F8</f>
        <v>28900</v>
      </c>
    </row>
    <row r="9" spans="2:8" ht="13.5" thickBot="1" x14ac:dyDescent="0.5">
      <c r="B9" s="696" t="s">
        <v>480</v>
      </c>
      <c r="C9" s="698">
        <v>1</v>
      </c>
      <c r="D9" s="698">
        <v>7000000</v>
      </c>
      <c r="E9" s="670">
        <f t="shared" si="0"/>
        <v>11900</v>
      </c>
      <c r="F9" s="672">
        <f t="shared" si="1"/>
        <v>7000000</v>
      </c>
      <c r="G9" s="670">
        <f t="shared" si="2"/>
        <v>11900</v>
      </c>
    </row>
    <row r="10" spans="2:8" ht="13.5" thickBot="1" x14ac:dyDescent="0.5">
      <c r="B10" s="696" t="s">
        <v>886</v>
      </c>
      <c r="C10" s="698">
        <v>1</v>
      </c>
      <c r="D10" s="698">
        <v>7000000</v>
      </c>
      <c r="E10" s="670">
        <f t="shared" si="0"/>
        <v>11900</v>
      </c>
      <c r="F10" s="672">
        <f t="shared" si="1"/>
        <v>7000000</v>
      </c>
      <c r="G10" s="670">
        <f t="shared" si="2"/>
        <v>11900</v>
      </c>
    </row>
    <row r="11" spans="2:8" ht="13.5" thickBot="1" x14ac:dyDescent="0.5">
      <c r="B11" s="696" t="s">
        <v>887</v>
      </c>
      <c r="C11" s="698">
        <v>1</v>
      </c>
      <c r="D11" s="698">
        <v>3000000</v>
      </c>
      <c r="E11" s="670">
        <f t="shared" si="0"/>
        <v>5100</v>
      </c>
      <c r="F11" s="672">
        <f t="shared" si="1"/>
        <v>3000000</v>
      </c>
      <c r="G11" s="670">
        <f t="shared" si="2"/>
        <v>5100</v>
      </c>
    </row>
    <row r="12" spans="2:8" ht="13.5" thickBot="1" x14ac:dyDescent="0.5">
      <c r="B12" s="696" t="s">
        <v>888</v>
      </c>
      <c r="C12" s="698">
        <v>1</v>
      </c>
      <c r="D12" s="698">
        <v>6000000</v>
      </c>
      <c r="E12" s="670">
        <f t="shared" si="0"/>
        <v>10200</v>
      </c>
      <c r="F12" s="672">
        <f t="shared" si="1"/>
        <v>6000000</v>
      </c>
      <c r="G12" s="670">
        <f t="shared" si="2"/>
        <v>10200</v>
      </c>
    </row>
    <row r="13" spans="2:8" ht="26.65" thickBot="1" x14ac:dyDescent="0.5">
      <c r="B13" s="696" t="s">
        <v>889</v>
      </c>
      <c r="C13" s="698">
        <v>1</v>
      </c>
      <c r="D13" s="698">
        <v>3850000</v>
      </c>
      <c r="E13" s="670">
        <f t="shared" si="0"/>
        <v>6545</v>
      </c>
      <c r="F13" s="672">
        <f t="shared" si="1"/>
        <v>3850000</v>
      </c>
      <c r="G13" s="670">
        <f t="shared" si="2"/>
        <v>6545</v>
      </c>
    </row>
    <row r="14" spans="2:8" ht="13.5" thickBot="1" x14ac:dyDescent="0.5">
      <c r="B14" s="696" t="s">
        <v>890</v>
      </c>
      <c r="C14" s="698">
        <v>1</v>
      </c>
      <c r="D14" s="698">
        <v>869745</v>
      </c>
      <c r="E14" s="670">
        <f t="shared" si="0"/>
        <v>1478.5664999999999</v>
      </c>
      <c r="F14" s="672">
        <f t="shared" si="1"/>
        <v>869745</v>
      </c>
      <c r="G14" s="670">
        <f t="shared" si="2"/>
        <v>1478.5664999999999</v>
      </c>
    </row>
    <row r="15" spans="2:8" ht="13.5" thickBot="1" x14ac:dyDescent="0.5">
      <c r="B15" s="696" t="s">
        <v>891</v>
      </c>
      <c r="C15" s="698">
        <v>5</v>
      </c>
      <c r="D15" s="698">
        <v>900000</v>
      </c>
      <c r="E15" s="670">
        <f t="shared" si="0"/>
        <v>1530</v>
      </c>
      <c r="F15" s="672">
        <f t="shared" si="1"/>
        <v>4500000</v>
      </c>
      <c r="G15" s="670">
        <f t="shared" si="2"/>
        <v>7650</v>
      </c>
    </row>
    <row r="16" spans="2:8" ht="13.5" thickBot="1" x14ac:dyDescent="0.5">
      <c r="B16" s="696" t="s">
        <v>892</v>
      </c>
      <c r="C16" s="698">
        <v>5</v>
      </c>
      <c r="D16" s="698">
        <v>1100000</v>
      </c>
      <c r="E16" s="670">
        <f t="shared" si="0"/>
        <v>1870</v>
      </c>
      <c r="F16" s="672">
        <f t="shared" si="1"/>
        <v>5500000</v>
      </c>
      <c r="G16" s="670">
        <f t="shared" si="2"/>
        <v>9350</v>
      </c>
    </row>
    <row r="17" spans="2:7" ht="26.65" thickBot="1" x14ac:dyDescent="0.5">
      <c r="B17" s="696" t="s">
        <v>893</v>
      </c>
      <c r="C17" s="698">
        <v>4</v>
      </c>
      <c r="D17" s="698">
        <v>1050000</v>
      </c>
      <c r="E17" s="670">
        <f t="shared" si="0"/>
        <v>1785</v>
      </c>
      <c r="F17" s="672">
        <f t="shared" si="1"/>
        <v>4200000</v>
      </c>
      <c r="G17" s="670">
        <f t="shared" si="2"/>
        <v>7140</v>
      </c>
    </row>
    <row r="18" spans="2:7" ht="13.5" thickBot="1" x14ac:dyDescent="0.5">
      <c r="B18" s="696" t="s">
        <v>894</v>
      </c>
      <c r="C18" s="698">
        <v>1</v>
      </c>
      <c r="D18" s="698">
        <v>500000</v>
      </c>
      <c r="E18" s="670">
        <f t="shared" si="0"/>
        <v>850</v>
      </c>
      <c r="F18" s="672">
        <f t="shared" si="1"/>
        <v>500000</v>
      </c>
      <c r="G18" s="670">
        <f t="shared" si="2"/>
        <v>850</v>
      </c>
    </row>
    <row r="19" spans="2:7" ht="13.5" thickBot="1" x14ac:dyDescent="0.5">
      <c r="B19" s="696" t="s">
        <v>895</v>
      </c>
      <c r="C19" s="698">
        <v>2</v>
      </c>
      <c r="D19" s="698">
        <v>15000000</v>
      </c>
      <c r="E19" s="670">
        <f t="shared" si="0"/>
        <v>25500</v>
      </c>
      <c r="F19" s="672">
        <f t="shared" si="1"/>
        <v>30000000</v>
      </c>
      <c r="G19" s="670">
        <f t="shared" si="2"/>
        <v>51000</v>
      </c>
    </row>
    <row r="20" spans="2:7" ht="13.5" thickBot="1" x14ac:dyDescent="0.5">
      <c r="B20" s="696" t="s">
        <v>896</v>
      </c>
      <c r="C20" s="698">
        <v>1</v>
      </c>
      <c r="D20" s="698">
        <v>9300000</v>
      </c>
      <c r="E20" s="670">
        <f t="shared" si="0"/>
        <v>15810</v>
      </c>
      <c r="F20" s="672">
        <f t="shared" si="1"/>
        <v>9300000</v>
      </c>
      <c r="G20" s="670">
        <f t="shared" si="2"/>
        <v>15810</v>
      </c>
    </row>
    <row r="21" spans="2:7" ht="26.65" thickBot="1" x14ac:dyDescent="0.5">
      <c r="B21" s="696" t="s">
        <v>897</v>
      </c>
      <c r="C21" s="698">
        <v>2</v>
      </c>
      <c r="D21" s="698">
        <v>950000</v>
      </c>
      <c r="E21" s="670">
        <f t="shared" si="0"/>
        <v>1615</v>
      </c>
      <c r="F21" s="672">
        <f t="shared" si="1"/>
        <v>1900000</v>
      </c>
      <c r="G21" s="670">
        <f t="shared" si="2"/>
        <v>3230</v>
      </c>
    </row>
    <row r="22" spans="2:7" ht="13.5" thickBot="1" x14ac:dyDescent="0.5">
      <c r="B22" s="696" t="s">
        <v>898</v>
      </c>
      <c r="C22" s="698">
        <v>2</v>
      </c>
      <c r="D22" s="698">
        <v>870000</v>
      </c>
      <c r="E22" s="670">
        <f t="shared" si="0"/>
        <v>1479</v>
      </c>
      <c r="F22" s="672">
        <f t="shared" si="1"/>
        <v>1740000</v>
      </c>
      <c r="G22" s="670">
        <f t="shared" si="2"/>
        <v>2958</v>
      </c>
    </row>
    <row r="23" spans="2:7" ht="13.5" thickBot="1" x14ac:dyDescent="0.5">
      <c r="B23" s="696" t="s">
        <v>899</v>
      </c>
      <c r="C23" s="698">
        <v>2</v>
      </c>
      <c r="D23" s="698">
        <v>4000000</v>
      </c>
      <c r="E23" s="670">
        <f t="shared" si="0"/>
        <v>6800</v>
      </c>
      <c r="F23" s="672">
        <f t="shared" si="1"/>
        <v>8000000</v>
      </c>
      <c r="G23" s="670">
        <f t="shared" si="2"/>
        <v>13600</v>
      </c>
    </row>
    <row r="24" spans="2:7" ht="26.65" thickBot="1" x14ac:dyDescent="0.5">
      <c r="B24" s="696" t="s">
        <v>900</v>
      </c>
      <c r="C24" s="698">
        <v>1</v>
      </c>
      <c r="D24" s="699">
        <f>0.25*(SUM(D7:D23)+D25)</f>
        <v>36047436.25</v>
      </c>
      <c r="E24" s="670">
        <f t="shared" si="0"/>
        <v>61280.641624999997</v>
      </c>
      <c r="F24" s="672">
        <f t="shared" si="1"/>
        <v>36047436.25</v>
      </c>
      <c r="G24" s="670">
        <f t="shared" si="2"/>
        <v>61280.641624999997</v>
      </c>
    </row>
    <row r="25" spans="2:7" ht="13.5" thickBot="1" x14ac:dyDescent="0.5">
      <c r="B25" s="696" t="s">
        <v>901</v>
      </c>
      <c r="C25" s="697">
        <v>1</v>
      </c>
      <c r="D25" s="697">
        <v>5800000</v>
      </c>
      <c r="E25" s="670">
        <f t="shared" si="0"/>
        <v>9860</v>
      </c>
      <c r="F25" s="672">
        <f t="shared" si="1"/>
        <v>5800000</v>
      </c>
      <c r="G25" s="670">
        <f t="shared" si="2"/>
        <v>9860</v>
      </c>
    </row>
    <row r="26" spans="2:7" x14ac:dyDescent="0.45">
      <c r="B26" s="665" t="s">
        <v>857</v>
      </c>
      <c r="C26" s="666"/>
      <c r="D26" s="674"/>
      <c r="E26" s="674"/>
      <c r="F26" s="671">
        <f>SUM(F7:F25)</f>
        <v>212207181.25</v>
      </c>
      <c r="G26" s="671">
        <f>SUM(G7:G25)</f>
        <v>360752.20812499995</v>
      </c>
    </row>
    <row r="27" spans="2:7" ht="15.5" customHeight="1" thickBot="1" x14ac:dyDescent="0.5">
      <c r="B27" s="736" t="s">
        <v>858</v>
      </c>
      <c r="C27" s="737"/>
      <c r="D27" s="737"/>
      <c r="E27" s="737"/>
      <c r="F27" s="737"/>
      <c r="G27" s="738"/>
    </row>
    <row r="28" spans="2:7" ht="13.5" thickBot="1" x14ac:dyDescent="0.5">
      <c r="B28" s="700" t="s">
        <v>884</v>
      </c>
      <c r="C28" s="702">
        <v>1</v>
      </c>
      <c r="D28" s="697">
        <v>60000000</v>
      </c>
      <c r="E28" s="670">
        <f t="shared" ref="E28:E44" si="3">$E$2*D28</f>
        <v>102000</v>
      </c>
      <c r="F28" s="672">
        <f t="shared" ref="F28:F44" si="4">D28*C28</f>
        <v>60000000</v>
      </c>
      <c r="G28" s="670">
        <f t="shared" ref="G28:G44" si="5">$E$2*F28</f>
        <v>102000</v>
      </c>
    </row>
    <row r="29" spans="2:7" ht="13.5" thickBot="1" x14ac:dyDescent="0.5">
      <c r="B29" s="700" t="s">
        <v>885</v>
      </c>
      <c r="C29" s="702">
        <v>1</v>
      </c>
      <c r="D29" s="703">
        <v>25000000</v>
      </c>
      <c r="E29" s="670">
        <f t="shared" si="3"/>
        <v>42500</v>
      </c>
      <c r="F29" s="672">
        <f t="shared" si="4"/>
        <v>25000000</v>
      </c>
      <c r="G29" s="670">
        <f t="shared" si="5"/>
        <v>42500</v>
      </c>
    </row>
    <row r="30" spans="2:7" ht="13.5" thickBot="1" x14ac:dyDescent="0.5">
      <c r="B30" s="700" t="s">
        <v>480</v>
      </c>
      <c r="C30" s="702">
        <v>1</v>
      </c>
      <c r="D30" s="703">
        <v>7000000</v>
      </c>
      <c r="E30" s="670">
        <f t="shared" si="3"/>
        <v>11900</v>
      </c>
      <c r="F30" s="672">
        <f t="shared" si="4"/>
        <v>7000000</v>
      </c>
      <c r="G30" s="670">
        <f t="shared" si="5"/>
        <v>11900</v>
      </c>
    </row>
    <row r="31" spans="2:7" ht="13.5" thickBot="1" x14ac:dyDescent="0.5">
      <c r="B31" s="700" t="s">
        <v>902</v>
      </c>
      <c r="C31" s="702">
        <v>1</v>
      </c>
      <c r="D31" s="703">
        <v>7000000</v>
      </c>
      <c r="E31" s="670">
        <f t="shared" si="3"/>
        <v>11900</v>
      </c>
      <c r="F31" s="672">
        <f t="shared" si="4"/>
        <v>7000000</v>
      </c>
      <c r="G31" s="670">
        <f t="shared" si="5"/>
        <v>11900</v>
      </c>
    </row>
    <row r="32" spans="2:7" ht="13.5" thickBot="1" x14ac:dyDescent="0.5">
      <c r="B32" s="700" t="s">
        <v>887</v>
      </c>
      <c r="C32" s="702">
        <v>1</v>
      </c>
      <c r="D32" s="703">
        <v>3000000</v>
      </c>
      <c r="E32" s="670">
        <f t="shared" si="3"/>
        <v>5100</v>
      </c>
      <c r="F32" s="672">
        <f t="shared" si="4"/>
        <v>3000000</v>
      </c>
      <c r="G32" s="670">
        <f t="shared" si="5"/>
        <v>5100</v>
      </c>
    </row>
    <row r="33" spans="2:7" ht="13.5" thickBot="1" x14ac:dyDescent="0.5">
      <c r="B33" s="700" t="s">
        <v>903</v>
      </c>
      <c r="C33" s="702">
        <v>1</v>
      </c>
      <c r="D33" s="703">
        <v>3000000</v>
      </c>
      <c r="E33" s="670">
        <f t="shared" si="3"/>
        <v>5100</v>
      </c>
      <c r="F33" s="672">
        <f t="shared" si="4"/>
        <v>3000000</v>
      </c>
      <c r="G33" s="670">
        <f t="shared" si="5"/>
        <v>5100</v>
      </c>
    </row>
    <row r="34" spans="2:7" ht="13.5" thickBot="1" x14ac:dyDescent="0.5">
      <c r="B34" s="700" t="s">
        <v>904</v>
      </c>
      <c r="C34" s="702">
        <v>1</v>
      </c>
      <c r="D34" s="703">
        <v>18000000</v>
      </c>
      <c r="E34" s="670">
        <f t="shared" si="3"/>
        <v>30600</v>
      </c>
      <c r="F34" s="672">
        <f t="shared" si="4"/>
        <v>18000000</v>
      </c>
      <c r="G34" s="670">
        <f t="shared" si="5"/>
        <v>30600</v>
      </c>
    </row>
    <row r="35" spans="2:7" ht="13.5" thickBot="1" x14ac:dyDescent="0.5">
      <c r="B35" s="700" t="s">
        <v>905</v>
      </c>
      <c r="C35" s="702">
        <v>1</v>
      </c>
      <c r="D35" s="703">
        <v>2946000</v>
      </c>
      <c r="E35" s="670">
        <f t="shared" si="3"/>
        <v>5008.2</v>
      </c>
      <c r="F35" s="672">
        <f t="shared" si="4"/>
        <v>2946000</v>
      </c>
      <c r="G35" s="670">
        <f t="shared" si="5"/>
        <v>5008.2</v>
      </c>
    </row>
    <row r="36" spans="2:7" ht="13.5" thickBot="1" x14ac:dyDescent="0.5">
      <c r="B36" s="700" t="s">
        <v>906</v>
      </c>
      <c r="C36" s="702">
        <v>1</v>
      </c>
      <c r="D36" s="703">
        <v>2258500</v>
      </c>
      <c r="E36" s="670">
        <f t="shared" si="3"/>
        <v>3839.45</v>
      </c>
      <c r="F36" s="672">
        <f t="shared" si="4"/>
        <v>2258500</v>
      </c>
      <c r="G36" s="670">
        <f t="shared" si="5"/>
        <v>3839.45</v>
      </c>
    </row>
    <row r="37" spans="2:7" ht="13.5" thickBot="1" x14ac:dyDescent="0.5">
      <c r="B37" s="700" t="s">
        <v>907</v>
      </c>
      <c r="C37" s="702">
        <v>1</v>
      </c>
      <c r="D37" s="703">
        <v>20186000</v>
      </c>
      <c r="E37" s="670">
        <f t="shared" si="3"/>
        <v>34316.199999999997</v>
      </c>
      <c r="F37" s="672">
        <f t="shared" si="4"/>
        <v>20186000</v>
      </c>
      <c r="G37" s="670">
        <f t="shared" si="5"/>
        <v>34316.199999999997</v>
      </c>
    </row>
    <row r="38" spans="2:7" ht="13.5" thickBot="1" x14ac:dyDescent="0.5">
      <c r="B38" s="700" t="s">
        <v>896</v>
      </c>
      <c r="C38" s="702">
        <v>2</v>
      </c>
      <c r="D38" s="703">
        <v>9300000</v>
      </c>
      <c r="E38" s="670">
        <f t="shared" si="3"/>
        <v>15810</v>
      </c>
      <c r="F38" s="672">
        <f t="shared" si="4"/>
        <v>18600000</v>
      </c>
      <c r="G38" s="670">
        <f t="shared" si="5"/>
        <v>31620</v>
      </c>
    </row>
    <row r="39" spans="2:7" ht="13.5" thickBot="1" x14ac:dyDescent="0.5">
      <c r="B39" s="700" t="s">
        <v>908</v>
      </c>
      <c r="C39" s="702">
        <v>1</v>
      </c>
      <c r="D39" s="703">
        <v>2758500</v>
      </c>
      <c r="E39" s="670">
        <f t="shared" si="3"/>
        <v>4689.45</v>
      </c>
      <c r="F39" s="672">
        <f t="shared" si="4"/>
        <v>2758500</v>
      </c>
      <c r="G39" s="670">
        <f t="shared" si="5"/>
        <v>4689.45</v>
      </c>
    </row>
    <row r="40" spans="2:7" ht="13.5" thickBot="1" x14ac:dyDescent="0.5">
      <c r="B40" s="700" t="s">
        <v>909</v>
      </c>
      <c r="C40" s="702">
        <v>1</v>
      </c>
      <c r="D40" s="703">
        <v>4008500</v>
      </c>
      <c r="E40" s="670">
        <f t="shared" si="3"/>
        <v>6814.45</v>
      </c>
      <c r="F40" s="672">
        <f t="shared" si="4"/>
        <v>4008500</v>
      </c>
      <c r="G40" s="670">
        <f t="shared" si="5"/>
        <v>6814.45</v>
      </c>
    </row>
    <row r="41" spans="2:7" ht="13.5" thickBot="1" x14ac:dyDescent="0.5">
      <c r="B41" s="701" t="s">
        <v>910</v>
      </c>
      <c r="C41" s="702">
        <v>2</v>
      </c>
      <c r="D41" s="703">
        <v>870000</v>
      </c>
      <c r="E41" s="670">
        <f t="shared" si="3"/>
        <v>1479</v>
      </c>
      <c r="F41" s="672">
        <f t="shared" si="4"/>
        <v>1740000</v>
      </c>
      <c r="G41" s="670">
        <f t="shared" si="5"/>
        <v>2958</v>
      </c>
    </row>
    <row r="42" spans="2:7" ht="13.5" thickBot="1" x14ac:dyDescent="0.5">
      <c r="B42" s="701" t="s">
        <v>899</v>
      </c>
      <c r="C42" s="702">
        <v>1</v>
      </c>
      <c r="D42" s="703">
        <v>4000000</v>
      </c>
      <c r="E42" s="670">
        <f t="shared" si="3"/>
        <v>6800</v>
      </c>
      <c r="F42" s="672">
        <f t="shared" si="4"/>
        <v>4000000</v>
      </c>
      <c r="G42" s="670">
        <f t="shared" si="5"/>
        <v>6800</v>
      </c>
    </row>
    <row r="43" spans="2:7" ht="26.65" thickBot="1" x14ac:dyDescent="0.5">
      <c r="B43" s="696" t="s">
        <v>900</v>
      </c>
      <c r="C43" s="702">
        <v>1</v>
      </c>
      <c r="D43" s="699">
        <f>0.25*(SUM(D28:D42)+D44)</f>
        <v>43781875</v>
      </c>
      <c r="E43" s="670">
        <f t="shared" si="3"/>
        <v>74429.1875</v>
      </c>
      <c r="F43" s="672">
        <f t="shared" si="4"/>
        <v>43781875</v>
      </c>
      <c r="G43" s="670">
        <f t="shared" si="5"/>
        <v>74429.1875</v>
      </c>
    </row>
    <row r="44" spans="2:7" ht="13.5" thickBot="1" x14ac:dyDescent="0.5">
      <c r="B44" s="701" t="s">
        <v>646</v>
      </c>
      <c r="C44" s="702">
        <v>1</v>
      </c>
      <c r="D44" s="703">
        <v>5800000</v>
      </c>
      <c r="E44" s="670">
        <f t="shared" si="3"/>
        <v>9860</v>
      </c>
      <c r="F44" s="672">
        <f t="shared" si="4"/>
        <v>5800000</v>
      </c>
      <c r="G44" s="670">
        <f t="shared" si="5"/>
        <v>9860</v>
      </c>
    </row>
    <row r="45" spans="2:7" x14ac:dyDescent="0.45">
      <c r="B45" s="664"/>
      <c r="C45" s="661"/>
      <c r="D45" s="670"/>
      <c r="E45" s="670"/>
      <c r="F45" s="672"/>
      <c r="G45" s="670"/>
    </row>
    <row r="46" spans="2:7" x14ac:dyDescent="0.45">
      <c r="B46" s="667" t="s">
        <v>859</v>
      </c>
      <c r="C46" s="668"/>
      <c r="D46" s="673"/>
      <c r="E46" s="673"/>
      <c r="F46" s="671">
        <f>SUM(F28:F45)</f>
        <v>229079375</v>
      </c>
      <c r="G46" s="671">
        <f>SUM(G28:G45)</f>
        <v>389434.93750000006</v>
      </c>
    </row>
    <row r="47" spans="2:7" x14ac:dyDescent="0.45">
      <c r="B47" s="739" t="s">
        <v>860</v>
      </c>
      <c r="C47" s="739"/>
      <c r="D47" s="739"/>
      <c r="E47" s="739"/>
      <c r="F47" s="739"/>
      <c r="G47" s="669"/>
    </row>
    <row r="48" spans="2:7" x14ac:dyDescent="0.45">
      <c r="B48" s="664" t="s">
        <v>861</v>
      </c>
      <c r="C48" s="661">
        <v>3</v>
      </c>
      <c r="D48" s="670">
        <v>7000000</v>
      </c>
      <c r="E48" s="670">
        <f t="shared" ref="E48:E60" si="6">$E$2*D48</f>
        <v>11900</v>
      </c>
      <c r="F48" s="670">
        <f>D48*C48</f>
        <v>21000000</v>
      </c>
      <c r="G48" s="670">
        <f t="shared" ref="G48:G60" si="7">$E$2*F48</f>
        <v>35700</v>
      </c>
    </row>
    <row r="49" spans="2:7" x14ac:dyDescent="0.45">
      <c r="B49" s="664" t="s">
        <v>862</v>
      </c>
      <c r="C49" s="661">
        <v>1</v>
      </c>
      <c r="D49" s="670">
        <v>1000000</v>
      </c>
      <c r="E49" s="670">
        <f t="shared" si="6"/>
        <v>1700</v>
      </c>
      <c r="F49" s="670">
        <v>1000000</v>
      </c>
      <c r="G49" s="670">
        <f t="shared" si="7"/>
        <v>1700</v>
      </c>
    </row>
    <row r="50" spans="2:7" ht="26.25" x14ac:dyDescent="0.45">
      <c r="B50" s="664" t="s">
        <v>863</v>
      </c>
      <c r="C50" s="661">
        <v>1</v>
      </c>
      <c r="D50" s="670">
        <v>5000000</v>
      </c>
      <c r="E50" s="670">
        <f t="shared" si="6"/>
        <v>8500</v>
      </c>
      <c r="F50" s="670">
        <v>5000000</v>
      </c>
      <c r="G50" s="670">
        <f t="shared" si="7"/>
        <v>8500</v>
      </c>
    </row>
    <row r="51" spans="2:7" x14ac:dyDescent="0.45">
      <c r="B51" s="664" t="s">
        <v>864</v>
      </c>
      <c r="C51" s="661">
        <v>1</v>
      </c>
      <c r="D51" s="670">
        <v>1500000</v>
      </c>
      <c r="E51" s="670">
        <f t="shared" si="6"/>
        <v>2550</v>
      </c>
      <c r="F51" s="670">
        <v>1500000</v>
      </c>
      <c r="G51" s="670">
        <f t="shared" si="7"/>
        <v>2550</v>
      </c>
    </row>
    <row r="52" spans="2:7" x14ac:dyDescent="0.45">
      <c r="B52" s="664" t="s">
        <v>838</v>
      </c>
      <c r="C52" s="661">
        <v>1</v>
      </c>
      <c r="D52" s="670">
        <v>500000</v>
      </c>
      <c r="E52" s="670">
        <f t="shared" si="6"/>
        <v>850</v>
      </c>
      <c r="F52" s="670">
        <v>500000</v>
      </c>
      <c r="G52" s="670">
        <f t="shared" si="7"/>
        <v>850</v>
      </c>
    </row>
    <row r="53" spans="2:7" ht="39.4" x14ac:dyDescent="0.45">
      <c r="B53" s="664" t="s">
        <v>865</v>
      </c>
      <c r="C53" s="661">
        <v>1</v>
      </c>
      <c r="D53" s="670">
        <v>1500000</v>
      </c>
      <c r="E53" s="670">
        <f t="shared" si="6"/>
        <v>2550</v>
      </c>
      <c r="F53" s="670">
        <v>1500000</v>
      </c>
      <c r="G53" s="670">
        <f t="shared" si="7"/>
        <v>2550</v>
      </c>
    </row>
    <row r="54" spans="2:7" x14ac:dyDescent="0.45">
      <c r="B54" s="664" t="s">
        <v>866</v>
      </c>
      <c r="C54" s="661">
        <v>1</v>
      </c>
      <c r="D54" s="670">
        <v>12000000</v>
      </c>
      <c r="E54" s="670">
        <f t="shared" si="6"/>
        <v>20400</v>
      </c>
      <c r="F54" s="670">
        <v>12000000</v>
      </c>
      <c r="G54" s="670">
        <f t="shared" si="7"/>
        <v>20400</v>
      </c>
    </row>
    <row r="55" spans="2:7" x14ac:dyDescent="0.45">
      <c r="B55" s="664" t="s">
        <v>867</v>
      </c>
      <c r="C55" s="661">
        <v>1</v>
      </c>
      <c r="D55" s="670">
        <v>5000000</v>
      </c>
      <c r="E55" s="670">
        <f t="shared" si="6"/>
        <v>8500</v>
      </c>
      <c r="F55" s="670">
        <v>5000000</v>
      </c>
      <c r="G55" s="670">
        <f t="shared" si="7"/>
        <v>8500</v>
      </c>
    </row>
    <row r="56" spans="2:7" x14ac:dyDescent="0.45">
      <c r="B56" s="664" t="s">
        <v>868</v>
      </c>
      <c r="C56" s="661">
        <v>1</v>
      </c>
      <c r="D56" s="670">
        <v>5000000</v>
      </c>
      <c r="E56" s="670">
        <f t="shared" si="6"/>
        <v>8500</v>
      </c>
      <c r="F56" s="670">
        <v>5000000</v>
      </c>
      <c r="G56" s="670">
        <f t="shared" si="7"/>
        <v>8500</v>
      </c>
    </row>
    <row r="57" spans="2:7" x14ac:dyDescent="0.45">
      <c r="B57" s="664" t="s">
        <v>869</v>
      </c>
      <c r="C57" s="661">
        <v>1</v>
      </c>
      <c r="D57" s="670">
        <v>3000000</v>
      </c>
      <c r="E57" s="670">
        <f t="shared" si="6"/>
        <v>5100</v>
      </c>
      <c r="F57" s="670">
        <v>3000000</v>
      </c>
      <c r="G57" s="670">
        <f t="shared" si="7"/>
        <v>5100</v>
      </c>
    </row>
    <row r="58" spans="2:7" ht="26.25" x14ac:dyDescent="0.45">
      <c r="B58" s="664" t="s">
        <v>870</v>
      </c>
      <c r="C58" s="661">
        <v>1</v>
      </c>
      <c r="D58" s="670">
        <v>700000</v>
      </c>
      <c r="E58" s="670">
        <f t="shared" si="6"/>
        <v>1190</v>
      </c>
      <c r="F58" s="670">
        <v>700000</v>
      </c>
      <c r="G58" s="670">
        <f t="shared" si="7"/>
        <v>1190</v>
      </c>
    </row>
    <row r="59" spans="2:7" x14ac:dyDescent="0.45">
      <c r="B59" s="664" t="s">
        <v>871</v>
      </c>
      <c r="C59" s="661">
        <v>1</v>
      </c>
      <c r="D59" s="670">
        <v>1750000</v>
      </c>
      <c r="E59" s="670">
        <f t="shared" si="6"/>
        <v>2975</v>
      </c>
      <c r="F59" s="670">
        <v>1750000</v>
      </c>
      <c r="G59" s="670">
        <f t="shared" si="7"/>
        <v>2975</v>
      </c>
    </row>
    <row r="60" spans="2:7" x14ac:dyDescent="0.45">
      <c r="B60" s="664" t="s">
        <v>872</v>
      </c>
      <c r="C60" s="661">
        <v>1</v>
      </c>
      <c r="D60" s="670">
        <v>2000000</v>
      </c>
      <c r="E60" s="670">
        <f t="shared" si="6"/>
        <v>3400</v>
      </c>
      <c r="F60" s="670">
        <v>2000000</v>
      </c>
      <c r="G60" s="670">
        <f t="shared" si="7"/>
        <v>3400</v>
      </c>
    </row>
    <row r="61" spans="2:7" x14ac:dyDescent="0.45">
      <c r="B61" s="665" t="s">
        <v>873</v>
      </c>
      <c r="C61" s="666"/>
      <c r="D61" s="666"/>
      <c r="E61" s="666"/>
      <c r="F61" s="671">
        <f>SUM(F48:F60)</f>
        <v>59950000</v>
      </c>
      <c r="G61" s="671">
        <f>SUM(G48:G60)</f>
        <v>101915</v>
      </c>
    </row>
    <row r="62" spans="2:7" x14ac:dyDescent="0.45">
      <c r="B62" s="665" t="s">
        <v>874</v>
      </c>
      <c r="C62" s="666"/>
      <c r="D62" s="666"/>
      <c r="E62" s="666"/>
      <c r="F62" s="671">
        <f>F26+F46+F61</f>
        <v>501236556.25</v>
      </c>
      <c r="G62" s="671">
        <f>G26+G46+G61</f>
        <v>852102.145625</v>
      </c>
    </row>
  </sheetData>
  <mergeCells count="8">
    <mergeCell ref="B27:G27"/>
    <mergeCell ref="B47:F47"/>
    <mergeCell ref="B3:G3"/>
    <mergeCell ref="B4:B5"/>
    <mergeCell ref="C4:C5"/>
    <mergeCell ref="D4:E4"/>
    <mergeCell ref="F4:G4"/>
    <mergeCell ref="B6:G6"/>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tint="-9.9978637043366805E-2"/>
  </sheetPr>
  <dimension ref="A1:BI33"/>
  <sheetViews>
    <sheetView showGridLines="0" zoomScale="70" zoomScaleNormal="70" workbookViewId="0">
      <pane xSplit="7" ySplit="10" topLeftCell="H11" activePane="bottomRight" state="frozen"/>
      <selection activeCell="H11" sqref="H11"/>
      <selection pane="topRight" activeCell="H11" sqref="H11"/>
      <selection pane="bottomLeft" activeCell="H11" sqref="H11"/>
      <selection pane="bottomRight" activeCell="J21" sqref="J21"/>
    </sheetView>
  </sheetViews>
  <sheetFormatPr defaultColWidth="9" defaultRowHeight="14.25" x14ac:dyDescent="0.45"/>
  <cols>
    <col min="1" max="2" width="3.73046875" customWidth="1"/>
    <col min="3" max="3" width="73.86328125" customWidth="1"/>
    <col min="5" max="5" width="15" customWidth="1"/>
    <col min="6" max="6" width="16" customWidth="1"/>
    <col min="7" max="7" width="14.59765625" customWidth="1"/>
    <col min="8" max="8" width="13.1328125" customWidth="1"/>
    <col min="9" max="10" width="19" customWidth="1"/>
    <col min="11" max="12" width="22" customWidth="1"/>
    <col min="13" max="13" width="89.265625" customWidth="1"/>
    <col min="14" max="14" width="23.796875" customWidth="1"/>
  </cols>
  <sheetData>
    <row r="1" spans="1:61" s="2" customFormat="1" x14ac:dyDescent="0.45">
      <c r="A1" s="18" t="str">
        <f ca="1">RIGHT(CELL("filename",$A$1),LEN(CELL("filename",$A$1))-FIND("]",CELL("filename",$A$1)))</f>
        <v>Operational Costs</v>
      </c>
      <c r="F1" s="208">
        <f ca="1">'Supplementary Revenue Data'!F1</f>
        <v>16243658.526131678</v>
      </c>
      <c r="G1" s="208">
        <f ca="1">'Supplementary Revenue Data'!G1</f>
        <v>559751.44489366515</v>
      </c>
      <c r="I1" s="23"/>
      <c r="J1"/>
      <c r="K1"/>
      <c r="L1"/>
      <c r="M1"/>
      <c r="N1" s="20">
        <v>2</v>
      </c>
      <c r="O1" s="20">
        <v>3</v>
      </c>
      <c r="P1" s="20">
        <v>4</v>
      </c>
      <c r="Q1" s="20">
        <v>5</v>
      </c>
      <c r="R1" s="20">
        <v>6</v>
      </c>
      <c r="S1" s="20">
        <v>7</v>
      </c>
      <c r="T1" s="20">
        <v>8</v>
      </c>
      <c r="U1" s="20">
        <v>9</v>
      </c>
      <c r="V1" s="20">
        <v>10</v>
      </c>
      <c r="W1" s="20">
        <v>11</v>
      </c>
      <c r="X1" s="20">
        <v>12</v>
      </c>
      <c r="Y1" s="20">
        <v>13</v>
      </c>
      <c r="Z1" s="20">
        <v>14</v>
      </c>
      <c r="AA1" s="20">
        <v>15</v>
      </c>
      <c r="AB1" s="20"/>
    </row>
    <row r="2" spans="1:61" s="2" customFormat="1" x14ac:dyDescent="0.45">
      <c r="C2" s="18"/>
      <c r="D2" s="21"/>
      <c r="E2" s="21"/>
      <c r="F2" s="21"/>
      <c r="G2" s="21"/>
      <c r="L2" s="135"/>
    </row>
    <row r="3" spans="1:61" s="2" customFormat="1" x14ac:dyDescent="0.45">
      <c r="A3" s="4" t="s">
        <v>6</v>
      </c>
      <c r="R3" s="22"/>
    </row>
    <row r="4" spans="1:61" s="2" customFormat="1" x14ac:dyDescent="0.45">
      <c r="A4" s="5"/>
      <c r="B4" s="6" t="s">
        <v>7</v>
      </c>
      <c r="C4" s="118"/>
      <c r="D4" s="7"/>
    </row>
    <row r="5" spans="1:61" s="2" customFormat="1" x14ac:dyDescent="0.45">
      <c r="A5" s="8"/>
      <c r="B5" s="6" t="s">
        <v>8</v>
      </c>
      <c r="C5" s="118"/>
      <c r="D5" s="7"/>
    </row>
    <row r="6" spans="1:61" s="2" customFormat="1" x14ac:dyDescent="0.45">
      <c r="A6" s="9"/>
      <c r="B6" s="6" t="s">
        <v>9</v>
      </c>
      <c r="C6" s="118"/>
      <c r="D6" s="7"/>
    </row>
    <row r="7" spans="1:61" s="2" customFormat="1" x14ac:dyDescent="0.45">
      <c r="A7" s="10"/>
      <c r="B7" s="6" t="s">
        <v>10</v>
      </c>
      <c r="C7" s="118"/>
      <c r="D7" s="146"/>
    </row>
    <row r="8" spans="1:61" x14ac:dyDescent="0.45">
      <c r="C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row>
    <row r="9" spans="1:61" s="2" customFormat="1" x14ac:dyDescent="0.45">
      <c r="I9" s="23"/>
      <c r="J9" s="23"/>
      <c r="K9" s="23"/>
      <c r="M9" s="24"/>
      <c r="N9" s="24"/>
      <c r="O9" s="24"/>
      <c r="P9" s="24"/>
      <c r="Q9" s="24"/>
      <c r="R9" s="24"/>
      <c r="S9" s="24"/>
      <c r="T9" s="24"/>
      <c r="U9" s="24"/>
      <c r="V9" s="24"/>
      <c r="W9" s="24"/>
      <c r="X9" s="24"/>
      <c r="Y9" s="24"/>
      <c r="Z9" s="24"/>
      <c r="AA9" s="24"/>
    </row>
    <row r="10" spans="1:61" s="26" customFormat="1" x14ac:dyDescent="0.45">
      <c r="E10" s="184" t="s">
        <v>0</v>
      </c>
      <c r="F10" s="184" t="s">
        <v>207</v>
      </c>
      <c r="G10" s="184"/>
      <c r="H10" s="184" t="s">
        <v>216</v>
      </c>
      <c r="I10" s="184" t="s">
        <v>234</v>
      </c>
      <c r="J10" s="184" t="s">
        <v>815</v>
      </c>
      <c r="K10" s="184" t="s">
        <v>236</v>
      </c>
      <c r="L10" s="184" t="s">
        <v>816</v>
      </c>
      <c r="M10" s="174" t="s">
        <v>217</v>
      </c>
      <c r="N10" s="29"/>
      <c r="O10" s="29"/>
      <c r="P10" s="29"/>
      <c r="Q10" s="29"/>
      <c r="R10" s="29"/>
      <c r="S10" s="29"/>
      <c r="T10" s="29"/>
      <c r="U10" s="29"/>
      <c r="V10" s="29"/>
      <c r="W10" s="29"/>
      <c r="X10" s="29"/>
      <c r="Y10" s="29"/>
      <c r="Z10" s="29"/>
      <c r="AA10" s="29"/>
      <c r="AH10" s="120" t="s">
        <v>134</v>
      </c>
    </row>
    <row r="11" spans="1:61" ht="14.25" customHeight="1" x14ac:dyDescent="0.45">
      <c r="B11" s="1" t="s">
        <v>524</v>
      </c>
      <c r="D11" s="174"/>
      <c r="E11" s="184" t="s">
        <v>0</v>
      </c>
      <c r="F11" s="184"/>
      <c r="G11" s="184"/>
      <c r="H11" s="184"/>
      <c r="I11" s="184"/>
      <c r="J11" s="184"/>
      <c r="K11" s="184"/>
      <c r="L11" s="184"/>
      <c r="M11" s="174"/>
    </row>
    <row r="12" spans="1:61" x14ac:dyDescent="0.45">
      <c r="C12" s="170" t="s">
        <v>156</v>
      </c>
      <c r="E12" s="176" t="s">
        <v>211</v>
      </c>
      <c r="F12" s="176" t="s">
        <v>209</v>
      </c>
      <c r="G12" s="176"/>
      <c r="H12" s="202">
        <f>Assumptions!H28</f>
        <v>600</v>
      </c>
      <c r="I12" s="189">
        <f>J12*Assumptions!$H$14</f>
        <v>14975</v>
      </c>
      <c r="J12" s="189">
        <v>25</v>
      </c>
      <c r="K12" s="182">
        <f>I12*H12</f>
        <v>8985000</v>
      </c>
      <c r="L12" s="182">
        <f>J12*H12</f>
        <v>15000</v>
      </c>
      <c r="M12" s="170"/>
    </row>
    <row r="13" spans="1:61" x14ac:dyDescent="0.45">
      <c r="C13" s="170"/>
      <c r="E13" s="176"/>
      <c r="F13" s="176"/>
      <c r="G13" s="176"/>
      <c r="J13" s="190"/>
      <c r="K13" s="182"/>
      <c r="L13" s="182"/>
    </row>
    <row r="14" spans="1:61" x14ac:dyDescent="0.45">
      <c r="B14" s="1" t="s">
        <v>525</v>
      </c>
      <c r="C14" s="170"/>
      <c r="E14" s="176"/>
      <c r="F14" s="176"/>
      <c r="G14" s="176"/>
      <c r="J14" s="190"/>
      <c r="K14" s="182"/>
      <c r="L14" s="182"/>
    </row>
    <row r="15" spans="1:61" x14ac:dyDescent="0.45">
      <c r="C15" s="170" t="s">
        <v>726</v>
      </c>
      <c r="E15" s="176" t="s">
        <v>210</v>
      </c>
      <c r="F15" s="176" t="s">
        <v>209</v>
      </c>
      <c r="G15" s="176"/>
      <c r="H15" s="196">
        <v>4</v>
      </c>
      <c r="I15" s="189">
        <f>J15*Assumptions!$H$14</f>
        <v>299500</v>
      </c>
      <c r="J15" s="189">
        <v>500</v>
      </c>
      <c r="K15" s="182">
        <f>I15*H15*12</f>
        <v>14376000</v>
      </c>
      <c r="L15" s="182">
        <f>J15*H15*12</f>
        <v>24000</v>
      </c>
    </row>
    <row r="16" spans="1:61" x14ac:dyDescent="0.45">
      <c r="C16" s="170" t="s">
        <v>882</v>
      </c>
      <c r="E16" s="176" t="s">
        <v>210</v>
      </c>
      <c r="F16" s="176" t="s">
        <v>209</v>
      </c>
      <c r="G16" s="176"/>
      <c r="H16" s="196">
        <v>133</v>
      </c>
      <c r="I16" s="189">
        <f>J16*Assumptions!$H$14</f>
        <v>59900</v>
      </c>
      <c r="J16" s="189">
        <v>100</v>
      </c>
      <c r="K16" s="182">
        <f>I16*H16*12</f>
        <v>95600400</v>
      </c>
      <c r="L16" s="182">
        <f>J16*H16*12</f>
        <v>159600</v>
      </c>
    </row>
    <row r="17" spans="2:12" x14ac:dyDescent="0.45">
      <c r="C17" s="170" t="s">
        <v>163</v>
      </c>
      <c r="E17" s="176" t="s">
        <v>210</v>
      </c>
      <c r="F17" s="176" t="s">
        <v>209</v>
      </c>
      <c r="G17" s="176"/>
      <c r="H17" s="196">
        <v>10</v>
      </c>
      <c r="I17" s="189">
        <f>J17*Assumptions!$H$14</f>
        <v>119800</v>
      </c>
      <c r="J17" s="189">
        <v>200</v>
      </c>
      <c r="K17" s="182">
        <f>I17*H17*12</f>
        <v>14376000</v>
      </c>
      <c r="L17" s="182">
        <f>J17*H17*12</f>
        <v>24000</v>
      </c>
    </row>
    <row r="18" spans="2:12" ht="14.25" customHeight="1" x14ac:dyDescent="0.45">
      <c r="K18" s="162"/>
      <c r="L18" s="162"/>
    </row>
    <row r="19" spans="2:12" x14ac:dyDescent="0.45">
      <c r="B19" s="1" t="s">
        <v>527</v>
      </c>
      <c r="C19" s="170"/>
      <c r="E19" s="176"/>
      <c r="F19" s="176"/>
      <c r="G19" s="176"/>
      <c r="J19" s="190"/>
      <c r="K19" s="182"/>
      <c r="L19" s="182"/>
    </row>
    <row r="20" spans="2:12" x14ac:dyDescent="0.45">
      <c r="C20" s="170" t="s">
        <v>727</v>
      </c>
      <c r="E20" s="176" t="s">
        <v>210</v>
      </c>
      <c r="F20" s="176" t="s">
        <v>209</v>
      </c>
      <c r="G20" s="176"/>
      <c r="H20" s="196">
        <v>1</v>
      </c>
      <c r="I20" s="189">
        <f>J20*Assumptions!$H$14</f>
        <v>1497500</v>
      </c>
      <c r="J20" s="189">
        <v>2500</v>
      </c>
      <c r="K20" s="182">
        <f>I20*H20*12</f>
        <v>17970000</v>
      </c>
      <c r="L20" s="182">
        <f>J20*H20*12</f>
        <v>30000</v>
      </c>
    </row>
    <row r="21" spans="2:12" x14ac:dyDescent="0.45">
      <c r="C21" s="170" t="s">
        <v>726</v>
      </c>
      <c r="E21" s="176" t="s">
        <v>210</v>
      </c>
      <c r="F21" s="176" t="s">
        <v>209</v>
      </c>
      <c r="G21" s="176"/>
      <c r="H21" s="196">
        <v>15</v>
      </c>
      <c r="I21" s="189">
        <f>J21*Assumptions!$H$14</f>
        <v>179700</v>
      </c>
      <c r="J21" s="189">
        <v>300</v>
      </c>
      <c r="K21" s="182">
        <f>I21*H21*12</f>
        <v>32346000</v>
      </c>
      <c r="L21" s="182">
        <f>J21*H21*12</f>
        <v>54000</v>
      </c>
    </row>
    <row r="22" spans="2:12" x14ac:dyDescent="0.45">
      <c r="C22" s="170" t="s">
        <v>163</v>
      </c>
      <c r="E22" s="176" t="s">
        <v>210</v>
      </c>
      <c r="F22" s="176" t="s">
        <v>209</v>
      </c>
      <c r="G22" s="176"/>
      <c r="H22" s="196">
        <v>10</v>
      </c>
      <c r="I22" s="189">
        <f>J22*Assumptions!$H$14</f>
        <v>179700</v>
      </c>
      <c r="J22" s="189">
        <v>300</v>
      </c>
      <c r="K22" s="182">
        <f>I22*H22*12</f>
        <v>21564000</v>
      </c>
      <c r="L22" s="182">
        <f>J22*H22*12</f>
        <v>36000</v>
      </c>
    </row>
    <row r="23" spans="2:12" x14ac:dyDescent="0.45">
      <c r="C23" s="170"/>
      <c r="E23" s="176"/>
      <c r="F23" s="176"/>
      <c r="G23" s="176"/>
      <c r="J23" s="190"/>
      <c r="K23" s="182"/>
      <c r="L23" s="182"/>
    </row>
    <row r="24" spans="2:12" x14ac:dyDescent="0.45">
      <c r="J24" s="437"/>
    </row>
    <row r="31" spans="2:12" x14ac:dyDescent="0.45">
      <c r="I31" s="683"/>
      <c r="J31" s="683"/>
    </row>
    <row r="33" spans="11:11" x14ac:dyDescent="0.45">
      <c r="K33" s="401"/>
    </row>
  </sheetData>
  <conditionalFormatting sqref="A27:AF129 A23:G23 I23 I14 A13:G19 A1:AF12 J13:L23 A24:L26 P13:AF26 A20:H22">
    <cfRule type="expression" dxfId="137" priority="19">
      <formula>_xlfn.ISFORMULA(A1)</formula>
    </cfRule>
  </conditionalFormatting>
  <conditionalFormatting sqref="L18">
    <cfRule type="expression" dxfId="136" priority="12">
      <formula>_xlfn.ISFORMULA(INDIRECT("rc",FALSE))</formula>
    </cfRule>
  </conditionalFormatting>
  <conditionalFormatting sqref="K18">
    <cfRule type="expression" dxfId="135" priority="11">
      <formula>_xlfn.ISFORMULA(INDIRECT("rc",FALSE))</formula>
    </cfRule>
  </conditionalFormatting>
  <conditionalFormatting sqref="A15:H17 A14:G14 J14:L17 P14:AF17">
    <cfRule type="expression" dxfId="134" priority="10">
      <formula>_xlfn.ISFORMULA(A14)</formula>
    </cfRule>
  </conditionalFormatting>
  <conditionalFormatting sqref="I15:I17">
    <cfRule type="expression" dxfId="133" priority="6">
      <formula>_xlfn.ISFORMULA(I15)</formula>
    </cfRule>
  </conditionalFormatting>
  <conditionalFormatting sqref="I20:I22">
    <cfRule type="expression" dxfId="132" priority="5">
      <formula>_xlfn.ISFORMULA(I20)</formula>
    </cfRule>
  </conditionalFormatting>
  <conditionalFormatting sqref="C21">
    <cfRule type="expression" dxfId="131" priority="4">
      <formula>_xlfn.ISFORMULA(C21)</formula>
    </cfRule>
  </conditionalFormatting>
  <conditionalFormatting sqref="L20:L22">
    <cfRule type="expression" dxfId="130" priority="3">
      <formula>_xlfn.ISFORMULA(L20)</formula>
    </cfRule>
  </conditionalFormatting>
  <conditionalFormatting sqref="K20:K22">
    <cfRule type="expression" dxfId="129" priority="2">
      <formula>_xlfn.ISFORMULA(K20)</formula>
    </cfRule>
  </conditionalFormatting>
  <conditionalFormatting sqref="C21">
    <cfRule type="expression" dxfId="128" priority="1">
      <formula>_xlfn.ISFORMULA(C21)</formula>
    </cfRule>
  </conditionalFormatting>
  <pageMargins left="0.7" right="0.7" top="0.75" bottom="0.75" header="0.3" footer="0.3"/>
  <pageSetup paperSize="9" orientation="portrait" horizontalDpi="1200" verticalDpi="1200" r:id="rId1"/>
  <extLst>
    <ext xmlns:x14="http://schemas.microsoft.com/office/spreadsheetml/2009/9/main" uri="{78C0D931-6437-407d-A8EE-F0AAD7539E65}">
      <x14:conditionalFormattings>
        <x14:conditionalFormatting xmlns:xm="http://schemas.microsoft.com/office/excel/2006/main">
          <x14:cfRule type="expression" priority="294" id="{D519077A-48F5-4F1B-A585-751E91EF1C0E}">
            <xm:f>_xlfn.ISFORMULA(Assumptions!I1)</xm:f>
            <x14:dxf>
              <fill>
                <patternFill>
                  <bgColor theme="4" tint="0.59996337778862885"/>
                </patternFill>
              </fill>
            </x14:dxf>
          </x14:cfRule>
          <xm:sqref>N1:XFD1</xm:sqref>
        </x14:conditionalFormatting>
        <x14:conditionalFormatting xmlns:xm="http://schemas.microsoft.com/office/excel/2006/main">
          <x14:cfRule type="expression" priority="296" id="{D519077A-48F5-4F1B-A585-751E91EF1C0E}">
            <xm:f>_xlfn.ISFORMULA(Assumptions!D1)</xm:f>
            <x14:dxf>
              <fill>
                <patternFill>
                  <bgColor theme="4" tint="0.59996337778862885"/>
                </patternFill>
              </fill>
            </x14:dxf>
          </x14:cfRule>
          <xm:sqref>N10:XFD10 H1:I1 K2:XFD9</xm:sqref>
        </x14:conditionalFormatting>
        <x14:conditionalFormatting xmlns:xm="http://schemas.microsoft.com/office/excel/2006/main">
          <x14:cfRule type="expression" priority="301" id="{D519077A-48F5-4F1B-A585-751E91EF1C0E}">
            <xm:f>_xlfn.ISFORMULA(Assumptions!B3)</xm:f>
            <x14:dxf>
              <fill>
                <patternFill>
                  <bgColor theme="4" tint="0.59996337778862885"/>
                </patternFill>
              </fill>
            </x14:dxf>
          </x14:cfRule>
          <xm:sqref>A3 A4:D7</xm:sqref>
        </x14:conditionalFormatting>
        <x14:conditionalFormatting xmlns:xm="http://schemas.microsoft.com/office/excel/2006/main">
          <x14:cfRule type="expression" priority="307" id="{D519077A-48F5-4F1B-A585-751E91EF1C0E}">
            <xm:f>_xlfn.ISFORMULA(Assumptions!B2)</xm:f>
            <x14:dxf>
              <fill>
                <patternFill>
                  <bgColor theme="4" tint="0.59996337778862885"/>
                </patternFill>
              </fill>
            </x14:dxf>
          </x14:cfRule>
          <xm:sqref>C2:G2 D3:G3 C8:G9 C10:D10</xm:sqref>
        </x14:conditionalFormatting>
        <x14:conditionalFormatting xmlns:xm="http://schemas.microsoft.com/office/excel/2006/main">
          <x14:cfRule type="expression" priority="312" id="{D519077A-48F5-4F1B-A585-751E91EF1C0E}">
            <xm:f>_xlfn.ISFORMULA(Assumptions!B1)</xm:f>
            <x14:dxf>
              <fill>
                <patternFill>
                  <bgColor theme="4" tint="0.59996337778862885"/>
                </patternFill>
              </fill>
            </x14:dxf>
          </x14:cfRule>
          <xm:sqref>D1:G1</xm:sqref>
        </x14:conditionalFormatting>
        <x14:conditionalFormatting xmlns:xm="http://schemas.microsoft.com/office/excel/2006/main">
          <x14:cfRule type="expression" priority="361" id="{D519077A-48F5-4F1B-A585-751E91EF1C0E}">
            <xm:f>_xlfn.ISFORMULA(Assumptions!E2)</xm:f>
            <x14:dxf>
              <fill>
                <patternFill>
                  <bgColor theme="4" tint="0.59996337778862885"/>
                </patternFill>
              </fill>
            </x14:dxf>
          </x14:cfRule>
          <xm:sqref>I4:J7 H2:J3 H8:J9</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tint="-9.9978637043366805E-2"/>
    <pageSetUpPr fitToPage="1"/>
  </sheetPr>
  <dimension ref="A1:T171"/>
  <sheetViews>
    <sheetView showGridLines="0" view="pageLayout" topLeftCell="A37" zoomScale="70" zoomScaleNormal="70" zoomScaleSheetLayoutView="130" zoomScalePageLayoutView="70" workbookViewId="0"/>
  </sheetViews>
  <sheetFormatPr defaultColWidth="9.1328125" defaultRowHeight="13.15" x14ac:dyDescent="0.4"/>
  <cols>
    <col min="1" max="1" width="4.3984375" style="215" customWidth="1"/>
    <col min="2" max="2" width="4" style="215" customWidth="1"/>
    <col min="3" max="3" width="2" style="215" customWidth="1"/>
    <col min="4" max="4" width="35.3984375" style="215" customWidth="1"/>
    <col min="5" max="5" width="9.1328125" style="216" customWidth="1"/>
    <col min="6" max="6" width="4.73046875" style="215" customWidth="1"/>
    <col min="7" max="20" width="14.3984375" style="215" customWidth="1"/>
    <col min="21" max="32" width="10.86328125" style="215" customWidth="1"/>
    <col min="33" max="33" width="12.59765625" style="215" customWidth="1"/>
    <col min="34" max="16384" width="9.1328125" style="215"/>
  </cols>
  <sheetData>
    <row r="1" spans="1:20" s="248" customFormat="1" x14ac:dyDescent="0.4">
      <c r="A1" s="247" t="s">
        <v>289</v>
      </c>
      <c r="B1" s="247"/>
      <c r="C1" s="247"/>
      <c r="T1" s="249" t="s">
        <v>286</v>
      </c>
    </row>
    <row r="2" spans="1:20" s="248" customFormat="1" x14ac:dyDescent="0.4">
      <c r="A2" s="247"/>
      <c r="B2" s="247"/>
      <c r="C2" s="247"/>
      <c r="T2" s="249" t="s">
        <v>287</v>
      </c>
    </row>
    <row r="3" spans="1:20" s="248" customFormat="1" x14ac:dyDescent="0.4">
      <c r="A3" s="247" t="s">
        <v>288</v>
      </c>
      <c r="B3" s="247"/>
      <c r="C3" s="247"/>
    </row>
    <row r="4" spans="1:20" s="248" customFormat="1" x14ac:dyDescent="0.4">
      <c r="A4" s="247"/>
    </row>
    <row r="5" spans="1:20" s="248" customFormat="1" ht="12.75" x14ac:dyDescent="0.35">
      <c r="A5" s="750">
        <v>42690.756731365742</v>
      </c>
      <c r="B5" s="750"/>
      <c r="C5" s="750"/>
    </row>
    <row r="6" spans="1:20" s="248" customFormat="1" ht="12.75" x14ac:dyDescent="0.35">
      <c r="A6" s="250"/>
      <c r="B6" s="250"/>
      <c r="C6" s="250"/>
    </row>
    <row r="7" spans="1:20" s="256" customFormat="1" x14ac:dyDescent="0.4">
      <c r="A7" s="257"/>
      <c r="B7" s="251"/>
      <c r="C7" s="252"/>
      <c r="D7" s="252"/>
      <c r="E7" s="253" t="s">
        <v>0</v>
      </c>
      <c r="F7" s="254"/>
      <c r="G7" s="255">
        <v>2017</v>
      </c>
      <c r="H7" s="255">
        <v>2018</v>
      </c>
      <c r="I7" s="255">
        <v>2019</v>
      </c>
      <c r="J7" s="255">
        <v>2020</v>
      </c>
      <c r="K7" s="255">
        <v>2021</v>
      </c>
      <c r="L7" s="255">
        <v>2022</v>
      </c>
      <c r="M7" s="255">
        <v>2023</v>
      </c>
      <c r="N7" s="255">
        <v>2024</v>
      </c>
      <c r="O7" s="255">
        <v>2025</v>
      </c>
      <c r="P7" s="255">
        <v>2026</v>
      </c>
      <c r="Q7" s="255">
        <v>2027</v>
      </c>
      <c r="R7" s="255">
        <v>2028</v>
      </c>
      <c r="S7" s="255">
        <v>2029</v>
      </c>
      <c r="T7" s="255">
        <v>2030</v>
      </c>
    </row>
    <row r="8" spans="1:20" x14ac:dyDescent="0.4">
      <c r="B8" s="218"/>
      <c r="C8" s="218"/>
    </row>
    <row r="9" spans="1:20" x14ac:dyDescent="0.4">
      <c r="A9" s="225"/>
      <c r="B9" s="218" t="s">
        <v>4</v>
      </c>
      <c r="C9" s="218"/>
      <c r="F9" s="217"/>
      <c r="G9" s="219"/>
      <c r="H9" s="219"/>
      <c r="I9" s="219"/>
      <c r="J9" s="219"/>
      <c r="K9" s="219"/>
      <c r="L9" s="219"/>
      <c r="M9" s="219"/>
      <c r="N9" s="219"/>
      <c r="O9" s="219"/>
      <c r="P9" s="219"/>
      <c r="Q9" s="219"/>
      <c r="R9" s="219"/>
      <c r="S9" s="219"/>
      <c r="T9" s="219"/>
    </row>
    <row r="10" spans="1:20" x14ac:dyDescent="0.4">
      <c r="A10" s="225"/>
      <c r="B10" s="218"/>
      <c r="C10" s="218"/>
      <c r="F10" s="217"/>
      <c r="G10" s="219"/>
      <c r="H10" s="219"/>
      <c r="I10" s="219"/>
      <c r="J10" s="219"/>
      <c r="K10" s="219"/>
      <c r="L10" s="219"/>
      <c r="M10" s="219"/>
      <c r="N10" s="219"/>
      <c r="O10" s="219"/>
      <c r="P10" s="219"/>
      <c r="Q10" s="219"/>
      <c r="R10" s="219"/>
      <c r="S10" s="219"/>
      <c r="T10" s="219"/>
    </row>
    <row r="11" spans="1:20" x14ac:dyDescent="0.4">
      <c r="A11" s="225"/>
      <c r="B11" s="218"/>
      <c r="D11" s="215" t="str">
        <f>'Financial Overview'!D212</f>
        <v>Processing centres installed that year</v>
      </c>
      <c r="E11" s="216" t="str">
        <f>'Financial Overview'!E212</f>
        <v>Processing Centres</v>
      </c>
      <c r="G11" s="220">
        <v>1</v>
      </c>
      <c r="H11" s="220">
        <v>2</v>
      </c>
      <c r="I11" s="220">
        <v>3</v>
      </c>
      <c r="J11" s="220">
        <v>4</v>
      </c>
      <c r="K11" s="220">
        <f>'Financial Overview'!K212</f>
        <v>0</v>
      </c>
      <c r="L11" s="220">
        <f>'Financial Overview'!L212</f>
        <v>0</v>
      </c>
      <c r="M11" s="220">
        <f>'Financial Overview'!M212</f>
        <v>0</v>
      </c>
      <c r="N11" s="220">
        <f>'Financial Overview'!N212</f>
        <v>0</v>
      </c>
      <c r="O11" s="220">
        <f>'Financial Overview'!O212</f>
        <v>0</v>
      </c>
      <c r="P11" s="220">
        <f>'Financial Overview'!P212</f>
        <v>0</v>
      </c>
      <c r="Q11" s="220">
        <f>'Financial Overview'!Q212</f>
        <v>0</v>
      </c>
      <c r="R11" s="220">
        <f>'Financial Overview'!R212</f>
        <v>0</v>
      </c>
      <c r="S11" s="220">
        <f>'Financial Overview'!S212</f>
        <v>0</v>
      </c>
      <c r="T11" s="220">
        <f>'Financial Overview'!T212</f>
        <v>0</v>
      </c>
    </row>
    <row r="12" spans="1:20" hidden="1" x14ac:dyDescent="0.4">
      <c r="A12" s="225"/>
      <c r="B12" s="218"/>
      <c r="C12" s="218"/>
      <c r="D12" s="215" t="e">
        <f>'Financial Overview'!#REF!</f>
        <v>#REF!</v>
      </c>
      <c r="E12" s="216" t="e">
        <f>'Financial Overview'!#REF!</f>
        <v>#REF!</v>
      </c>
      <c r="G12" s="219" t="e">
        <f>'Financial Overview'!#REF!</f>
        <v>#REF!</v>
      </c>
      <c r="H12" s="219" t="e">
        <f>'Financial Overview'!#REF!</f>
        <v>#REF!</v>
      </c>
      <c r="I12" s="219" t="e">
        <f>'Financial Overview'!#REF!</f>
        <v>#REF!</v>
      </c>
      <c r="J12" s="219" t="e">
        <f>'Financial Overview'!#REF!</f>
        <v>#REF!</v>
      </c>
      <c r="K12" s="219" t="e">
        <f>'Financial Overview'!#REF!</f>
        <v>#REF!</v>
      </c>
      <c r="L12" s="219" t="e">
        <f>'Financial Overview'!#REF!</f>
        <v>#REF!</v>
      </c>
      <c r="M12" s="219" t="e">
        <f>'Financial Overview'!#REF!</f>
        <v>#REF!</v>
      </c>
      <c r="N12" s="219" t="e">
        <f>'Financial Overview'!#REF!</f>
        <v>#REF!</v>
      </c>
      <c r="O12" s="219" t="e">
        <f>'Financial Overview'!#REF!</f>
        <v>#REF!</v>
      </c>
      <c r="P12" s="219" t="e">
        <f>'Financial Overview'!#REF!</f>
        <v>#REF!</v>
      </c>
      <c r="Q12" s="219" t="e">
        <f>'Financial Overview'!#REF!</f>
        <v>#REF!</v>
      </c>
      <c r="R12" s="219" t="e">
        <f>'Financial Overview'!#REF!</f>
        <v>#REF!</v>
      </c>
      <c r="S12" s="219" t="e">
        <f>'Financial Overview'!#REF!</f>
        <v>#REF!</v>
      </c>
      <c r="T12" s="219" t="e">
        <f>'Financial Overview'!#REF!</f>
        <v>#REF!</v>
      </c>
    </row>
    <row r="13" spans="1:20" x14ac:dyDescent="0.4">
      <c r="A13" s="225"/>
      <c r="B13" s="218"/>
      <c r="D13" s="215" t="str">
        <f>'Financial Overview'!D213</f>
        <v>Total operational processing centres installed</v>
      </c>
      <c r="E13" s="216" t="str">
        <f>'Financial Overview'!E213</f>
        <v>Processing Centres</v>
      </c>
      <c r="G13" s="220">
        <v>1</v>
      </c>
      <c r="H13" s="220">
        <v>3</v>
      </c>
      <c r="I13" s="220">
        <v>6</v>
      </c>
      <c r="J13" s="220">
        <v>10</v>
      </c>
      <c r="K13" s="220">
        <v>10</v>
      </c>
      <c r="L13" s="220">
        <v>10</v>
      </c>
      <c r="M13" s="220">
        <v>10</v>
      </c>
      <c r="N13" s="220">
        <v>10</v>
      </c>
      <c r="O13" s="220">
        <v>10</v>
      </c>
      <c r="P13" s="220">
        <v>10</v>
      </c>
      <c r="Q13" s="220">
        <v>10</v>
      </c>
      <c r="R13" s="220">
        <v>10</v>
      </c>
      <c r="S13" s="220">
        <v>10</v>
      </c>
      <c r="T13" s="220">
        <v>10</v>
      </c>
    </row>
    <row r="14" spans="1:20" hidden="1" x14ac:dyDescent="0.4">
      <c r="A14" s="225"/>
      <c r="B14" s="218"/>
      <c r="C14" s="218"/>
      <c r="D14" s="215">
        <f>'Financial Overview'!D214</f>
        <v>0</v>
      </c>
      <c r="E14" s="216">
        <f>'Financial Overview'!E214</f>
        <v>0</v>
      </c>
      <c r="G14" s="219">
        <f>'Financial Overview'!G214</f>
        <v>0</v>
      </c>
      <c r="H14" s="219">
        <f>'Financial Overview'!H214</f>
        <v>0</v>
      </c>
      <c r="I14" s="219">
        <f>'Financial Overview'!I214</f>
        <v>0</v>
      </c>
      <c r="J14" s="219">
        <f>'Financial Overview'!J214</f>
        <v>0</v>
      </c>
      <c r="K14" s="219">
        <f>'Financial Overview'!K214</f>
        <v>0</v>
      </c>
      <c r="L14" s="219">
        <f>'Financial Overview'!L214</f>
        <v>0</v>
      </c>
      <c r="M14" s="219">
        <f>'Financial Overview'!M214</f>
        <v>0</v>
      </c>
      <c r="N14" s="219">
        <f>'Financial Overview'!N214</f>
        <v>0</v>
      </c>
      <c r="O14" s="219">
        <f>'Financial Overview'!O214</f>
        <v>0</v>
      </c>
      <c r="P14" s="219">
        <f>'Financial Overview'!P214</f>
        <v>0</v>
      </c>
      <c r="Q14" s="219">
        <f>'Financial Overview'!Q214</f>
        <v>0</v>
      </c>
      <c r="R14" s="219">
        <f>'Financial Overview'!R214</f>
        <v>0</v>
      </c>
      <c r="S14" s="219">
        <f>'Financial Overview'!S214</f>
        <v>0</v>
      </c>
      <c r="T14" s="219">
        <f>'Financial Overview'!T214</f>
        <v>0</v>
      </c>
    </row>
    <row r="15" spans="1:20" x14ac:dyDescent="0.4">
      <c r="A15" s="225"/>
      <c r="B15" s="218"/>
      <c r="D15" s="215" t="str">
        <f>'Financial Overview'!D217</f>
        <v>Shea butter yield schedule per processing centre</v>
      </c>
      <c r="E15" s="216" t="str">
        <f>'Financial Overview'!E217</f>
        <v>MT/Processing Centre</v>
      </c>
      <c r="G15" s="439">
        <v>1200</v>
      </c>
      <c r="H15" s="439">
        <v>1200</v>
      </c>
      <c r="I15" s="439">
        <v>1200</v>
      </c>
      <c r="J15" s="439">
        <v>1200</v>
      </c>
      <c r="K15" s="439">
        <v>1200</v>
      </c>
      <c r="L15" s="439">
        <v>1200</v>
      </c>
      <c r="M15" s="439">
        <v>1200</v>
      </c>
      <c r="N15" s="439">
        <v>1200</v>
      </c>
      <c r="O15" s="439">
        <v>1200</v>
      </c>
      <c r="P15" s="439">
        <v>1200</v>
      </c>
      <c r="Q15" s="439">
        <v>1200</v>
      </c>
      <c r="R15" s="439">
        <v>1200</v>
      </c>
      <c r="S15" s="439">
        <v>1200</v>
      </c>
      <c r="T15" s="439">
        <v>1200</v>
      </c>
    </row>
    <row r="16" spans="1:20" hidden="1" x14ac:dyDescent="0.4">
      <c r="A16" s="225"/>
      <c r="B16" s="218"/>
      <c r="C16" s="218"/>
      <c r="D16" s="215">
        <f>'Financial Overview'!D218</f>
        <v>0</v>
      </c>
      <c r="E16" s="216">
        <f>'Financial Overview'!E218</f>
        <v>0</v>
      </c>
      <c r="G16" s="220">
        <f>'Financial Overview'!G218</f>
        <v>0</v>
      </c>
      <c r="H16" s="220">
        <f>'Financial Overview'!H218</f>
        <v>0</v>
      </c>
      <c r="I16" s="220">
        <f>'Financial Overview'!I218</f>
        <v>0</v>
      </c>
      <c r="J16" s="220">
        <f>'Financial Overview'!J218</f>
        <v>0</v>
      </c>
      <c r="K16" s="220">
        <f>'Financial Overview'!K218</f>
        <v>0</v>
      </c>
      <c r="L16" s="220">
        <f>'Financial Overview'!L218</f>
        <v>0</v>
      </c>
      <c r="M16" s="220">
        <f>'Financial Overview'!M218</f>
        <v>0</v>
      </c>
      <c r="N16" s="220">
        <f>'Financial Overview'!N218</f>
        <v>0</v>
      </c>
      <c r="O16" s="220">
        <f>'Financial Overview'!O218</f>
        <v>0</v>
      </c>
      <c r="P16" s="220">
        <f>'Financial Overview'!P218</f>
        <v>0</v>
      </c>
      <c r="Q16" s="220">
        <f>'Financial Overview'!Q218</f>
        <v>0</v>
      </c>
      <c r="R16" s="220">
        <f>'Financial Overview'!R218</f>
        <v>0</v>
      </c>
      <c r="S16" s="220">
        <f>'Financial Overview'!S218</f>
        <v>0</v>
      </c>
      <c r="T16" s="220">
        <f>'Financial Overview'!T218</f>
        <v>0</v>
      </c>
    </row>
    <row r="17" spans="1:20" x14ac:dyDescent="0.4">
      <c r="A17" s="225"/>
      <c r="B17" s="218"/>
      <c r="C17" s="218"/>
      <c r="G17" s="155" t="s">
        <v>22</v>
      </c>
      <c r="H17" s="155" t="s">
        <v>22</v>
      </c>
      <c r="I17" s="155" t="s">
        <v>22</v>
      </c>
      <c r="J17" s="155" t="s">
        <v>22</v>
      </c>
      <c r="K17" s="155" t="s">
        <v>22</v>
      </c>
      <c r="L17" s="155" t="s">
        <v>22</v>
      </c>
      <c r="M17" s="155" t="s">
        <v>22</v>
      </c>
      <c r="N17" s="155" t="s">
        <v>22</v>
      </c>
      <c r="O17" s="155" t="s">
        <v>22</v>
      </c>
      <c r="P17" s="155" t="s">
        <v>22</v>
      </c>
      <c r="Q17" s="155" t="s">
        <v>22</v>
      </c>
      <c r="R17" s="155" t="s">
        <v>22</v>
      </c>
      <c r="S17" s="155" t="s">
        <v>22</v>
      </c>
      <c r="T17" s="155" t="s">
        <v>22</v>
      </c>
    </row>
    <row r="18" spans="1:20" x14ac:dyDescent="0.4">
      <c r="A18" s="225"/>
      <c r="B18" s="218"/>
      <c r="D18" s="215" t="str">
        <f>'Financial Overview'!D220</f>
        <v>Total shea butter produced by centres</v>
      </c>
      <c r="E18" s="216" t="str">
        <f>'Financial Overview'!E220</f>
        <v>MT</v>
      </c>
      <c r="G18" s="220">
        <f>'Financial Overview'!G220</f>
        <v>0</v>
      </c>
      <c r="H18" s="220">
        <f>'Financial Overview'!H220</f>
        <v>2400</v>
      </c>
      <c r="I18" s="220">
        <f>'Financial Overview'!I220</f>
        <v>2400</v>
      </c>
      <c r="J18" s="220">
        <f>'Financial Overview'!J220</f>
        <v>2400</v>
      </c>
      <c r="K18" s="220">
        <f>'Financial Overview'!K220</f>
        <v>2400</v>
      </c>
      <c r="L18" s="220">
        <f>'Financial Overview'!L220</f>
        <v>2400</v>
      </c>
      <c r="M18" s="220">
        <f>'Financial Overview'!M220</f>
        <v>2400</v>
      </c>
      <c r="N18" s="220">
        <f>'Financial Overview'!N220</f>
        <v>2400</v>
      </c>
      <c r="O18" s="220">
        <f>'Financial Overview'!O220</f>
        <v>2400</v>
      </c>
      <c r="P18" s="220">
        <f>'Financial Overview'!P220</f>
        <v>2400</v>
      </c>
      <c r="Q18" s="220">
        <f>'Financial Overview'!Q220</f>
        <v>2400</v>
      </c>
      <c r="R18" s="220">
        <f>'Financial Overview'!R220</f>
        <v>2400</v>
      </c>
      <c r="S18" s="220">
        <f>'Financial Overview'!S220</f>
        <v>2400</v>
      </c>
      <c r="T18" s="220">
        <f>'Financial Overview'!T220</f>
        <v>2400</v>
      </c>
    </row>
    <row r="19" spans="1:20" hidden="1" x14ac:dyDescent="0.4">
      <c r="A19" s="225"/>
      <c r="B19" s="218"/>
      <c r="D19" s="215" t="e">
        <f>'Financial Overview'!#REF!</f>
        <v>#REF!</v>
      </c>
      <c r="E19" s="216" t="e">
        <f>'Financial Overview'!#REF!</f>
        <v>#REF!</v>
      </c>
      <c r="G19" s="220" t="e">
        <f>'Financial Overview'!#REF!</f>
        <v>#REF!</v>
      </c>
      <c r="H19" s="220" t="e">
        <f>'Financial Overview'!#REF!</f>
        <v>#REF!</v>
      </c>
      <c r="I19" s="220" t="e">
        <f>'Financial Overview'!#REF!</f>
        <v>#REF!</v>
      </c>
      <c r="J19" s="220" t="e">
        <f>'Financial Overview'!#REF!</f>
        <v>#REF!</v>
      </c>
      <c r="K19" s="220" t="e">
        <f>'Financial Overview'!#REF!</f>
        <v>#REF!</v>
      </c>
      <c r="L19" s="220" t="e">
        <f>'Financial Overview'!#REF!</f>
        <v>#REF!</v>
      </c>
      <c r="M19" s="220" t="e">
        <f>'Financial Overview'!#REF!</f>
        <v>#REF!</v>
      </c>
      <c r="N19" s="220" t="e">
        <f>'Financial Overview'!#REF!</f>
        <v>#REF!</v>
      </c>
      <c r="O19" s="220" t="e">
        <f>'Financial Overview'!#REF!</f>
        <v>#REF!</v>
      </c>
      <c r="P19" s="220" t="e">
        <f>'Financial Overview'!#REF!</f>
        <v>#REF!</v>
      </c>
      <c r="Q19" s="220" t="e">
        <f>'Financial Overview'!#REF!</f>
        <v>#REF!</v>
      </c>
      <c r="R19" s="220" t="e">
        <f>'Financial Overview'!#REF!</f>
        <v>#REF!</v>
      </c>
      <c r="S19" s="220" t="e">
        <f>'Financial Overview'!#REF!</f>
        <v>#REF!</v>
      </c>
      <c r="T19" s="220" t="e">
        <f>'Financial Overview'!#REF!</f>
        <v>#REF!</v>
      </c>
    </row>
    <row r="20" spans="1:20" hidden="1" x14ac:dyDescent="0.4">
      <c r="A20" s="225"/>
      <c r="B20" s="218"/>
      <c r="D20" s="215" t="str">
        <f>'Financial Overview'!D231</f>
        <v>Total number of processing centres</v>
      </c>
      <c r="E20" s="216" t="str">
        <f>'Financial Overview'!E231</f>
        <v>Processing Centres</v>
      </c>
      <c r="G20" s="220">
        <f>'Financial Overview'!G231</f>
        <v>0</v>
      </c>
      <c r="H20" s="220">
        <f>'Financial Overview'!H231</f>
        <v>4</v>
      </c>
      <c r="I20" s="220">
        <f>'Financial Overview'!I231</f>
        <v>4</v>
      </c>
      <c r="J20" s="220">
        <f>'Financial Overview'!J231</f>
        <v>4</v>
      </c>
      <c r="K20" s="220">
        <f>'Financial Overview'!K231</f>
        <v>4</v>
      </c>
      <c r="L20" s="220">
        <f>'Financial Overview'!L231</f>
        <v>4</v>
      </c>
      <c r="M20" s="220">
        <f>'Financial Overview'!M231</f>
        <v>4</v>
      </c>
      <c r="N20" s="220">
        <f>'Financial Overview'!N231</f>
        <v>4</v>
      </c>
      <c r="O20" s="220">
        <f>'Financial Overview'!O231</f>
        <v>4</v>
      </c>
      <c r="P20" s="220">
        <f>'Financial Overview'!P231</f>
        <v>4</v>
      </c>
      <c r="Q20" s="220">
        <f>'Financial Overview'!Q231</f>
        <v>4</v>
      </c>
      <c r="R20" s="220">
        <f>'Financial Overview'!R231</f>
        <v>4</v>
      </c>
      <c r="S20" s="220">
        <f>'Financial Overview'!S231</f>
        <v>4</v>
      </c>
      <c r="T20" s="220">
        <f>'Financial Overview'!T231</f>
        <v>4</v>
      </c>
    </row>
    <row r="21" spans="1:20" hidden="1" x14ac:dyDescent="0.4">
      <c r="A21" s="225"/>
      <c r="B21" s="218"/>
      <c r="D21" s="215" t="str">
        <f>'Financial Overview'!D232</f>
        <v>Total number of processing centres</v>
      </c>
      <c r="E21" s="216" t="str">
        <f>'Financial Overview'!E232</f>
        <v>Processing Centres</v>
      </c>
      <c r="G21" s="220">
        <f>'Financial Overview'!G232</f>
        <v>0</v>
      </c>
      <c r="H21" s="220">
        <f>'Financial Overview'!H232</f>
        <v>4</v>
      </c>
      <c r="I21" s="220">
        <f>'Financial Overview'!I232</f>
        <v>4</v>
      </c>
      <c r="J21" s="220">
        <f>'Financial Overview'!J232</f>
        <v>4</v>
      </c>
      <c r="K21" s="220">
        <f>'Financial Overview'!K232</f>
        <v>4</v>
      </c>
      <c r="L21" s="220">
        <f>'Financial Overview'!L232</f>
        <v>4</v>
      </c>
      <c r="M21" s="220">
        <f>'Financial Overview'!M232</f>
        <v>4</v>
      </c>
      <c r="N21" s="220">
        <f>'Financial Overview'!N232</f>
        <v>4</v>
      </c>
      <c r="O21" s="220">
        <f>'Financial Overview'!O232</f>
        <v>4</v>
      </c>
      <c r="P21" s="220">
        <f>'Financial Overview'!P232</f>
        <v>4</v>
      </c>
      <c r="Q21" s="220">
        <f>'Financial Overview'!Q232</f>
        <v>4</v>
      </c>
      <c r="R21" s="220">
        <f>'Financial Overview'!R232</f>
        <v>4</v>
      </c>
      <c r="S21" s="220">
        <f>'Financial Overview'!S232</f>
        <v>4</v>
      </c>
      <c r="T21" s="220">
        <f>'Financial Overview'!T232</f>
        <v>4</v>
      </c>
    </row>
    <row r="22" spans="1:20" hidden="1" x14ac:dyDescent="0.4">
      <c r="A22" s="225"/>
      <c r="B22" s="218"/>
      <c r="D22" s="215" t="str">
        <f>'Financial Overview'!D233</f>
        <v>Total number of processing centres</v>
      </c>
      <c r="E22" s="216" t="str">
        <f>'Financial Overview'!E233</f>
        <v>Processing Centres</v>
      </c>
      <c r="G22" s="220">
        <f>'Financial Overview'!G233</f>
        <v>0</v>
      </c>
      <c r="H22" s="220">
        <f>'Financial Overview'!H233</f>
        <v>4</v>
      </c>
      <c r="I22" s="220">
        <f>'Financial Overview'!I233</f>
        <v>4</v>
      </c>
      <c r="J22" s="220">
        <f>'Financial Overview'!J233</f>
        <v>4</v>
      </c>
      <c r="K22" s="220">
        <f>'Financial Overview'!K233</f>
        <v>4</v>
      </c>
      <c r="L22" s="220">
        <f>'Financial Overview'!L233</f>
        <v>4</v>
      </c>
      <c r="M22" s="220">
        <f>'Financial Overview'!M233</f>
        <v>4</v>
      </c>
      <c r="N22" s="220">
        <f>'Financial Overview'!N233</f>
        <v>4</v>
      </c>
      <c r="O22" s="220">
        <f>'Financial Overview'!O233</f>
        <v>4</v>
      </c>
      <c r="P22" s="220">
        <f>'Financial Overview'!P233</f>
        <v>4</v>
      </c>
      <c r="Q22" s="220">
        <f>'Financial Overview'!Q233</f>
        <v>4</v>
      </c>
      <c r="R22" s="220">
        <f>'Financial Overview'!R233</f>
        <v>4</v>
      </c>
      <c r="S22" s="220">
        <f>'Financial Overview'!S233</f>
        <v>4</v>
      </c>
      <c r="T22" s="220">
        <f>'Financial Overview'!T233</f>
        <v>4</v>
      </c>
    </row>
    <row r="23" spans="1:20" hidden="1" x14ac:dyDescent="0.4">
      <c r="A23" s="225"/>
      <c r="B23" s="218"/>
      <c r="C23" s="218"/>
      <c r="D23" s="215">
        <f>'Financial Overview'!D234</f>
        <v>0</v>
      </c>
      <c r="E23" s="216">
        <f>'Financial Overview'!E234</f>
        <v>0</v>
      </c>
      <c r="G23" s="220">
        <f>'Financial Overview'!G234</f>
        <v>0</v>
      </c>
      <c r="H23" s="220">
        <f>'Financial Overview'!H234</f>
        <v>0</v>
      </c>
      <c r="I23" s="220">
        <f>'Financial Overview'!I234</f>
        <v>0</v>
      </c>
      <c r="J23" s="220">
        <f>'Financial Overview'!J234</f>
        <v>0</v>
      </c>
      <c r="K23" s="220">
        <f>'Financial Overview'!K234</f>
        <v>0</v>
      </c>
      <c r="L23" s="220">
        <f>'Financial Overview'!L234</f>
        <v>0</v>
      </c>
      <c r="M23" s="220">
        <f>'Financial Overview'!M234</f>
        <v>0</v>
      </c>
      <c r="N23" s="220">
        <f>'Financial Overview'!N234</f>
        <v>0</v>
      </c>
      <c r="O23" s="220">
        <f>'Financial Overview'!O234</f>
        <v>0</v>
      </c>
      <c r="P23" s="220">
        <f>'Financial Overview'!P234</f>
        <v>0</v>
      </c>
      <c r="Q23" s="220">
        <f>'Financial Overview'!Q234</f>
        <v>0</v>
      </c>
      <c r="R23" s="220">
        <f>'Financial Overview'!R234</f>
        <v>0</v>
      </c>
      <c r="S23" s="220">
        <f>'Financial Overview'!S234</f>
        <v>0</v>
      </c>
      <c r="T23" s="220">
        <f>'Financial Overview'!T234</f>
        <v>0</v>
      </c>
    </row>
    <row r="24" spans="1:20" hidden="1" x14ac:dyDescent="0.4">
      <c r="A24" s="225"/>
      <c r="B24" s="218"/>
      <c r="D24" s="215" t="e">
        <f>'Financial Overview'!#REF!</f>
        <v>#REF!</v>
      </c>
      <c r="E24" s="216" t="e">
        <f>'Financial Overview'!#REF!</f>
        <v>#REF!</v>
      </c>
      <c r="G24" s="220" t="e">
        <f>'Financial Overview'!#REF!</f>
        <v>#REF!</v>
      </c>
      <c r="H24" s="220" t="e">
        <f>'Financial Overview'!#REF!</f>
        <v>#REF!</v>
      </c>
      <c r="I24" s="220" t="e">
        <f>'Financial Overview'!#REF!</f>
        <v>#REF!</v>
      </c>
      <c r="J24" s="220" t="e">
        <f>'Financial Overview'!#REF!</f>
        <v>#REF!</v>
      </c>
      <c r="K24" s="220" t="e">
        <f>'Financial Overview'!#REF!</f>
        <v>#REF!</v>
      </c>
      <c r="L24" s="220" t="e">
        <f>'Financial Overview'!#REF!</f>
        <v>#REF!</v>
      </c>
      <c r="M24" s="220" t="e">
        <f>'Financial Overview'!#REF!</f>
        <v>#REF!</v>
      </c>
      <c r="N24" s="220" t="e">
        <f>'Financial Overview'!#REF!</f>
        <v>#REF!</v>
      </c>
      <c r="O24" s="220" t="e">
        <f>'Financial Overview'!#REF!</f>
        <v>#REF!</v>
      </c>
      <c r="P24" s="220" t="e">
        <f>'Financial Overview'!#REF!</f>
        <v>#REF!</v>
      </c>
      <c r="Q24" s="220" t="e">
        <f>'Financial Overview'!#REF!</f>
        <v>#REF!</v>
      </c>
      <c r="R24" s="220" t="e">
        <f>'Financial Overview'!#REF!</f>
        <v>#REF!</v>
      </c>
      <c r="S24" s="220" t="e">
        <f>'Financial Overview'!#REF!</f>
        <v>#REF!</v>
      </c>
      <c r="T24" s="220" t="e">
        <f>'Financial Overview'!#REF!</f>
        <v>#REF!</v>
      </c>
    </row>
    <row r="25" spans="1:20" hidden="1" x14ac:dyDescent="0.4">
      <c r="A25" s="225"/>
      <c r="B25" s="218"/>
      <c r="D25" s="215" t="str">
        <f>'Financial Overview'!D245</f>
        <v>Market 8: TBC</v>
      </c>
      <c r="E25" s="216" t="str">
        <f>'Financial Overview'!E245</f>
        <v>USD/MT</v>
      </c>
      <c r="G25" s="220">
        <f>'Financial Overview'!G245</f>
        <v>0</v>
      </c>
      <c r="H25" s="220">
        <f>'Financial Overview'!H245</f>
        <v>0</v>
      </c>
      <c r="I25" s="220">
        <f>'Financial Overview'!I245</f>
        <v>0</v>
      </c>
      <c r="J25" s="220">
        <f>'Financial Overview'!J245</f>
        <v>0</v>
      </c>
      <c r="K25" s="220">
        <f>'Financial Overview'!K245</f>
        <v>0</v>
      </c>
      <c r="L25" s="220">
        <f>'Financial Overview'!L245</f>
        <v>0</v>
      </c>
      <c r="M25" s="220">
        <f>'Financial Overview'!M245</f>
        <v>0</v>
      </c>
      <c r="N25" s="220">
        <f>'Financial Overview'!N245</f>
        <v>0</v>
      </c>
      <c r="O25" s="220">
        <f>'Financial Overview'!O245</f>
        <v>0</v>
      </c>
      <c r="P25" s="220">
        <f>'Financial Overview'!P245</f>
        <v>0</v>
      </c>
      <c r="Q25" s="220">
        <f>'Financial Overview'!Q245</f>
        <v>0</v>
      </c>
      <c r="R25" s="220">
        <f>'Financial Overview'!R245</f>
        <v>0</v>
      </c>
      <c r="S25" s="220">
        <f>'Financial Overview'!S245</f>
        <v>0</v>
      </c>
      <c r="T25" s="220">
        <f>'Financial Overview'!T245</f>
        <v>0</v>
      </c>
    </row>
    <row r="26" spans="1:20" hidden="1" x14ac:dyDescent="0.4">
      <c r="A26" s="225"/>
      <c r="B26" s="218"/>
      <c r="D26" s="215" t="str">
        <f>'Financial Overview'!D247</f>
        <v>Compost sales</v>
      </c>
      <c r="E26" s="216" t="str">
        <f>'Financial Overview'!E247</f>
        <v>USD/Collection Site</v>
      </c>
      <c r="G26" s="220">
        <f>'Financial Overview'!G247</f>
        <v>30000</v>
      </c>
      <c r="H26" s="220">
        <f>'Financial Overview'!H247</f>
        <v>30600</v>
      </c>
      <c r="I26" s="220">
        <f>'Financial Overview'!I247</f>
        <v>31212</v>
      </c>
      <c r="J26" s="220">
        <f>'Financial Overview'!J247</f>
        <v>31836.240000000002</v>
      </c>
      <c r="K26" s="220">
        <f>'Financial Overview'!K247</f>
        <v>32472.964800000002</v>
      </c>
      <c r="L26" s="220">
        <f>'Financial Overview'!L247</f>
        <v>33122.424096000002</v>
      </c>
      <c r="M26" s="220">
        <f>'Financial Overview'!M247</f>
        <v>33784.872577920003</v>
      </c>
      <c r="N26" s="220">
        <f>'Financial Overview'!N247</f>
        <v>34460.570029478404</v>
      </c>
      <c r="O26" s="220">
        <f>'Financial Overview'!O247</f>
        <v>35149.781430067975</v>
      </c>
      <c r="P26" s="220">
        <f>'Financial Overview'!P247</f>
        <v>35852.777058669337</v>
      </c>
      <c r="Q26" s="220">
        <f>'Financial Overview'!Q247</f>
        <v>36569.832599842724</v>
      </c>
      <c r="R26" s="220">
        <f>'Financial Overview'!R247</f>
        <v>37301.229251839577</v>
      </c>
      <c r="S26" s="220">
        <f>'Financial Overview'!S247</f>
        <v>38047.253836876371</v>
      </c>
      <c r="T26" s="220">
        <f>'Financial Overview'!T247</f>
        <v>38808.198913613902</v>
      </c>
    </row>
    <row r="27" spans="1:20" hidden="1" x14ac:dyDescent="0.4">
      <c r="A27" s="225"/>
      <c r="B27" s="218"/>
      <c r="D27" s="215" t="str">
        <f>'Financial Overview'!D248</f>
        <v>Fuel sales</v>
      </c>
      <c r="E27" s="216" t="str">
        <f>'Financial Overview'!E248</f>
        <v>USD/Collection Site</v>
      </c>
      <c r="G27" s="220">
        <f>'Financial Overview'!G248</f>
        <v>15000</v>
      </c>
      <c r="H27" s="220">
        <f>'Financial Overview'!H248</f>
        <v>15300</v>
      </c>
      <c r="I27" s="220">
        <f>'Financial Overview'!I248</f>
        <v>15606</v>
      </c>
      <c r="J27" s="220">
        <f>'Financial Overview'!J248</f>
        <v>15918.12</v>
      </c>
      <c r="K27" s="220">
        <f>'Financial Overview'!K248</f>
        <v>16236.482400000001</v>
      </c>
      <c r="L27" s="220">
        <f>'Financial Overview'!L248</f>
        <v>16561.212048000001</v>
      </c>
      <c r="M27" s="220">
        <f>'Financial Overview'!M248</f>
        <v>16892.436288960002</v>
      </c>
      <c r="N27" s="220">
        <f>'Financial Overview'!N248</f>
        <v>17230.285014739202</v>
      </c>
      <c r="O27" s="220">
        <f>'Financial Overview'!O248</f>
        <v>17574.890715033987</v>
      </c>
      <c r="P27" s="220">
        <f>'Financial Overview'!P248</f>
        <v>17926.388529334668</v>
      </c>
      <c r="Q27" s="220">
        <f>'Financial Overview'!Q248</f>
        <v>18284.916299921362</v>
      </c>
      <c r="R27" s="220">
        <f>'Financial Overview'!R248</f>
        <v>18650.614625919789</v>
      </c>
      <c r="S27" s="220">
        <f>'Financial Overview'!S248</f>
        <v>19023.626918438185</v>
      </c>
      <c r="T27" s="220">
        <f>'Financial Overview'!T248</f>
        <v>19404.099456806951</v>
      </c>
    </row>
    <row r="28" spans="1:20" hidden="1" x14ac:dyDescent="0.4">
      <c r="A28" s="225"/>
      <c r="B28" s="218"/>
      <c r="D28" s="215" t="str">
        <f>'Financial Overview'!D249</f>
        <v>Carbon asset sales</v>
      </c>
      <c r="E28" s="216" t="str">
        <f>'Financial Overview'!E249</f>
        <v>USD/Processing Centre</v>
      </c>
      <c r="G28" s="220">
        <f>'Financial Overview'!G249</f>
        <v>0</v>
      </c>
      <c r="H28" s="220">
        <f>'Financial Overview'!H249</f>
        <v>0</v>
      </c>
      <c r="I28" s="220">
        <f>'Financial Overview'!I249</f>
        <v>0</v>
      </c>
      <c r="J28" s="220">
        <f>'Financial Overview'!J249</f>
        <v>0</v>
      </c>
      <c r="K28" s="220">
        <f>'Financial Overview'!K249</f>
        <v>0</v>
      </c>
      <c r="L28" s="220">
        <f>'Financial Overview'!L249</f>
        <v>0</v>
      </c>
      <c r="M28" s="220">
        <f>'Financial Overview'!M249</f>
        <v>0</v>
      </c>
      <c r="N28" s="220">
        <f>'Financial Overview'!N249</f>
        <v>0</v>
      </c>
      <c r="O28" s="220">
        <f>'Financial Overview'!O249</f>
        <v>0</v>
      </c>
      <c r="P28" s="220">
        <f>'Financial Overview'!P249</f>
        <v>0</v>
      </c>
      <c r="Q28" s="220">
        <f>'Financial Overview'!Q249</f>
        <v>0</v>
      </c>
      <c r="R28" s="220">
        <f>'Financial Overview'!R249</f>
        <v>0</v>
      </c>
      <c r="S28" s="220">
        <f>'Financial Overview'!S249</f>
        <v>0</v>
      </c>
      <c r="T28" s="220">
        <f>'Financial Overview'!T249</f>
        <v>0</v>
      </c>
    </row>
    <row r="29" spans="1:20" hidden="1" x14ac:dyDescent="0.4">
      <c r="D29" s="215">
        <f>'Financial Overview'!D250</f>
        <v>0</v>
      </c>
      <c r="E29" s="215">
        <f>'Financial Overview'!E250</f>
        <v>0</v>
      </c>
      <c r="G29" s="215">
        <f>'Financial Overview'!G250</f>
        <v>0</v>
      </c>
      <c r="H29" s="215">
        <f>'Financial Overview'!H250</f>
        <v>204000</v>
      </c>
      <c r="I29" s="215">
        <f>'Financial Overview'!I250</f>
        <v>208080</v>
      </c>
      <c r="J29" s="215">
        <f>'Financial Overview'!J250</f>
        <v>212241.6</v>
      </c>
      <c r="K29" s="215">
        <f>'Financial Overview'!K250</f>
        <v>216486.432</v>
      </c>
      <c r="L29" s="215">
        <f>'Financial Overview'!L250</f>
        <v>220816.16064000002</v>
      </c>
      <c r="M29" s="215">
        <f>'Financial Overview'!M250</f>
        <v>225232.48385280001</v>
      </c>
      <c r="N29" s="215">
        <f>'Financial Overview'!N250</f>
        <v>229737.13352985602</v>
      </c>
      <c r="O29" s="215">
        <f>'Financial Overview'!O250</f>
        <v>234331.87620045315</v>
      </c>
      <c r="P29" s="215">
        <f>'Financial Overview'!P250</f>
        <v>239018.51372446222</v>
      </c>
      <c r="Q29" s="215">
        <f>'Financial Overview'!Q250</f>
        <v>243798.88399895144</v>
      </c>
      <c r="R29" s="215">
        <f>'Financial Overview'!R250</f>
        <v>248674.86167893047</v>
      </c>
      <c r="S29" s="215">
        <f>'Financial Overview'!S250</f>
        <v>253648.35891250914</v>
      </c>
      <c r="T29" s="215">
        <f>'Financial Overview'!T250</f>
        <v>258721.32609075928</v>
      </c>
    </row>
    <row r="30" spans="1:20" x14ac:dyDescent="0.4">
      <c r="E30" s="215"/>
    </row>
    <row r="31" spans="1:20" x14ac:dyDescent="0.4">
      <c r="A31" s="225"/>
      <c r="B31" s="218"/>
      <c r="D31" s="215" t="e">
        <f>'Financial Overview'!#REF!</f>
        <v>#REF!</v>
      </c>
      <c r="E31" s="216" t="e">
        <f>'Financial Overview'!#REF!</f>
        <v>#REF!</v>
      </c>
      <c r="G31" s="220" t="e">
        <f>'Financial Overview'!#REF!</f>
        <v>#REF!</v>
      </c>
      <c r="H31" s="220" t="e">
        <f>'Financial Overview'!#REF!</f>
        <v>#REF!</v>
      </c>
      <c r="I31" s="220" t="e">
        <f>'Financial Overview'!#REF!</f>
        <v>#REF!</v>
      </c>
      <c r="J31" s="220" t="e">
        <f>'Financial Overview'!#REF!</f>
        <v>#REF!</v>
      </c>
      <c r="K31" s="220" t="e">
        <f>'Financial Overview'!#REF!</f>
        <v>#REF!</v>
      </c>
      <c r="L31" s="220" t="e">
        <f>'Financial Overview'!#REF!</f>
        <v>#REF!</v>
      </c>
      <c r="M31" s="220" t="e">
        <f>'Financial Overview'!#REF!</f>
        <v>#REF!</v>
      </c>
      <c r="N31" s="220" t="e">
        <f>'Financial Overview'!#REF!</f>
        <v>#REF!</v>
      </c>
      <c r="O31" s="220" t="e">
        <f>'Financial Overview'!#REF!</f>
        <v>#REF!</v>
      </c>
      <c r="P31" s="220" t="e">
        <f>'Financial Overview'!#REF!</f>
        <v>#REF!</v>
      </c>
      <c r="Q31" s="220" t="e">
        <f>'Financial Overview'!#REF!</f>
        <v>#REF!</v>
      </c>
      <c r="R31" s="220" t="e">
        <f>'Financial Overview'!#REF!</f>
        <v>#REF!</v>
      </c>
      <c r="S31" s="220" t="e">
        <f>'Financial Overview'!#REF!</f>
        <v>#REF!</v>
      </c>
      <c r="T31" s="220" t="e">
        <f>'Financial Overview'!#REF!</f>
        <v>#REF!</v>
      </c>
    </row>
    <row r="32" spans="1:20" x14ac:dyDescent="0.4">
      <c r="A32" s="225"/>
      <c r="B32" s="218"/>
      <c r="D32" s="215" t="e">
        <f>'Financial Overview'!#REF!</f>
        <v>#REF!</v>
      </c>
      <c r="E32" s="216" t="e">
        <f>'Financial Overview'!#REF!</f>
        <v>#REF!</v>
      </c>
      <c r="G32" s="220" t="e">
        <f>'Financial Overview'!#REF!</f>
        <v>#REF!</v>
      </c>
      <c r="H32" s="220" t="e">
        <f>'Financial Overview'!#REF!</f>
        <v>#REF!</v>
      </c>
      <c r="I32" s="220" t="e">
        <f>'Financial Overview'!#REF!</f>
        <v>#REF!</v>
      </c>
      <c r="J32" s="220" t="e">
        <f>'Financial Overview'!#REF!</f>
        <v>#REF!</v>
      </c>
      <c r="K32" s="220" t="e">
        <f>'Financial Overview'!#REF!</f>
        <v>#REF!</v>
      </c>
      <c r="L32" s="220" t="e">
        <f>'Financial Overview'!#REF!</f>
        <v>#REF!</v>
      </c>
      <c r="M32" s="220" t="e">
        <f>'Financial Overview'!#REF!</f>
        <v>#REF!</v>
      </c>
      <c r="N32" s="220" t="e">
        <f>'Financial Overview'!#REF!</f>
        <v>#REF!</v>
      </c>
      <c r="O32" s="220" t="e">
        <f>'Financial Overview'!#REF!</f>
        <v>#REF!</v>
      </c>
      <c r="P32" s="220" t="e">
        <f>'Financial Overview'!#REF!</f>
        <v>#REF!</v>
      </c>
      <c r="Q32" s="220" t="e">
        <f>'Financial Overview'!#REF!</f>
        <v>#REF!</v>
      </c>
      <c r="R32" s="220" t="e">
        <f>'Financial Overview'!#REF!</f>
        <v>#REF!</v>
      </c>
      <c r="S32" s="220" t="e">
        <f>'Financial Overview'!#REF!</f>
        <v>#REF!</v>
      </c>
      <c r="T32" s="220" t="e">
        <f>'Financial Overview'!#REF!</f>
        <v>#REF!</v>
      </c>
    </row>
    <row r="33" spans="1:20" x14ac:dyDescent="0.4">
      <c r="A33" s="225"/>
      <c r="B33" s="218"/>
      <c r="D33" s="215" t="str">
        <f>'Financial Overview'!D262</f>
        <v>Compost sales</v>
      </c>
      <c r="E33" s="216" t="str">
        <f>'Financial Overview'!E262</f>
        <v>USD</v>
      </c>
      <c r="G33" s="220">
        <f>'Financial Overview'!G262</f>
        <v>0</v>
      </c>
      <c r="H33" s="220">
        <f>'Financial Overview'!H262</f>
        <v>244800</v>
      </c>
      <c r="I33" s="220">
        <f>'Financial Overview'!I262</f>
        <v>249696</v>
      </c>
      <c r="J33" s="220">
        <f>'Financial Overview'!J262</f>
        <v>254689.92000000001</v>
      </c>
      <c r="K33" s="220">
        <f>'Financial Overview'!K262</f>
        <v>259783.71840000001</v>
      </c>
      <c r="L33" s="220">
        <f>'Financial Overview'!L262</f>
        <v>264979.39276800002</v>
      </c>
      <c r="M33" s="220">
        <f>'Financial Overview'!M262</f>
        <v>270278.98062336002</v>
      </c>
      <c r="N33" s="220">
        <f>'Financial Overview'!N262</f>
        <v>275684.56023582723</v>
      </c>
      <c r="O33" s="220">
        <f>'Financial Overview'!O262</f>
        <v>281198.2514405438</v>
      </c>
      <c r="P33" s="220">
        <f>'Financial Overview'!P262</f>
        <v>286822.21646935469</v>
      </c>
      <c r="Q33" s="220">
        <f>'Financial Overview'!Q262</f>
        <v>292558.6607987418</v>
      </c>
      <c r="R33" s="220">
        <f>'Financial Overview'!R262</f>
        <v>298409.83401471662</v>
      </c>
      <c r="S33" s="220">
        <f>'Financial Overview'!S262</f>
        <v>304378.03069501097</v>
      </c>
      <c r="T33" s="220">
        <f>'Financial Overview'!T262</f>
        <v>310465.59130891121</v>
      </c>
    </row>
    <row r="34" spans="1:20" x14ac:dyDescent="0.4">
      <c r="A34" s="225"/>
      <c r="B34" s="218"/>
      <c r="D34" s="215" t="str">
        <f>'Financial Overview'!D263</f>
        <v>Fuel sales</v>
      </c>
      <c r="E34" s="216" t="str">
        <f>'Financial Overview'!E263</f>
        <v>USD</v>
      </c>
      <c r="G34" s="220">
        <f>'Financial Overview'!G263</f>
        <v>0</v>
      </c>
      <c r="H34" s="220">
        <f>'Financial Overview'!H263</f>
        <v>122400</v>
      </c>
      <c r="I34" s="220">
        <f>'Financial Overview'!I263</f>
        <v>124848</v>
      </c>
      <c r="J34" s="220">
        <f>'Financial Overview'!J263</f>
        <v>127344.96000000001</v>
      </c>
      <c r="K34" s="220">
        <f>'Financial Overview'!K263</f>
        <v>129891.85920000001</v>
      </c>
      <c r="L34" s="220">
        <f>'Financial Overview'!L263</f>
        <v>132489.69638400001</v>
      </c>
      <c r="M34" s="220">
        <f>'Financial Overview'!M263</f>
        <v>135139.49031168001</v>
      </c>
      <c r="N34" s="220">
        <f>'Financial Overview'!N263</f>
        <v>137842.28011791361</v>
      </c>
      <c r="O34" s="220">
        <f>'Financial Overview'!O263</f>
        <v>140599.1257202719</v>
      </c>
      <c r="P34" s="220">
        <f>'Financial Overview'!P263</f>
        <v>143411.10823467735</v>
      </c>
      <c r="Q34" s="220">
        <f>'Financial Overview'!Q263</f>
        <v>146279.3303993709</v>
      </c>
      <c r="R34" s="220">
        <f>'Financial Overview'!R263</f>
        <v>149204.91700735831</v>
      </c>
      <c r="S34" s="220">
        <f>'Financial Overview'!S263</f>
        <v>152189.01534750548</v>
      </c>
      <c r="T34" s="220">
        <f>'Financial Overview'!T263</f>
        <v>155232.79565445561</v>
      </c>
    </row>
    <row r="35" spans="1:20" x14ac:dyDescent="0.4">
      <c r="A35" s="225"/>
      <c r="B35" s="218"/>
      <c r="D35" s="215" t="str">
        <f>'Financial Overview'!D264</f>
        <v>Carbon asset sales</v>
      </c>
      <c r="E35" s="216" t="str">
        <f>'Financial Overview'!E264</f>
        <v>USD</v>
      </c>
      <c r="G35" s="220">
        <f>'Financial Overview'!G264</f>
        <v>0</v>
      </c>
      <c r="H35" s="220">
        <f>'Financial Overview'!H264</f>
        <v>0</v>
      </c>
      <c r="I35" s="220">
        <f>'Financial Overview'!I264</f>
        <v>0</v>
      </c>
      <c r="J35" s="220">
        <f>'Financial Overview'!J264</f>
        <v>0</v>
      </c>
      <c r="K35" s="220">
        <f>'Financial Overview'!K264</f>
        <v>0</v>
      </c>
      <c r="L35" s="220">
        <f>'Financial Overview'!L264</f>
        <v>0</v>
      </c>
      <c r="M35" s="220">
        <f>'Financial Overview'!M264</f>
        <v>0</v>
      </c>
      <c r="N35" s="220">
        <f>'Financial Overview'!N264</f>
        <v>0</v>
      </c>
      <c r="O35" s="220">
        <f>'Financial Overview'!O264</f>
        <v>0</v>
      </c>
      <c r="P35" s="220">
        <f>'Financial Overview'!P264</f>
        <v>0</v>
      </c>
      <c r="Q35" s="220">
        <f>'Financial Overview'!Q264</f>
        <v>0</v>
      </c>
      <c r="R35" s="220">
        <f>'Financial Overview'!R264</f>
        <v>0</v>
      </c>
      <c r="S35" s="220">
        <f>'Financial Overview'!S264</f>
        <v>0</v>
      </c>
      <c r="T35" s="220">
        <f>'Financial Overview'!T264</f>
        <v>0</v>
      </c>
    </row>
    <row r="36" spans="1:20" hidden="1" x14ac:dyDescent="0.4">
      <c r="A36" s="225"/>
      <c r="B36" s="218"/>
      <c r="C36" s="218"/>
      <c r="D36" s="215">
        <f>'Financial Overview'!D265</f>
        <v>0</v>
      </c>
      <c r="E36" s="216">
        <f>'Financial Overview'!E265</f>
        <v>0</v>
      </c>
      <c r="G36" s="219">
        <f>'Financial Overview'!G265</f>
        <v>0</v>
      </c>
      <c r="H36" s="219">
        <f>'Financial Overview'!H265</f>
        <v>0</v>
      </c>
      <c r="I36" s="219">
        <f>'Financial Overview'!I265</f>
        <v>0</v>
      </c>
      <c r="J36" s="219">
        <f>'Financial Overview'!J265</f>
        <v>0</v>
      </c>
      <c r="K36" s="219">
        <f>'Financial Overview'!K265</f>
        <v>0</v>
      </c>
      <c r="L36" s="219">
        <f>'Financial Overview'!L265</f>
        <v>0</v>
      </c>
      <c r="M36" s="219">
        <f>'Financial Overview'!M265</f>
        <v>0</v>
      </c>
      <c r="N36" s="219">
        <f>'Financial Overview'!N265</f>
        <v>0</v>
      </c>
      <c r="O36" s="219">
        <f>'Financial Overview'!O265</f>
        <v>0</v>
      </c>
      <c r="P36" s="219">
        <f>'Financial Overview'!P265</f>
        <v>0</v>
      </c>
      <c r="Q36" s="219">
        <f>'Financial Overview'!Q265</f>
        <v>0</v>
      </c>
      <c r="R36" s="219">
        <f>'Financial Overview'!R265</f>
        <v>0</v>
      </c>
      <c r="S36" s="219">
        <f>'Financial Overview'!S265</f>
        <v>0</v>
      </c>
      <c r="T36" s="219">
        <f>'Financial Overview'!T265</f>
        <v>0</v>
      </c>
    </row>
    <row r="37" spans="1:20" x14ac:dyDescent="0.4">
      <c r="A37" s="225"/>
      <c r="B37" s="218"/>
      <c r="C37" s="218"/>
      <c r="G37" s="155" t="s">
        <v>22</v>
      </c>
      <c r="H37" s="155" t="s">
        <v>22</v>
      </c>
      <c r="I37" s="155" t="s">
        <v>22</v>
      </c>
      <c r="J37" s="155" t="s">
        <v>22</v>
      </c>
      <c r="K37" s="155" t="s">
        <v>22</v>
      </c>
      <c r="L37" s="155" t="s">
        <v>22</v>
      </c>
      <c r="M37" s="155" t="s">
        <v>22</v>
      </c>
      <c r="N37" s="155" t="s">
        <v>22</v>
      </c>
      <c r="O37" s="155" t="s">
        <v>22</v>
      </c>
      <c r="P37" s="155" t="s">
        <v>22</v>
      </c>
      <c r="Q37" s="155" t="s">
        <v>22</v>
      </c>
      <c r="R37" s="155" t="s">
        <v>22</v>
      </c>
      <c r="S37" s="155" t="s">
        <v>22</v>
      </c>
      <c r="T37" s="155" t="s">
        <v>22</v>
      </c>
    </row>
    <row r="38" spans="1:20" s="218" customFormat="1" x14ac:dyDescent="0.4">
      <c r="A38" s="222"/>
      <c r="D38" s="218" t="str">
        <f>'Financial Overview'!D266</f>
        <v>Revenue</v>
      </c>
      <c r="E38" s="221" t="str">
        <f>'Financial Overview'!E266</f>
        <v>USD</v>
      </c>
      <c r="F38" s="222"/>
      <c r="G38" s="223">
        <f>'Financial Overview'!G266</f>
        <v>0</v>
      </c>
      <c r="H38" s="223">
        <f>'Financial Overview'!H266</f>
        <v>9057600</v>
      </c>
      <c r="I38" s="223">
        <f>'Financial Overview'!I266</f>
        <v>9238752</v>
      </c>
      <c r="J38" s="223">
        <f>'Financial Overview'!J266</f>
        <v>9423527.040000001</v>
      </c>
      <c r="K38" s="223">
        <f>'Financial Overview'!K266</f>
        <v>9611997.5808000006</v>
      </c>
      <c r="L38" s="223">
        <f>'Financial Overview'!L266</f>
        <v>9804237.5324159991</v>
      </c>
      <c r="M38" s="223">
        <f>'Financial Overview'!M266</f>
        <v>10000322.283064321</v>
      </c>
      <c r="N38" s="223">
        <f>'Financial Overview'!N266</f>
        <v>10200328.728725608</v>
      </c>
      <c r="O38" s="223">
        <f>'Financial Overview'!O266</f>
        <v>10404335.303300118</v>
      </c>
      <c r="P38" s="223">
        <f>'Financial Overview'!P266</f>
        <v>10612422.009366123</v>
      </c>
      <c r="Q38" s="223">
        <f>'Financial Overview'!Q266</f>
        <v>10824670.449553445</v>
      </c>
      <c r="R38" s="223">
        <f>'Financial Overview'!R266</f>
        <v>11041163.858544515</v>
      </c>
      <c r="S38" s="223">
        <f>'Financial Overview'!S266</f>
        <v>11261987.135715406</v>
      </c>
      <c r="T38" s="223">
        <f>'Financial Overview'!T266</f>
        <v>11487226.878429713</v>
      </c>
    </row>
    <row r="39" spans="1:20" hidden="1" x14ac:dyDescent="0.4">
      <c r="A39" s="225"/>
      <c r="B39" s="218"/>
      <c r="C39" s="218"/>
      <c r="D39" s="215">
        <f>'Financial Overview'!D267</f>
        <v>0</v>
      </c>
      <c r="E39" s="224">
        <f>'Financial Overview'!E267</f>
        <v>0</v>
      </c>
      <c r="F39" s="225"/>
      <c r="G39" s="243" t="str">
        <f>'Financial Overview'!G267</f>
        <v>----------------</v>
      </c>
      <c r="H39" s="243" t="str">
        <f>'Financial Overview'!H267</f>
        <v>----------------</v>
      </c>
      <c r="I39" s="243" t="str">
        <f>'Financial Overview'!I267</f>
        <v>----------------</v>
      </c>
      <c r="J39" s="243" t="str">
        <f>'Financial Overview'!J267</f>
        <v>----------------</v>
      </c>
      <c r="K39" s="243" t="str">
        <f>'Financial Overview'!K267</f>
        <v>----------------</v>
      </c>
      <c r="L39" s="243" t="str">
        <f>'Financial Overview'!L267</f>
        <v>----------------</v>
      </c>
      <c r="M39" s="243" t="str">
        <f>'Financial Overview'!M267</f>
        <v>----------------</v>
      </c>
      <c r="N39" s="243" t="str">
        <f>'Financial Overview'!N267</f>
        <v>----------------</v>
      </c>
      <c r="O39" s="243" t="str">
        <f>'Financial Overview'!O267</f>
        <v>----------------</v>
      </c>
      <c r="P39" s="243" t="str">
        <f>'Financial Overview'!P267</f>
        <v>----------------</v>
      </c>
      <c r="Q39" s="243" t="str">
        <f>'Financial Overview'!Q267</f>
        <v>----------------</v>
      </c>
      <c r="R39" s="243" t="str">
        <f>'Financial Overview'!R267</f>
        <v>----------------</v>
      </c>
      <c r="S39" s="243" t="str">
        <f>'Financial Overview'!S267</f>
        <v>----------------</v>
      </c>
      <c r="T39" s="243" t="str">
        <f>'Financial Overview'!T267</f>
        <v>----------------</v>
      </c>
    </row>
    <row r="40" spans="1:20" s="218" customFormat="1" hidden="1" x14ac:dyDescent="0.4">
      <c r="A40" s="222"/>
      <c r="D40" s="218" t="str">
        <f>'Financial Overview'!D268</f>
        <v>Total revenue</v>
      </c>
      <c r="E40" s="221" t="str">
        <f>'Financial Overview'!E268</f>
        <v>USD</v>
      </c>
      <c r="F40" s="222"/>
      <c r="G40" s="226">
        <f>'Financial Overview'!G268</f>
        <v>0</v>
      </c>
      <c r="H40" s="226">
        <f>'Financial Overview'!H268</f>
        <v>9057600</v>
      </c>
      <c r="I40" s="226">
        <f>'Financial Overview'!I268</f>
        <v>9238752</v>
      </c>
      <c r="J40" s="226">
        <f>'Financial Overview'!J268</f>
        <v>9423527.040000001</v>
      </c>
      <c r="K40" s="226">
        <f>'Financial Overview'!K268</f>
        <v>9611997.5808000006</v>
      </c>
      <c r="L40" s="226">
        <f>'Financial Overview'!L268</f>
        <v>9804237.5324159991</v>
      </c>
      <c r="M40" s="226">
        <f>'Financial Overview'!M268</f>
        <v>10000322.283064321</v>
      </c>
      <c r="N40" s="226">
        <f>'Financial Overview'!N268</f>
        <v>10200328.728725608</v>
      </c>
      <c r="O40" s="226">
        <f>'Financial Overview'!O268</f>
        <v>10404335.303300118</v>
      </c>
      <c r="P40" s="226">
        <f>'Financial Overview'!P268</f>
        <v>10612422.009366123</v>
      </c>
      <c r="Q40" s="226">
        <f>'Financial Overview'!Q268</f>
        <v>10824670.449553445</v>
      </c>
      <c r="R40" s="226">
        <f>'Financial Overview'!R268</f>
        <v>11041163.858544515</v>
      </c>
      <c r="S40" s="226">
        <f>'Financial Overview'!S268</f>
        <v>11261987.135715406</v>
      </c>
      <c r="T40" s="226">
        <f>'Financial Overview'!T268</f>
        <v>11487226.878429713</v>
      </c>
    </row>
    <row r="41" spans="1:20" ht="15" hidden="1" customHeight="1" x14ac:dyDescent="0.4">
      <c r="A41" s="225"/>
      <c r="B41" s="218"/>
      <c r="C41" s="218"/>
      <c r="D41" s="215">
        <f>'Financial Overview'!D269</f>
        <v>0</v>
      </c>
      <c r="E41" s="224">
        <f>'Financial Overview'!E269</f>
        <v>0</v>
      </c>
      <c r="F41" s="225"/>
      <c r="G41" s="227">
        <f>'Financial Overview'!G269</f>
        <v>0</v>
      </c>
      <c r="H41" s="227">
        <f>'Financial Overview'!H269</f>
        <v>0</v>
      </c>
      <c r="I41" s="227">
        <f>'Financial Overview'!I269</f>
        <v>0</v>
      </c>
      <c r="J41" s="227">
        <f>'Financial Overview'!J269</f>
        <v>0</v>
      </c>
      <c r="K41" s="227">
        <f>'Financial Overview'!K269</f>
        <v>0</v>
      </c>
      <c r="L41" s="227">
        <f>'Financial Overview'!L269</f>
        <v>0</v>
      </c>
      <c r="M41" s="227">
        <f>'Financial Overview'!M269</f>
        <v>0</v>
      </c>
      <c r="N41" s="227">
        <f>'Financial Overview'!N269</f>
        <v>0</v>
      </c>
      <c r="O41" s="227">
        <f>'Financial Overview'!O269</f>
        <v>0</v>
      </c>
      <c r="P41" s="227">
        <f>'Financial Overview'!P269</f>
        <v>0</v>
      </c>
      <c r="Q41" s="227">
        <f>'Financial Overview'!Q269</f>
        <v>0</v>
      </c>
      <c r="R41" s="227">
        <f>'Financial Overview'!R269</f>
        <v>0</v>
      </c>
      <c r="S41" s="227">
        <f>'Financial Overview'!S269</f>
        <v>0</v>
      </c>
      <c r="T41" s="227">
        <f>'Financial Overview'!T269</f>
        <v>0</v>
      </c>
    </row>
    <row r="42" spans="1:20" ht="15" customHeight="1" x14ac:dyDescent="0.4">
      <c r="A42" s="225"/>
      <c r="B42" s="218"/>
      <c r="C42" s="218"/>
      <c r="E42" s="224"/>
      <c r="F42" s="225"/>
      <c r="G42" s="227"/>
      <c r="H42" s="227"/>
      <c r="I42" s="227"/>
      <c r="J42" s="227"/>
      <c r="K42" s="227"/>
      <c r="L42" s="227"/>
      <c r="M42" s="227"/>
      <c r="N42" s="227"/>
      <c r="O42" s="227"/>
      <c r="P42" s="227"/>
      <c r="Q42" s="227"/>
      <c r="R42" s="227"/>
      <c r="S42" s="227"/>
      <c r="T42" s="227"/>
    </row>
    <row r="43" spans="1:20" x14ac:dyDescent="0.4">
      <c r="A43" s="225"/>
      <c r="B43" s="218"/>
      <c r="C43" s="218"/>
      <c r="D43" s="215" t="str">
        <f>'Financial Overview'!D270</f>
        <v>Opex</v>
      </c>
      <c r="E43" s="224" t="str">
        <f>'Financial Overview'!E270</f>
        <v>USD</v>
      </c>
      <c r="F43" s="225"/>
      <c r="G43" s="228">
        <f>'Financial Overview'!G270</f>
        <v>2128800</v>
      </c>
      <c r="H43" s="228">
        <f>'Financial Overview'!H270</f>
        <v>5953536</v>
      </c>
      <c r="I43" s="228">
        <f>'Financial Overview'!I270</f>
        <v>6072606.7200000007</v>
      </c>
      <c r="J43" s="228">
        <f>'Financial Overview'!J270</f>
        <v>6194058.8544000005</v>
      </c>
      <c r="K43" s="228">
        <f>'Financial Overview'!K270</f>
        <v>6317940.0314880004</v>
      </c>
      <c r="L43" s="228">
        <f>'Financial Overview'!L270</f>
        <v>6444298.8321177606</v>
      </c>
      <c r="M43" s="228">
        <f>'Financial Overview'!M270</f>
        <v>6573184.8087601159</v>
      </c>
      <c r="N43" s="228">
        <f>'Financial Overview'!N270</f>
        <v>6704648.5049353177</v>
      </c>
      <c r="O43" s="228">
        <f>'Financial Overview'!O270</f>
        <v>6838741.4750340246</v>
      </c>
      <c r="P43" s="228">
        <f>'Financial Overview'!P270</f>
        <v>6975516.3045347054</v>
      </c>
      <c r="Q43" s="228">
        <f>'Financial Overview'!Q270</f>
        <v>7115026.6306253988</v>
      </c>
      <c r="R43" s="228">
        <f>'Financial Overview'!R270</f>
        <v>7257327.1632379079</v>
      </c>
      <c r="S43" s="228">
        <f>'Financial Overview'!S270</f>
        <v>7402473.7065026658</v>
      </c>
      <c r="T43" s="228">
        <f>'Financial Overview'!T270</f>
        <v>7550523.1806327188</v>
      </c>
    </row>
    <row r="44" spans="1:20" x14ac:dyDescent="0.4">
      <c r="A44" s="225"/>
      <c r="B44" s="218"/>
      <c r="C44" s="218"/>
      <c r="D44" s="215" t="str">
        <f>'Financial Overview'!D271</f>
        <v>Depreciation</v>
      </c>
      <c r="E44" s="224" t="str">
        <f>'Financial Overview'!E271</f>
        <v>USD</v>
      </c>
      <c r="F44" s="225"/>
      <c r="G44" s="228">
        <f ca="1">'Financial Overview'!G271</f>
        <v>259867.19836090453</v>
      </c>
      <c r="H44" s="228">
        <f ca="1">'Financial Overview'!H271</f>
        <v>259867.19836090453</v>
      </c>
      <c r="I44" s="228">
        <f ca="1">'Financial Overview'!I271</f>
        <v>259867.19836090453</v>
      </c>
      <c r="J44" s="228">
        <f ca="1">'Financial Overview'!J271</f>
        <v>259867.19836090453</v>
      </c>
      <c r="K44" s="228">
        <f ca="1">'Financial Overview'!K271</f>
        <v>259867.19836090453</v>
      </c>
      <c r="L44" s="228">
        <f ca="1">'Financial Overview'!L271</f>
        <v>259867.19836090453</v>
      </c>
      <c r="M44" s="228">
        <f ca="1">'Financial Overview'!M271</f>
        <v>259867.19836090453</v>
      </c>
      <c r="N44" s="228">
        <f ca="1">'Financial Overview'!N271</f>
        <v>259867.19836090453</v>
      </c>
      <c r="O44" s="228">
        <f ca="1">'Financial Overview'!O271</f>
        <v>259867.19836090453</v>
      </c>
      <c r="P44" s="228">
        <f ca="1">'Financial Overview'!P271</f>
        <v>259867.19836090453</v>
      </c>
      <c r="Q44" s="228">
        <f ca="1">'Financial Overview'!Q271</f>
        <v>259867.19836090453</v>
      </c>
      <c r="R44" s="228">
        <f ca="1">'Financial Overview'!R271</f>
        <v>259867.19836090453</v>
      </c>
      <c r="S44" s="228">
        <f ca="1">'Financial Overview'!S271</f>
        <v>259867.19836090453</v>
      </c>
      <c r="T44" s="228">
        <f ca="1">'Financial Overview'!T271</f>
        <v>259867.19836090453</v>
      </c>
    </row>
    <row r="45" spans="1:20" hidden="1" x14ac:dyDescent="0.4">
      <c r="A45" s="225"/>
      <c r="B45" s="218"/>
      <c r="C45" s="218"/>
      <c r="D45" s="215">
        <f>'Financial Overview'!D274</f>
        <v>0</v>
      </c>
      <c r="E45" s="216">
        <f>'Financial Overview'!E274</f>
        <v>0</v>
      </c>
      <c r="F45" s="225"/>
      <c r="G45" s="229" t="str">
        <f>'Financial Overview'!G274</f>
        <v>----------------</v>
      </c>
      <c r="H45" s="229" t="str">
        <f>'Financial Overview'!H274</f>
        <v>----------------</v>
      </c>
      <c r="I45" s="229" t="str">
        <f>'Financial Overview'!I274</f>
        <v>----------------</v>
      </c>
      <c r="J45" s="229" t="str">
        <f>'Financial Overview'!J274</f>
        <v>----------------</v>
      </c>
      <c r="K45" s="229" t="str">
        <f>'Financial Overview'!K274</f>
        <v>----------------</v>
      </c>
      <c r="L45" s="229" t="str">
        <f>'Financial Overview'!L274</f>
        <v>----------------</v>
      </c>
      <c r="M45" s="229" t="str">
        <f>'Financial Overview'!M274</f>
        <v>----------------</v>
      </c>
      <c r="N45" s="229" t="str">
        <f>'Financial Overview'!N274</f>
        <v>----------------</v>
      </c>
      <c r="O45" s="229" t="str">
        <f>'Financial Overview'!O274</f>
        <v>----------------</v>
      </c>
      <c r="P45" s="229" t="str">
        <f>'Financial Overview'!P274</f>
        <v>----------------</v>
      </c>
      <c r="Q45" s="229" t="str">
        <f>'Financial Overview'!Q274</f>
        <v>----------------</v>
      </c>
      <c r="R45" s="229" t="str">
        <f>'Financial Overview'!R274</f>
        <v>----------------</v>
      </c>
      <c r="S45" s="229" t="str">
        <f>'Financial Overview'!S274</f>
        <v>----------------</v>
      </c>
      <c r="T45" s="229" t="str">
        <f>'Financial Overview'!T274</f>
        <v>----------------</v>
      </c>
    </row>
    <row r="46" spans="1:20" x14ac:dyDescent="0.4">
      <c r="A46" s="225"/>
      <c r="B46" s="218"/>
      <c r="C46" s="218"/>
      <c r="D46" s="215" t="str">
        <f>'Financial Overview'!D275</f>
        <v>Total costs</v>
      </c>
      <c r="E46" s="224" t="str">
        <f>'Financial Overview'!E275</f>
        <v>USD</v>
      </c>
      <c r="F46" s="225"/>
      <c r="G46" s="219">
        <f ca="1">'Financial Overview'!G275</f>
        <v>2388667.1983609046</v>
      </c>
      <c r="H46" s="219">
        <f ca="1">'Financial Overview'!H275</f>
        <v>6213403.1983609041</v>
      </c>
      <c r="I46" s="219">
        <f ca="1">'Financial Overview'!I275</f>
        <v>6332473.9183609048</v>
      </c>
      <c r="J46" s="219">
        <f ca="1">'Financial Overview'!J275</f>
        <v>6453926.0527609047</v>
      </c>
      <c r="K46" s="219">
        <f ca="1">'Financial Overview'!K275</f>
        <v>6577807.2298489045</v>
      </c>
      <c r="L46" s="219">
        <f ca="1">'Financial Overview'!L275</f>
        <v>6704166.0304786647</v>
      </c>
      <c r="M46" s="219">
        <f ca="1">'Financial Overview'!M275</f>
        <v>6833052.00712102</v>
      </c>
      <c r="N46" s="219">
        <f ca="1">'Financial Overview'!N275</f>
        <v>6964515.7032962218</v>
      </c>
      <c r="O46" s="219">
        <f ca="1">'Financial Overview'!O275</f>
        <v>7098608.6733949287</v>
      </c>
      <c r="P46" s="219">
        <f ca="1">'Financial Overview'!P275</f>
        <v>7235383.5028956095</v>
      </c>
      <c r="Q46" s="219">
        <f ca="1">'Financial Overview'!Q275</f>
        <v>7374893.8289863029</v>
      </c>
      <c r="R46" s="219">
        <f ca="1">'Financial Overview'!R275</f>
        <v>7517194.361598812</v>
      </c>
      <c r="S46" s="219">
        <f ca="1">'Financial Overview'!S275</f>
        <v>7662340.9048635699</v>
      </c>
      <c r="T46" s="219">
        <f ca="1">'Financial Overview'!T275</f>
        <v>7810390.378993623</v>
      </c>
    </row>
    <row r="47" spans="1:20" hidden="1" x14ac:dyDescent="0.4">
      <c r="A47" s="225"/>
      <c r="B47" s="218"/>
      <c r="C47" s="218"/>
      <c r="D47" s="215">
        <f>'Financial Overview'!D276</f>
        <v>0</v>
      </c>
      <c r="E47" s="216">
        <f>'Financial Overview'!E276</f>
        <v>0</v>
      </c>
      <c r="G47" s="230">
        <f>'Financial Overview'!G276</f>
        <v>0</v>
      </c>
      <c r="H47" s="230">
        <f>'Financial Overview'!H276</f>
        <v>0</v>
      </c>
      <c r="I47" s="230">
        <f>'Financial Overview'!I276</f>
        <v>0</v>
      </c>
      <c r="J47" s="230">
        <f>'Financial Overview'!J276</f>
        <v>0</v>
      </c>
      <c r="K47" s="230">
        <f>'Financial Overview'!K276</f>
        <v>0</v>
      </c>
      <c r="L47" s="230">
        <f>'Financial Overview'!L276</f>
        <v>0</v>
      </c>
      <c r="M47" s="230">
        <f>'Financial Overview'!M276</f>
        <v>0</v>
      </c>
      <c r="N47" s="230">
        <f>'Financial Overview'!N276</f>
        <v>0</v>
      </c>
      <c r="O47" s="230">
        <f>'Financial Overview'!O276</f>
        <v>0</v>
      </c>
      <c r="P47" s="230">
        <f>'Financial Overview'!P276</f>
        <v>0</v>
      </c>
      <c r="Q47" s="230">
        <f>'Financial Overview'!Q276</f>
        <v>0</v>
      </c>
      <c r="R47" s="230">
        <f>'Financial Overview'!R276</f>
        <v>0</v>
      </c>
      <c r="S47" s="230">
        <f>'Financial Overview'!S276</f>
        <v>0</v>
      </c>
      <c r="T47" s="230">
        <f>'Financial Overview'!T276</f>
        <v>0</v>
      </c>
    </row>
    <row r="48" spans="1:20" x14ac:dyDescent="0.4">
      <c r="A48" s="225"/>
      <c r="B48" s="218"/>
      <c r="C48" s="218"/>
      <c r="G48" s="155" t="s">
        <v>22</v>
      </c>
      <c r="H48" s="155" t="s">
        <v>22</v>
      </c>
      <c r="I48" s="155" t="s">
        <v>22</v>
      </c>
      <c r="J48" s="155" t="s">
        <v>22</v>
      </c>
      <c r="K48" s="155" t="s">
        <v>22</v>
      </c>
      <c r="L48" s="155" t="s">
        <v>22</v>
      </c>
      <c r="M48" s="155" t="s">
        <v>22</v>
      </c>
      <c r="N48" s="155" t="s">
        <v>22</v>
      </c>
      <c r="O48" s="155" t="s">
        <v>22</v>
      </c>
      <c r="P48" s="155" t="s">
        <v>22</v>
      </c>
      <c r="Q48" s="155" t="s">
        <v>22</v>
      </c>
      <c r="R48" s="155" t="s">
        <v>22</v>
      </c>
      <c r="S48" s="155" t="s">
        <v>22</v>
      </c>
      <c r="T48" s="155" t="s">
        <v>22</v>
      </c>
    </row>
    <row r="49" spans="1:20" s="218" customFormat="1" x14ac:dyDescent="0.4">
      <c r="A49" s="222"/>
      <c r="D49" s="218" t="str">
        <f>'Financial Overview'!D277</f>
        <v>PBIT</v>
      </c>
      <c r="E49" s="221" t="str">
        <f>'Financial Overview'!E277</f>
        <v>USD</v>
      </c>
      <c r="F49" s="222"/>
      <c r="G49" s="231">
        <f ca="1">'Financial Overview'!G277</f>
        <v>-2388667.1983609046</v>
      </c>
      <c r="H49" s="231">
        <f ca="1">'Financial Overview'!H277</f>
        <v>2844196.8016390959</v>
      </c>
      <c r="I49" s="231">
        <f ca="1">'Financial Overview'!I277</f>
        <v>2906278.0816390952</v>
      </c>
      <c r="J49" s="231">
        <f ca="1">'Financial Overview'!J277</f>
        <v>2969600.9872390963</v>
      </c>
      <c r="K49" s="231">
        <f ca="1">'Financial Overview'!K277</f>
        <v>3034190.350951096</v>
      </c>
      <c r="L49" s="231">
        <f ca="1">'Financial Overview'!L277</f>
        <v>3100071.5019373344</v>
      </c>
      <c r="M49" s="231">
        <f ca="1">'Financial Overview'!M277</f>
        <v>3167270.2759433007</v>
      </c>
      <c r="N49" s="231">
        <f ca="1">'Financial Overview'!N277</f>
        <v>3235813.0254293866</v>
      </c>
      <c r="O49" s="231">
        <f ca="1">'Financial Overview'!O277</f>
        <v>3305726.6299051894</v>
      </c>
      <c r="P49" s="231">
        <f ca="1">'Financial Overview'!P277</f>
        <v>3377038.5064705135</v>
      </c>
      <c r="Q49" s="231">
        <f ca="1">'Financial Overview'!Q277</f>
        <v>3449776.620567142</v>
      </c>
      <c r="R49" s="231">
        <f ca="1">'Financial Overview'!R277</f>
        <v>3523969.4969457034</v>
      </c>
      <c r="S49" s="231">
        <f ca="1">'Financial Overview'!S277</f>
        <v>3599646.2308518365</v>
      </c>
      <c r="T49" s="231">
        <f ca="1">'Financial Overview'!T277</f>
        <v>3676836.4994360898</v>
      </c>
    </row>
    <row r="50" spans="1:20" hidden="1" x14ac:dyDescent="0.4">
      <c r="A50" s="225"/>
      <c r="B50" s="218"/>
      <c r="C50" s="218"/>
      <c r="D50" s="215">
        <f>'Financial Overview'!D278</f>
        <v>0</v>
      </c>
      <c r="E50" s="224">
        <f>'Financial Overview'!E278</f>
        <v>0</v>
      </c>
      <c r="F50" s="225"/>
      <c r="G50" s="230">
        <f>'Financial Overview'!G278</f>
        <v>0</v>
      </c>
      <c r="H50" s="230">
        <f>'Financial Overview'!H278</f>
        <v>0</v>
      </c>
      <c r="I50" s="230">
        <f>'Financial Overview'!I278</f>
        <v>0</v>
      </c>
      <c r="J50" s="230">
        <f>'Financial Overview'!J278</f>
        <v>0</v>
      </c>
      <c r="K50" s="230">
        <f>'Financial Overview'!K278</f>
        <v>0</v>
      </c>
      <c r="L50" s="230">
        <f>'Financial Overview'!L278</f>
        <v>0</v>
      </c>
      <c r="M50" s="230">
        <f>'Financial Overview'!M278</f>
        <v>0</v>
      </c>
      <c r="N50" s="230">
        <f>'Financial Overview'!N278</f>
        <v>0</v>
      </c>
      <c r="O50" s="230">
        <f>'Financial Overview'!O278</f>
        <v>0</v>
      </c>
      <c r="P50" s="230">
        <f>'Financial Overview'!P278</f>
        <v>0</v>
      </c>
      <c r="Q50" s="230">
        <f>'Financial Overview'!Q278</f>
        <v>0</v>
      </c>
      <c r="R50" s="230">
        <f>'Financial Overview'!R278</f>
        <v>0</v>
      </c>
      <c r="S50" s="230">
        <f>'Financial Overview'!S278</f>
        <v>0</v>
      </c>
      <c r="T50" s="230">
        <f>'Financial Overview'!T278</f>
        <v>0</v>
      </c>
    </row>
    <row r="51" spans="1:20" x14ac:dyDescent="0.4">
      <c r="A51" s="225"/>
      <c r="B51" s="218"/>
      <c r="C51" s="218"/>
      <c r="E51" s="224"/>
      <c r="F51" s="225"/>
      <c r="G51" s="230"/>
      <c r="H51" s="230"/>
      <c r="I51" s="230"/>
      <c r="J51" s="230"/>
      <c r="K51" s="230"/>
      <c r="L51" s="230"/>
      <c r="M51" s="230"/>
      <c r="N51" s="230"/>
      <c r="O51" s="230"/>
      <c r="P51" s="230"/>
      <c r="Q51" s="230"/>
      <c r="R51" s="230"/>
      <c r="S51" s="230"/>
      <c r="T51" s="230"/>
    </row>
    <row r="52" spans="1:20" x14ac:dyDescent="0.4">
      <c r="A52" s="225"/>
      <c r="B52" s="218"/>
      <c r="C52" s="218"/>
      <c r="D52" s="215" t="str">
        <f>'Financial Overview'!D279</f>
        <v>Interest on debt</v>
      </c>
      <c r="E52" s="224" t="str">
        <f>'Financial Overview'!E279</f>
        <v>USD</v>
      </c>
      <c r="F52" s="225"/>
      <c r="G52" s="230">
        <f ca="1">'Financial Overview'!G279</f>
        <v>-17381.786068104375</v>
      </c>
      <c r="H52" s="230">
        <f ca="1">'Financial Overview'!H279</f>
        <v>-41969.294564926931</v>
      </c>
      <c r="I52" s="230">
        <f ca="1">'Financial Overview'!I279</f>
        <v>-121729.87498324328</v>
      </c>
      <c r="J52" s="230">
        <f ca="1">'Financial Overview'!J279</f>
        <v>-267127.68201571703</v>
      </c>
      <c r="K52" s="230">
        <f ca="1">'Financial Overview'!K279</f>
        <v>-400130.49700335029</v>
      </c>
      <c r="L52" s="230">
        <f ca="1">'Financial Overview'!L279</f>
        <v>-540901.99169758172</v>
      </c>
      <c r="M52" s="230">
        <f ca="1">'Financial Overview'!M279</f>
        <v>-689995.8060199623</v>
      </c>
      <c r="N52" s="230">
        <f ca="1">'Financial Overview'!N279</f>
        <v>-847813.26012884057</v>
      </c>
      <c r="O52" s="230">
        <f ca="1">'Financial Overview'!O279</f>
        <v>-1014772.0947508407</v>
      </c>
      <c r="P52" s="230">
        <f ca="1">'Financial Overview'!P279</f>
        <v>-1191308.6982277029</v>
      </c>
      <c r="Q52" s="230">
        <f ca="1">'Financial Overview'!Q279</f>
        <v>-1377878.9288539295</v>
      </c>
      <c r="R52" s="230">
        <f ca="1">'Financial Overview'!R279</f>
        <v>-1574958.9594921169</v>
      </c>
      <c r="S52" s="230">
        <f ca="1">'Financial Overview'!S279</f>
        <v>-1783046.1582521577</v>
      </c>
      <c r="T52" s="230">
        <f ca="1">'Financial Overview'!T279</f>
        <v>-2002660.0068808573</v>
      </c>
    </row>
    <row r="53" spans="1:20" hidden="1" x14ac:dyDescent="0.4">
      <c r="A53" s="225"/>
      <c r="B53" s="218"/>
      <c r="C53" s="218"/>
      <c r="D53" s="215" t="str">
        <f>'Financial Overview'!D280</f>
        <v>Gain Share</v>
      </c>
      <c r="E53" s="224" t="str">
        <f>'Financial Overview'!E280</f>
        <v>USD</v>
      </c>
      <c r="F53" s="225"/>
      <c r="G53" s="230">
        <f ca="1">'Financial Overview'!G280</f>
        <v>0</v>
      </c>
      <c r="H53" s="230">
        <f ca="1">'Financial Overview'!H280</f>
        <v>284419.68016390962</v>
      </c>
      <c r="I53" s="230">
        <f ca="1">'Financial Overview'!I280</f>
        <v>290627.80816390953</v>
      </c>
      <c r="J53" s="230">
        <f ca="1">'Financial Overview'!J280</f>
        <v>296960.09872390964</v>
      </c>
      <c r="K53" s="230">
        <f ca="1">'Financial Overview'!K280</f>
        <v>303419.0350951096</v>
      </c>
      <c r="L53" s="230">
        <f ca="1">'Financial Overview'!L280</f>
        <v>310007.15019373345</v>
      </c>
      <c r="M53" s="230">
        <f ca="1">'Financial Overview'!M280</f>
        <v>316727.02759433008</v>
      </c>
      <c r="N53" s="230">
        <f ca="1">'Financial Overview'!N280</f>
        <v>323581.30254293868</v>
      </c>
      <c r="O53" s="230">
        <f ca="1">'Financial Overview'!O280</f>
        <v>330572.66299051896</v>
      </c>
      <c r="P53" s="230">
        <f ca="1">'Financial Overview'!P280</f>
        <v>337703.85064705135</v>
      </c>
      <c r="Q53" s="230">
        <f ca="1">'Financial Overview'!Q280</f>
        <v>344977.66205671424</v>
      </c>
      <c r="R53" s="230">
        <f ca="1">'Financial Overview'!R280</f>
        <v>352396.94969457039</v>
      </c>
      <c r="S53" s="230">
        <f ca="1">'Financial Overview'!S280</f>
        <v>359964.62308518367</v>
      </c>
      <c r="T53" s="230">
        <f ca="1">'Financial Overview'!T280</f>
        <v>367683.64994360902</v>
      </c>
    </row>
    <row r="54" spans="1:20" hidden="1" x14ac:dyDescent="0.4">
      <c r="A54" s="225"/>
      <c r="B54" s="218"/>
      <c r="C54" s="218"/>
      <c r="D54" s="215" t="str">
        <f>'Financial Overview'!D281</f>
        <v>Interest on grant payable on exit (non-cash)</v>
      </c>
      <c r="E54" s="224" t="str">
        <f>'Financial Overview'!E281</f>
        <v>USD</v>
      </c>
      <c r="F54" s="225"/>
      <c r="G54" s="230">
        <f>'Financial Overview'!G281</f>
        <v>0</v>
      </c>
      <c r="H54" s="230">
        <f>'Financial Overview'!H281</f>
        <v>0</v>
      </c>
      <c r="I54" s="230">
        <f>'Financial Overview'!I281</f>
        <v>0</v>
      </c>
      <c r="J54" s="230">
        <f>'Financial Overview'!J281</f>
        <v>0</v>
      </c>
      <c r="K54" s="230">
        <f>'Financial Overview'!K281</f>
        <v>0</v>
      </c>
      <c r="L54" s="230">
        <f>'Financial Overview'!L281</f>
        <v>0</v>
      </c>
      <c r="M54" s="230">
        <f>'Financial Overview'!M281</f>
        <v>0</v>
      </c>
      <c r="N54" s="230">
        <f>'Financial Overview'!N281</f>
        <v>0</v>
      </c>
      <c r="O54" s="230">
        <f>'Financial Overview'!O281</f>
        <v>0</v>
      </c>
      <c r="P54" s="230">
        <f>'Financial Overview'!P281</f>
        <v>0</v>
      </c>
      <c r="Q54" s="230">
        <f>'Financial Overview'!Q281</f>
        <v>0</v>
      </c>
      <c r="R54" s="230">
        <f>'Financial Overview'!R281</f>
        <v>0</v>
      </c>
      <c r="S54" s="230">
        <f>'Financial Overview'!S281</f>
        <v>0</v>
      </c>
      <c r="T54" s="230">
        <f>'Financial Overview'!T281</f>
        <v>0</v>
      </c>
    </row>
    <row r="55" spans="1:20" hidden="1" x14ac:dyDescent="0.4">
      <c r="A55" s="225"/>
      <c r="B55" s="218"/>
      <c r="C55" s="218"/>
      <c r="D55" s="215">
        <f>'Financial Overview'!D282</f>
        <v>0</v>
      </c>
      <c r="E55" s="224">
        <f>'Financial Overview'!E282</f>
        <v>0</v>
      </c>
      <c r="F55" s="225"/>
      <c r="G55" s="229" t="str">
        <f>'Financial Overview'!G282</f>
        <v>----------------</v>
      </c>
      <c r="H55" s="229" t="str">
        <f>'Financial Overview'!H282</f>
        <v>----------------</v>
      </c>
      <c r="I55" s="229" t="str">
        <f>'Financial Overview'!I282</f>
        <v>----------------</v>
      </c>
      <c r="J55" s="229" t="str">
        <f>'Financial Overview'!J282</f>
        <v>----------------</v>
      </c>
      <c r="K55" s="229" t="str">
        <f>'Financial Overview'!K282</f>
        <v>----------------</v>
      </c>
      <c r="L55" s="229" t="str">
        <f>'Financial Overview'!L282</f>
        <v>----------------</v>
      </c>
      <c r="M55" s="229" t="str">
        <f>'Financial Overview'!M282</f>
        <v>----------------</v>
      </c>
      <c r="N55" s="229" t="str">
        <f>'Financial Overview'!N282</f>
        <v>----------------</v>
      </c>
      <c r="O55" s="229" t="str">
        <f>'Financial Overview'!O282</f>
        <v>----------------</v>
      </c>
      <c r="P55" s="229" t="str">
        <f>'Financial Overview'!P282</f>
        <v>----------------</v>
      </c>
      <c r="Q55" s="229" t="str">
        <f>'Financial Overview'!Q282</f>
        <v>----------------</v>
      </c>
      <c r="R55" s="229" t="str">
        <f>'Financial Overview'!R282</f>
        <v>----------------</v>
      </c>
      <c r="S55" s="229" t="str">
        <f>'Financial Overview'!S282</f>
        <v>----------------</v>
      </c>
      <c r="T55" s="229" t="str">
        <f>'Financial Overview'!T282</f>
        <v>----------------</v>
      </c>
    </row>
    <row r="56" spans="1:20" x14ac:dyDescent="0.4">
      <c r="A56" s="225"/>
      <c r="B56" s="218"/>
      <c r="C56" s="218"/>
      <c r="D56" s="215" t="str">
        <f>'Financial Overview'!D283</f>
        <v>Interest</v>
      </c>
      <c r="E56" s="224" t="str">
        <f>'Financial Overview'!E283</f>
        <v>USD</v>
      </c>
      <c r="F56" s="225"/>
      <c r="G56" s="230">
        <f ca="1">'Financial Overview'!G283</f>
        <v>-17381.786068104375</v>
      </c>
      <c r="H56" s="230">
        <f ca="1">'Financial Overview'!H283</f>
        <v>242450.38559898268</v>
      </c>
      <c r="I56" s="230">
        <f ca="1">'Financial Overview'!I283</f>
        <v>168897.93318066624</v>
      </c>
      <c r="J56" s="230">
        <f ca="1">'Financial Overview'!J283</f>
        <v>29832.416708192613</v>
      </c>
      <c r="K56" s="230">
        <f ca="1">'Financial Overview'!K283</f>
        <v>-96711.461908240686</v>
      </c>
      <c r="L56" s="230">
        <f ca="1">'Financial Overview'!L283</f>
        <v>-230894.84150384826</v>
      </c>
      <c r="M56" s="230">
        <f ca="1">'Financial Overview'!M283</f>
        <v>-373268.77842563222</v>
      </c>
      <c r="N56" s="230">
        <f ca="1">'Financial Overview'!N283</f>
        <v>-524231.9575859019</v>
      </c>
      <c r="O56" s="230">
        <f ca="1">'Financial Overview'!O283</f>
        <v>-684199.43176032172</v>
      </c>
      <c r="P56" s="230">
        <f ca="1">'Financial Overview'!P283</f>
        <v>-853604.84758065152</v>
      </c>
      <c r="Q56" s="230">
        <f ca="1">'Financial Overview'!Q283</f>
        <v>-1032901.2667972152</v>
      </c>
      <c r="R56" s="230">
        <f ca="1">'Financial Overview'!R283</f>
        <v>-1222562.0097975465</v>
      </c>
      <c r="S56" s="230">
        <f ca="1">'Financial Overview'!S283</f>
        <v>-1423081.5351669742</v>
      </c>
      <c r="T56" s="230">
        <f ca="1">'Financial Overview'!T283</f>
        <v>-1634976.3569372483</v>
      </c>
    </row>
    <row r="57" spans="1:20" hidden="1" x14ac:dyDescent="0.4">
      <c r="A57" s="225"/>
      <c r="B57" s="218"/>
      <c r="C57" s="218"/>
      <c r="D57" s="215">
        <f>'Financial Overview'!D284</f>
        <v>0</v>
      </c>
      <c r="E57" s="216">
        <f>'Financial Overview'!E284</f>
        <v>0</v>
      </c>
      <c r="G57" s="230">
        <f>'Financial Overview'!G284</f>
        <v>0</v>
      </c>
      <c r="H57" s="230">
        <f>'Financial Overview'!H284</f>
        <v>0</v>
      </c>
      <c r="I57" s="230">
        <f>'Financial Overview'!I284</f>
        <v>0</v>
      </c>
      <c r="J57" s="230">
        <f>'Financial Overview'!J284</f>
        <v>0</v>
      </c>
      <c r="K57" s="230">
        <f>'Financial Overview'!K284</f>
        <v>0</v>
      </c>
      <c r="L57" s="230">
        <f>'Financial Overview'!L284</f>
        <v>0</v>
      </c>
      <c r="M57" s="230">
        <f>'Financial Overview'!M284</f>
        <v>0</v>
      </c>
      <c r="N57" s="230">
        <f>'Financial Overview'!N284</f>
        <v>0</v>
      </c>
      <c r="O57" s="230">
        <f>'Financial Overview'!O284</f>
        <v>0</v>
      </c>
      <c r="P57" s="230">
        <f>'Financial Overview'!P284</f>
        <v>0</v>
      </c>
      <c r="Q57" s="230">
        <f>'Financial Overview'!Q284</f>
        <v>0</v>
      </c>
      <c r="R57" s="230">
        <f>'Financial Overview'!R284</f>
        <v>0</v>
      </c>
      <c r="S57" s="230">
        <f>'Financial Overview'!S284</f>
        <v>0</v>
      </c>
      <c r="T57" s="230">
        <f>'Financial Overview'!T284</f>
        <v>0</v>
      </c>
    </row>
    <row r="58" spans="1:20" x14ac:dyDescent="0.4">
      <c r="A58" s="225"/>
      <c r="B58" s="218"/>
      <c r="C58" s="218"/>
      <c r="D58" s="215" t="str">
        <f>'Financial Overview'!D285</f>
        <v>PBT</v>
      </c>
      <c r="E58" s="224" t="str">
        <f>'Financial Overview'!E285</f>
        <v>USD</v>
      </c>
      <c r="F58" s="225"/>
      <c r="G58" s="230">
        <f ca="1">'Financial Overview'!G285</f>
        <v>-2371285.4122928004</v>
      </c>
      <c r="H58" s="230">
        <f ca="1">'Financial Overview'!H285</f>
        <v>2601746.4160401132</v>
      </c>
      <c r="I58" s="230">
        <f ca="1">'Financial Overview'!I285</f>
        <v>2737380.1484584291</v>
      </c>
      <c r="J58" s="230">
        <f ca="1">'Financial Overview'!J285</f>
        <v>2939768.5705309035</v>
      </c>
      <c r="K58" s="230">
        <f ca="1">'Financial Overview'!K285</f>
        <v>3130901.8128593368</v>
      </c>
      <c r="L58" s="230">
        <f ca="1">'Financial Overview'!L285</f>
        <v>3330966.3434411827</v>
      </c>
      <c r="M58" s="230">
        <f ca="1">'Financial Overview'!M285</f>
        <v>3540539.0543689327</v>
      </c>
      <c r="N58" s="230">
        <f ca="1">'Financial Overview'!N285</f>
        <v>3760044.9830152886</v>
      </c>
      <c r="O58" s="230">
        <f ca="1">'Financial Overview'!O285</f>
        <v>3989926.0616655112</v>
      </c>
      <c r="P58" s="230">
        <f ca="1">'Financial Overview'!P285</f>
        <v>4230643.3540511653</v>
      </c>
      <c r="Q58" s="230">
        <f ca="1">'Financial Overview'!Q285</f>
        <v>4482677.8873643577</v>
      </c>
      <c r="R58" s="230">
        <f ca="1">'Financial Overview'!R285</f>
        <v>4746531.5067432504</v>
      </c>
      <c r="S58" s="230">
        <f ca="1">'Financial Overview'!S285</f>
        <v>5022727.7660188107</v>
      </c>
      <c r="T58" s="230">
        <f ca="1">'Financial Overview'!T285</f>
        <v>5311812.856373338</v>
      </c>
    </row>
    <row r="59" spans="1:20" x14ac:dyDescent="0.4">
      <c r="A59" s="225"/>
      <c r="B59" s="218"/>
      <c r="C59" s="218"/>
      <c r="D59" s="215" t="str">
        <f>'Financial Overview'!D286</f>
        <v>Tax</v>
      </c>
      <c r="E59" s="224" t="str">
        <f>'Financial Overview'!E286</f>
        <v>USD</v>
      </c>
      <c r="F59" s="227">
        <f>'Financial Overview'!F286</f>
        <v>0.3</v>
      </c>
      <c r="G59" s="230">
        <f ca="1">'Financial Overview'!G286</f>
        <v>-711385.62368784007</v>
      </c>
      <c r="H59" s="230">
        <f ca="1">'Financial Overview'!H286</f>
        <v>780523.92481203389</v>
      </c>
      <c r="I59" s="230">
        <f ca="1">'Financial Overview'!I286</f>
        <v>821214.04453752877</v>
      </c>
      <c r="J59" s="230">
        <f ca="1">'Financial Overview'!J286</f>
        <v>881930.57115927106</v>
      </c>
      <c r="K59" s="230">
        <f ca="1">'Financial Overview'!K286</f>
        <v>939270.54385780101</v>
      </c>
      <c r="L59" s="230">
        <f ca="1">'Financial Overview'!L286</f>
        <v>999289.90303235478</v>
      </c>
      <c r="M59" s="230">
        <f ca="1">'Financial Overview'!M286</f>
        <v>1062161.7163106797</v>
      </c>
      <c r="N59" s="230">
        <f ca="1">'Financial Overview'!N286</f>
        <v>1128013.4949045866</v>
      </c>
      <c r="O59" s="230">
        <f ca="1">'Financial Overview'!O286</f>
        <v>1196977.8184996534</v>
      </c>
      <c r="P59" s="230">
        <f ca="1">'Financial Overview'!P286</f>
        <v>1269193.0062153495</v>
      </c>
      <c r="Q59" s="230">
        <f ca="1">'Financial Overview'!Q286</f>
        <v>1344803.3662093072</v>
      </c>
      <c r="R59" s="230">
        <f ca="1">'Financial Overview'!R286</f>
        <v>1423959.4520229751</v>
      </c>
      <c r="S59" s="230">
        <f ca="1">'Financial Overview'!S286</f>
        <v>1506818.3298056431</v>
      </c>
      <c r="T59" s="230">
        <f ca="1">'Financial Overview'!T286</f>
        <v>1593543.8569120013</v>
      </c>
    </row>
    <row r="60" spans="1:20" hidden="1" x14ac:dyDescent="0.4">
      <c r="A60" s="225"/>
      <c r="B60" s="218"/>
      <c r="C60" s="218"/>
      <c r="D60" s="215">
        <f>'Financial Overview'!D287</f>
        <v>0</v>
      </c>
      <c r="E60" s="216">
        <f>'Financial Overview'!E287</f>
        <v>0</v>
      </c>
      <c r="F60" s="215">
        <f>'Financial Overview'!F287</f>
        <v>0</v>
      </c>
      <c r="G60" s="230">
        <f>'Financial Overview'!G287</f>
        <v>0</v>
      </c>
      <c r="H60" s="230">
        <f>'Financial Overview'!H287</f>
        <v>0</v>
      </c>
      <c r="I60" s="230">
        <f>'Financial Overview'!I287</f>
        <v>0</v>
      </c>
      <c r="J60" s="230">
        <f>'Financial Overview'!J287</f>
        <v>0</v>
      </c>
      <c r="K60" s="230">
        <f>'Financial Overview'!K287</f>
        <v>0</v>
      </c>
      <c r="L60" s="230">
        <f>'Financial Overview'!L287</f>
        <v>0</v>
      </c>
      <c r="M60" s="230">
        <f>'Financial Overview'!M287</f>
        <v>0</v>
      </c>
      <c r="N60" s="230">
        <f>'Financial Overview'!N287</f>
        <v>0</v>
      </c>
      <c r="O60" s="230">
        <f>'Financial Overview'!O287</f>
        <v>0</v>
      </c>
      <c r="P60" s="230">
        <f>'Financial Overview'!P287</f>
        <v>0</v>
      </c>
      <c r="Q60" s="230">
        <f>'Financial Overview'!Q287</f>
        <v>0</v>
      </c>
      <c r="R60" s="230">
        <f>'Financial Overview'!R287</f>
        <v>0</v>
      </c>
      <c r="S60" s="230">
        <f>'Financial Overview'!S287</f>
        <v>0</v>
      </c>
      <c r="T60" s="230">
        <f>'Financial Overview'!T287</f>
        <v>0</v>
      </c>
    </row>
    <row r="61" spans="1:20" x14ac:dyDescent="0.4">
      <c r="A61" s="225"/>
      <c r="B61" s="218"/>
      <c r="C61" s="218"/>
      <c r="G61" s="155" t="s">
        <v>22</v>
      </c>
      <c r="H61" s="155" t="s">
        <v>22</v>
      </c>
      <c r="I61" s="155" t="s">
        <v>22</v>
      </c>
      <c r="J61" s="155" t="s">
        <v>22</v>
      </c>
      <c r="K61" s="155" t="s">
        <v>22</v>
      </c>
      <c r="L61" s="155" t="s">
        <v>22</v>
      </c>
      <c r="M61" s="155" t="s">
        <v>22</v>
      </c>
      <c r="N61" s="155" t="s">
        <v>22</v>
      </c>
      <c r="O61" s="155" t="s">
        <v>22</v>
      </c>
      <c r="P61" s="155" t="s">
        <v>22</v>
      </c>
      <c r="Q61" s="155" t="s">
        <v>22</v>
      </c>
      <c r="R61" s="155" t="s">
        <v>22</v>
      </c>
      <c r="S61" s="155" t="s">
        <v>22</v>
      </c>
      <c r="T61" s="155" t="s">
        <v>22</v>
      </c>
    </row>
    <row r="62" spans="1:20" s="218" customFormat="1" x14ac:dyDescent="0.4">
      <c r="A62" s="222"/>
      <c r="D62" s="218" t="str">
        <f>'Financial Overview'!D288</f>
        <v>Profit after tax</v>
      </c>
      <c r="E62" s="221" t="str">
        <f>'Financial Overview'!E288</f>
        <v>USD</v>
      </c>
      <c r="F62" s="222"/>
      <c r="G62" s="231">
        <f ca="1">'Financial Overview'!G288</f>
        <v>-1659899.7886049603</v>
      </c>
      <c r="H62" s="231">
        <f ca="1">'Financial Overview'!H288</f>
        <v>1821222.4912280794</v>
      </c>
      <c r="I62" s="231">
        <f ca="1">'Financial Overview'!I288</f>
        <v>1916166.1039209003</v>
      </c>
      <c r="J62" s="231">
        <f ca="1">'Financial Overview'!J288</f>
        <v>2057837.9993716325</v>
      </c>
      <c r="K62" s="231">
        <f ca="1">'Financial Overview'!K288</f>
        <v>2191631.2690015361</v>
      </c>
      <c r="L62" s="231">
        <f ca="1">'Financial Overview'!L288</f>
        <v>2331676.4404088277</v>
      </c>
      <c r="M62" s="231">
        <f ca="1">'Financial Overview'!M288</f>
        <v>2478377.3380582528</v>
      </c>
      <c r="N62" s="231">
        <f ca="1">'Financial Overview'!N288</f>
        <v>2632031.488110702</v>
      </c>
      <c r="O62" s="231">
        <f ca="1">'Financial Overview'!O288</f>
        <v>2792948.2431658581</v>
      </c>
      <c r="P62" s="231">
        <f ca="1">'Financial Overview'!P288</f>
        <v>2961450.3478358155</v>
      </c>
      <c r="Q62" s="231">
        <f ca="1">'Financial Overview'!Q288</f>
        <v>3137874.5211550505</v>
      </c>
      <c r="R62" s="231">
        <f ca="1">'Financial Overview'!R288</f>
        <v>3322572.0547202751</v>
      </c>
      <c r="S62" s="231">
        <f ca="1">'Financial Overview'!S288</f>
        <v>3515909.4362131674</v>
      </c>
      <c r="T62" s="231">
        <f ca="1">'Financial Overview'!T288</f>
        <v>3718268.999461337</v>
      </c>
    </row>
    <row r="63" spans="1:20" ht="15" hidden="1" customHeight="1" x14ac:dyDescent="0.4">
      <c r="A63" s="225"/>
      <c r="B63" s="218"/>
      <c r="C63" s="218"/>
      <c r="D63" s="215">
        <f>'Financial Overview'!D289</f>
        <v>0</v>
      </c>
      <c r="E63" s="224">
        <f>'Financial Overview'!E289</f>
        <v>0</v>
      </c>
      <c r="F63" s="225"/>
      <c r="G63" s="230">
        <f>'Financial Overview'!G289</f>
        <v>0</v>
      </c>
      <c r="H63" s="230">
        <f>'Financial Overview'!H289</f>
        <v>0</v>
      </c>
      <c r="I63" s="230">
        <f>'Financial Overview'!I289</f>
        <v>0</v>
      </c>
      <c r="J63" s="230">
        <f>'Financial Overview'!J289</f>
        <v>0</v>
      </c>
      <c r="K63" s="230">
        <f>'Financial Overview'!K289</f>
        <v>0</v>
      </c>
      <c r="L63" s="230">
        <f>'Financial Overview'!L289</f>
        <v>0</v>
      </c>
      <c r="M63" s="230">
        <f>'Financial Overview'!M289</f>
        <v>0</v>
      </c>
      <c r="N63" s="230">
        <f>'Financial Overview'!N289</f>
        <v>0</v>
      </c>
      <c r="O63" s="230">
        <f>'Financial Overview'!O289</f>
        <v>0</v>
      </c>
      <c r="P63" s="230">
        <f>'Financial Overview'!P289</f>
        <v>0</v>
      </c>
      <c r="Q63" s="230">
        <f>'Financial Overview'!Q289</f>
        <v>0</v>
      </c>
      <c r="R63" s="230">
        <f>'Financial Overview'!R289</f>
        <v>0</v>
      </c>
      <c r="S63" s="230">
        <f>'Financial Overview'!S289</f>
        <v>0</v>
      </c>
      <c r="T63" s="230">
        <f>'Financial Overview'!T289</f>
        <v>0</v>
      </c>
    </row>
    <row r="64" spans="1:20" ht="15" hidden="1" customHeight="1" x14ac:dyDescent="0.4">
      <c r="A64" s="225"/>
      <c r="B64" s="218"/>
      <c r="C64" s="218"/>
      <c r="D64" s="215" t="str">
        <f>'Financial Overview'!D290</f>
        <v>Dividends</v>
      </c>
      <c r="E64" s="224" t="str">
        <f>'Financial Overview'!E290</f>
        <v>USD</v>
      </c>
      <c r="F64" s="225"/>
      <c r="G64" s="230">
        <f>'Financial Overview'!G290</f>
        <v>0</v>
      </c>
      <c r="H64" s="230">
        <f>'Financial Overview'!H290</f>
        <v>0</v>
      </c>
      <c r="I64" s="230">
        <f>'Financial Overview'!I290</f>
        <v>0</v>
      </c>
      <c r="J64" s="230">
        <f>'Financial Overview'!J290</f>
        <v>0</v>
      </c>
      <c r="K64" s="230">
        <f>'Financial Overview'!K290</f>
        <v>0</v>
      </c>
      <c r="L64" s="230">
        <f>'Financial Overview'!L290</f>
        <v>0</v>
      </c>
      <c r="M64" s="230">
        <f>'Financial Overview'!M290</f>
        <v>0</v>
      </c>
      <c r="N64" s="230">
        <f>'Financial Overview'!N290</f>
        <v>0</v>
      </c>
      <c r="O64" s="230">
        <f>'Financial Overview'!O290</f>
        <v>0</v>
      </c>
      <c r="P64" s="230">
        <f>'Financial Overview'!P290</f>
        <v>0</v>
      </c>
      <c r="Q64" s="230">
        <f>'Financial Overview'!Q290</f>
        <v>0</v>
      </c>
      <c r="R64" s="230">
        <f>'Financial Overview'!R290</f>
        <v>0</v>
      </c>
      <c r="S64" s="230">
        <f>'Financial Overview'!S290</f>
        <v>0</v>
      </c>
      <c r="T64" s="230">
        <f>'Financial Overview'!T290</f>
        <v>0</v>
      </c>
    </row>
    <row r="65" spans="1:20" ht="15" hidden="1" customHeight="1" x14ac:dyDescent="0.4">
      <c r="A65" s="225"/>
      <c r="B65" s="218"/>
      <c r="C65" s="218"/>
      <c r="D65" s="215">
        <f>'Financial Overview'!D291</f>
        <v>0</v>
      </c>
      <c r="E65" s="224">
        <f>'Financial Overview'!E291</f>
        <v>0</v>
      </c>
      <c r="F65" s="225"/>
      <c r="G65" s="230">
        <f>'Financial Overview'!G291</f>
        <v>0</v>
      </c>
      <c r="H65" s="230">
        <f>'Financial Overview'!H291</f>
        <v>0</v>
      </c>
      <c r="I65" s="230">
        <f>'Financial Overview'!I291</f>
        <v>0</v>
      </c>
      <c r="J65" s="230">
        <f>'Financial Overview'!J291</f>
        <v>0</v>
      </c>
      <c r="K65" s="230">
        <f>'Financial Overview'!K291</f>
        <v>0</v>
      </c>
      <c r="L65" s="230">
        <f>'Financial Overview'!L291</f>
        <v>0</v>
      </c>
      <c r="M65" s="230">
        <f>'Financial Overview'!M291</f>
        <v>0</v>
      </c>
      <c r="N65" s="230">
        <f>'Financial Overview'!N291</f>
        <v>0</v>
      </c>
      <c r="O65" s="230">
        <f>'Financial Overview'!O291</f>
        <v>0</v>
      </c>
      <c r="P65" s="230">
        <f>'Financial Overview'!P291</f>
        <v>0</v>
      </c>
      <c r="Q65" s="230">
        <f>'Financial Overview'!Q291</f>
        <v>0</v>
      </c>
      <c r="R65" s="230">
        <f>'Financial Overview'!R291</f>
        <v>0</v>
      </c>
      <c r="S65" s="230">
        <f>'Financial Overview'!S291</f>
        <v>0</v>
      </c>
      <c r="T65" s="230">
        <f>'Financial Overview'!T291</f>
        <v>0</v>
      </c>
    </row>
    <row r="66" spans="1:20" ht="15" hidden="1" customHeight="1" x14ac:dyDescent="0.4">
      <c r="A66" s="225"/>
      <c r="B66" s="218"/>
      <c r="C66" s="218"/>
      <c r="D66" s="215" t="str">
        <f>'Financial Overview'!D292</f>
        <v>Retained earning</v>
      </c>
      <c r="E66" s="224" t="str">
        <f>'Financial Overview'!E292</f>
        <v>USD</v>
      </c>
      <c r="F66" s="225"/>
      <c r="G66" s="230">
        <f ca="1">'Financial Overview'!G292</f>
        <v>-1659899.7886049603</v>
      </c>
      <c r="H66" s="230">
        <f ca="1">'Financial Overview'!H292</f>
        <v>1821222.4912280794</v>
      </c>
      <c r="I66" s="230">
        <f ca="1">'Financial Overview'!I292</f>
        <v>1916166.1039209003</v>
      </c>
      <c r="J66" s="230">
        <f ca="1">'Financial Overview'!J292</f>
        <v>2057837.9993716325</v>
      </c>
      <c r="K66" s="230">
        <f ca="1">'Financial Overview'!K292</f>
        <v>2191631.2690015361</v>
      </c>
      <c r="L66" s="230">
        <f ca="1">'Financial Overview'!L292</f>
        <v>2331676.4404088277</v>
      </c>
      <c r="M66" s="230">
        <f ca="1">'Financial Overview'!M292</f>
        <v>2478377.3380582528</v>
      </c>
      <c r="N66" s="230">
        <f ca="1">'Financial Overview'!N292</f>
        <v>2632031.488110702</v>
      </c>
      <c r="O66" s="230">
        <f ca="1">'Financial Overview'!O292</f>
        <v>2792948.2431658581</v>
      </c>
      <c r="P66" s="230">
        <f ca="1">'Financial Overview'!P292</f>
        <v>2961450.3478358155</v>
      </c>
      <c r="Q66" s="230">
        <f ca="1">'Financial Overview'!Q292</f>
        <v>3137874.5211550505</v>
      </c>
      <c r="R66" s="230">
        <f ca="1">'Financial Overview'!R292</f>
        <v>3322572.0547202751</v>
      </c>
      <c r="S66" s="230">
        <f ca="1">'Financial Overview'!S292</f>
        <v>3515909.4362131674</v>
      </c>
      <c r="T66" s="230">
        <f ca="1">'Financial Overview'!T292</f>
        <v>3718268.999461337</v>
      </c>
    </row>
    <row r="67" spans="1:20" ht="15" customHeight="1" x14ac:dyDescent="0.4">
      <c r="A67" s="225"/>
      <c r="B67" s="218"/>
      <c r="C67" s="218"/>
      <c r="G67" s="232"/>
      <c r="H67" s="232"/>
      <c r="I67" s="232"/>
      <c r="J67" s="232"/>
      <c r="K67" s="232"/>
      <c r="L67" s="232"/>
      <c r="M67" s="232"/>
      <c r="N67" s="232"/>
      <c r="O67" s="232"/>
      <c r="P67" s="232"/>
      <c r="Q67" s="232"/>
      <c r="R67" s="232"/>
      <c r="S67" s="232"/>
      <c r="T67" s="232"/>
    </row>
    <row r="68" spans="1:20" ht="15" customHeight="1" x14ac:dyDescent="0.4">
      <c r="A68" s="225"/>
      <c r="B68" s="218"/>
      <c r="C68" s="218"/>
      <c r="G68" s="232"/>
      <c r="H68" s="232"/>
      <c r="I68" s="232"/>
      <c r="J68" s="232"/>
      <c r="K68" s="232"/>
      <c r="L68" s="232"/>
      <c r="M68" s="232"/>
      <c r="N68" s="232"/>
      <c r="O68" s="232"/>
      <c r="P68" s="232"/>
      <c r="Q68" s="232"/>
      <c r="R68" s="232"/>
      <c r="S68" s="232"/>
      <c r="T68" s="232"/>
    </row>
    <row r="69" spans="1:20" ht="15" customHeight="1" x14ac:dyDescent="0.4">
      <c r="A69" s="225"/>
      <c r="B69" s="218"/>
      <c r="C69" s="218"/>
      <c r="G69" s="232"/>
      <c r="H69" s="232"/>
      <c r="I69" s="232"/>
      <c r="J69" s="232"/>
      <c r="K69" s="232"/>
      <c r="L69" s="232"/>
      <c r="M69" s="232"/>
      <c r="N69" s="232"/>
      <c r="O69" s="232"/>
      <c r="P69" s="232"/>
      <c r="Q69" s="232"/>
      <c r="R69" s="232"/>
      <c r="S69" s="232"/>
      <c r="T69" s="232"/>
    </row>
    <row r="70" spans="1:20" ht="15" customHeight="1" x14ac:dyDescent="0.4">
      <c r="A70" s="225"/>
      <c r="B70" s="218"/>
      <c r="C70" s="218"/>
      <c r="G70" s="232"/>
      <c r="H70" s="232"/>
      <c r="I70" s="232"/>
      <c r="J70" s="232"/>
      <c r="K70" s="232"/>
      <c r="L70" s="232"/>
      <c r="M70" s="232"/>
      <c r="N70" s="232"/>
      <c r="O70" s="232"/>
      <c r="P70" s="232"/>
      <c r="Q70" s="232"/>
      <c r="R70" s="232"/>
      <c r="S70" s="232"/>
      <c r="T70" s="232"/>
    </row>
    <row r="71" spans="1:20" ht="15" customHeight="1" x14ac:dyDescent="0.4">
      <c r="A71" s="225"/>
      <c r="B71" s="218"/>
      <c r="C71" s="218"/>
      <c r="G71" s="232"/>
      <c r="H71" s="232"/>
      <c r="I71" s="232"/>
      <c r="J71" s="232"/>
      <c r="K71" s="232"/>
      <c r="L71" s="232"/>
      <c r="M71" s="232"/>
      <c r="N71" s="232"/>
      <c r="O71" s="232"/>
      <c r="P71" s="232"/>
      <c r="Q71" s="232"/>
      <c r="R71" s="232"/>
      <c r="S71" s="232"/>
      <c r="T71" s="232"/>
    </row>
    <row r="72" spans="1:20" ht="15" customHeight="1" x14ac:dyDescent="0.4">
      <c r="A72" s="225"/>
      <c r="B72" s="218"/>
      <c r="C72" s="218"/>
      <c r="G72" s="232"/>
      <c r="H72" s="232"/>
      <c r="I72" s="232"/>
      <c r="J72" s="232"/>
      <c r="K72" s="232"/>
      <c r="L72" s="232"/>
      <c r="M72" s="232"/>
      <c r="N72" s="232"/>
      <c r="O72" s="232"/>
      <c r="P72" s="232"/>
      <c r="Q72" s="232"/>
      <c r="R72" s="232"/>
      <c r="S72" s="232"/>
      <c r="T72" s="232"/>
    </row>
    <row r="73" spans="1:20" ht="15" customHeight="1" x14ac:dyDescent="0.4">
      <c r="A73" s="225"/>
      <c r="B73" s="218"/>
      <c r="C73" s="218"/>
      <c r="G73" s="232"/>
      <c r="H73" s="232"/>
      <c r="I73" s="232"/>
      <c r="J73" s="232"/>
      <c r="K73" s="232"/>
      <c r="L73" s="232"/>
      <c r="M73" s="232"/>
      <c r="N73" s="232"/>
      <c r="O73" s="232"/>
      <c r="P73" s="232"/>
      <c r="Q73" s="232"/>
      <c r="R73" s="232"/>
      <c r="S73" s="232"/>
      <c r="T73" s="232"/>
    </row>
    <row r="74" spans="1:20" ht="15" customHeight="1" x14ac:dyDescent="0.4">
      <c r="A74" s="225"/>
      <c r="B74" s="218"/>
      <c r="C74" s="218"/>
      <c r="G74" s="232"/>
      <c r="H74" s="232"/>
      <c r="I74" s="232"/>
      <c r="J74" s="232"/>
      <c r="K74" s="232"/>
      <c r="L74" s="232"/>
      <c r="M74" s="232"/>
      <c r="N74" s="232"/>
      <c r="O74" s="232"/>
      <c r="P74" s="232"/>
      <c r="Q74" s="232"/>
      <c r="R74" s="232"/>
      <c r="S74" s="232"/>
      <c r="T74" s="232"/>
    </row>
    <row r="75" spans="1:20" ht="15" customHeight="1" x14ac:dyDescent="0.4">
      <c r="A75" s="225"/>
      <c r="B75" s="218"/>
      <c r="C75" s="218"/>
      <c r="G75" s="232"/>
      <c r="H75" s="232"/>
      <c r="I75" s="232"/>
      <c r="J75" s="232"/>
      <c r="K75" s="232"/>
      <c r="L75" s="232"/>
      <c r="M75" s="232"/>
      <c r="N75" s="232"/>
      <c r="O75" s="232"/>
      <c r="P75" s="232"/>
      <c r="Q75" s="232"/>
      <c r="R75" s="232"/>
      <c r="S75" s="232"/>
      <c r="T75" s="232"/>
    </row>
    <row r="76" spans="1:20" ht="15" customHeight="1" x14ac:dyDescent="0.4">
      <c r="A76" s="225"/>
      <c r="B76" s="218"/>
      <c r="C76" s="218"/>
      <c r="G76" s="232"/>
      <c r="H76" s="232"/>
      <c r="I76" s="232"/>
      <c r="J76" s="232"/>
      <c r="K76" s="232"/>
      <c r="L76" s="232"/>
      <c r="M76" s="232"/>
      <c r="N76" s="232"/>
      <c r="O76" s="232"/>
      <c r="P76" s="232"/>
      <c r="Q76" s="232"/>
      <c r="R76" s="232"/>
      <c r="S76" s="232"/>
      <c r="T76" s="232"/>
    </row>
    <row r="77" spans="1:20" ht="15" customHeight="1" x14ac:dyDescent="0.4">
      <c r="A77" s="225"/>
      <c r="B77" s="218"/>
      <c r="C77" s="218"/>
      <c r="G77" s="232"/>
      <c r="H77" s="232"/>
      <c r="I77" s="232"/>
      <c r="J77" s="232"/>
      <c r="K77" s="232"/>
      <c r="L77" s="232"/>
      <c r="M77" s="232"/>
      <c r="N77" s="232"/>
      <c r="O77" s="232"/>
      <c r="P77" s="232"/>
      <c r="Q77" s="232"/>
      <c r="R77" s="232"/>
      <c r="S77" s="232"/>
      <c r="T77" s="232"/>
    </row>
    <row r="78" spans="1:20" ht="15" customHeight="1" x14ac:dyDescent="0.4">
      <c r="A78" s="225"/>
      <c r="B78" s="218"/>
      <c r="C78" s="218"/>
      <c r="G78" s="232"/>
      <c r="H78" s="232"/>
      <c r="I78" s="232"/>
      <c r="J78" s="232"/>
      <c r="K78" s="232"/>
      <c r="L78" s="232"/>
      <c r="M78" s="232"/>
      <c r="N78" s="232"/>
      <c r="O78" s="232"/>
      <c r="P78" s="232"/>
      <c r="Q78" s="232"/>
      <c r="R78" s="232"/>
      <c r="S78" s="232"/>
      <c r="T78" s="232"/>
    </row>
    <row r="79" spans="1:20" ht="15" customHeight="1" x14ac:dyDescent="0.4">
      <c r="A79" s="225"/>
      <c r="B79" s="218"/>
      <c r="C79" s="218"/>
      <c r="G79" s="232"/>
      <c r="H79" s="232"/>
      <c r="I79" s="232"/>
      <c r="J79" s="232"/>
      <c r="K79" s="232"/>
      <c r="L79" s="232"/>
      <c r="M79" s="232"/>
      <c r="N79" s="232"/>
      <c r="O79" s="232"/>
      <c r="P79" s="232"/>
      <c r="Q79" s="232"/>
      <c r="R79" s="232"/>
      <c r="S79" s="232"/>
      <c r="T79" s="232"/>
    </row>
    <row r="80" spans="1:20" ht="15" customHeight="1" x14ac:dyDescent="0.4">
      <c r="A80" s="225"/>
      <c r="B80" s="218"/>
      <c r="C80" s="218"/>
      <c r="G80" s="232"/>
      <c r="H80" s="232"/>
      <c r="I80" s="232"/>
      <c r="J80" s="232"/>
      <c r="K80" s="232"/>
      <c r="L80" s="232"/>
      <c r="M80" s="232"/>
      <c r="N80" s="232"/>
      <c r="O80" s="232"/>
      <c r="P80" s="232"/>
      <c r="Q80" s="232"/>
      <c r="R80" s="232"/>
      <c r="S80" s="232"/>
      <c r="T80" s="232"/>
    </row>
    <row r="81" spans="1:20" ht="15" customHeight="1" x14ac:dyDescent="0.4">
      <c r="A81" s="225"/>
      <c r="B81" s="218"/>
      <c r="C81" s="218"/>
      <c r="G81" s="232"/>
      <c r="H81" s="232"/>
      <c r="I81" s="232"/>
      <c r="J81" s="232"/>
      <c r="K81" s="232"/>
      <c r="L81" s="232"/>
      <c r="M81" s="232"/>
      <c r="N81" s="232"/>
      <c r="O81" s="232"/>
      <c r="P81" s="232"/>
      <c r="Q81" s="232"/>
      <c r="R81" s="232"/>
      <c r="S81" s="232"/>
      <c r="T81" s="232"/>
    </row>
    <row r="82" spans="1:20" ht="15" customHeight="1" x14ac:dyDescent="0.4">
      <c r="A82" s="225"/>
      <c r="B82" s="218"/>
      <c r="C82" s="218"/>
      <c r="G82" s="232"/>
      <c r="H82" s="232"/>
      <c r="I82" s="232"/>
      <c r="J82" s="232"/>
      <c r="K82" s="232"/>
      <c r="L82" s="232"/>
      <c r="M82" s="232"/>
      <c r="N82" s="232"/>
      <c r="O82" s="232"/>
      <c r="P82" s="232"/>
      <c r="Q82" s="232"/>
      <c r="R82" s="232"/>
      <c r="S82" s="232"/>
      <c r="T82" s="232"/>
    </row>
    <row r="83" spans="1:20" ht="15" customHeight="1" x14ac:dyDescent="0.4">
      <c r="A83" s="225"/>
      <c r="B83" s="218"/>
      <c r="C83" s="218"/>
      <c r="G83" s="232"/>
      <c r="H83" s="232"/>
      <c r="I83" s="232"/>
      <c r="J83" s="232"/>
      <c r="K83" s="232"/>
      <c r="L83" s="232"/>
      <c r="M83" s="232"/>
      <c r="N83" s="232"/>
      <c r="O83" s="232"/>
      <c r="P83" s="232"/>
      <c r="Q83" s="232"/>
      <c r="R83" s="232"/>
      <c r="S83" s="232"/>
      <c r="T83" s="232"/>
    </row>
    <row r="84" spans="1:20" ht="15" customHeight="1" x14ac:dyDescent="0.4">
      <c r="A84" s="225"/>
      <c r="B84" s="218"/>
      <c r="C84" s="218"/>
      <c r="G84" s="232"/>
      <c r="H84" s="232"/>
      <c r="I84" s="232"/>
      <c r="J84" s="232"/>
      <c r="K84" s="232"/>
      <c r="L84" s="232"/>
      <c r="M84" s="232"/>
      <c r="N84" s="232"/>
      <c r="O84" s="232"/>
      <c r="P84" s="232"/>
      <c r="Q84" s="232"/>
      <c r="R84" s="232"/>
      <c r="S84" s="232"/>
      <c r="T84" s="232"/>
    </row>
    <row r="85" spans="1:20" ht="15" customHeight="1" x14ac:dyDescent="0.4">
      <c r="A85" s="225"/>
      <c r="B85" s="218"/>
      <c r="C85" s="218"/>
      <c r="G85" s="232"/>
      <c r="H85" s="232"/>
      <c r="I85" s="232"/>
      <c r="J85" s="232"/>
      <c r="K85" s="232"/>
      <c r="L85" s="232"/>
      <c r="M85" s="232"/>
      <c r="N85" s="232"/>
      <c r="O85" s="232"/>
      <c r="P85" s="232"/>
      <c r="Q85" s="232"/>
      <c r="R85" s="232"/>
      <c r="S85" s="232"/>
      <c r="T85" s="232"/>
    </row>
    <row r="86" spans="1:20" ht="15" customHeight="1" x14ac:dyDescent="0.4">
      <c r="A86" s="225"/>
      <c r="B86" s="218"/>
      <c r="C86" s="218"/>
      <c r="G86" s="232"/>
      <c r="H86" s="232"/>
      <c r="I86" s="232"/>
      <c r="J86" s="232"/>
      <c r="K86" s="232"/>
      <c r="L86" s="232"/>
      <c r="M86" s="232"/>
      <c r="N86" s="232"/>
      <c r="O86" s="232"/>
      <c r="P86" s="232"/>
      <c r="Q86" s="232"/>
      <c r="R86" s="232"/>
      <c r="S86" s="232"/>
      <c r="T86" s="232"/>
    </row>
    <row r="87" spans="1:20" ht="15" customHeight="1" x14ac:dyDescent="0.4">
      <c r="A87" s="225"/>
      <c r="B87" s="218"/>
      <c r="C87" s="218"/>
      <c r="G87" s="232"/>
      <c r="H87" s="232"/>
      <c r="I87" s="232"/>
      <c r="J87" s="232"/>
      <c r="K87" s="232"/>
      <c r="L87" s="232"/>
      <c r="M87" s="232"/>
      <c r="N87" s="232"/>
      <c r="O87" s="232"/>
      <c r="P87" s="232"/>
      <c r="Q87" s="232"/>
      <c r="R87" s="232"/>
      <c r="S87" s="232"/>
      <c r="T87" s="232"/>
    </row>
    <row r="88" spans="1:20" ht="15" customHeight="1" x14ac:dyDescent="0.4">
      <c r="A88" s="225"/>
      <c r="B88" s="218"/>
      <c r="C88" s="218"/>
      <c r="G88" s="232"/>
      <c r="H88" s="232"/>
      <c r="I88" s="232"/>
      <c r="J88" s="232"/>
      <c r="K88" s="232"/>
      <c r="L88" s="232"/>
      <c r="M88" s="232"/>
      <c r="N88" s="232"/>
      <c r="O88" s="232"/>
      <c r="P88" s="232"/>
      <c r="Q88" s="232"/>
      <c r="R88" s="232"/>
      <c r="S88" s="232"/>
      <c r="T88" s="232"/>
    </row>
    <row r="89" spans="1:20" ht="15" customHeight="1" x14ac:dyDescent="0.4">
      <c r="A89" s="225"/>
      <c r="B89" s="218"/>
      <c r="C89" s="218"/>
      <c r="G89" s="232"/>
      <c r="H89" s="232"/>
      <c r="I89" s="232"/>
      <c r="J89" s="232"/>
      <c r="K89" s="232"/>
      <c r="L89" s="232"/>
      <c r="M89" s="232"/>
      <c r="N89" s="232"/>
      <c r="O89" s="232"/>
      <c r="P89" s="232"/>
      <c r="Q89" s="232"/>
      <c r="R89" s="232"/>
      <c r="S89" s="232"/>
      <c r="T89" s="232"/>
    </row>
    <row r="90" spans="1:20" ht="15" customHeight="1" x14ac:dyDescent="0.4">
      <c r="A90" s="225"/>
      <c r="B90" s="218"/>
      <c r="C90" s="218"/>
      <c r="G90" s="232"/>
      <c r="H90" s="232"/>
      <c r="I90" s="232"/>
      <c r="J90" s="232"/>
      <c r="K90" s="232"/>
      <c r="L90" s="232"/>
      <c r="M90" s="232"/>
      <c r="N90" s="232"/>
      <c r="O90" s="232"/>
      <c r="P90" s="232"/>
      <c r="Q90" s="232"/>
      <c r="R90" s="232"/>
      <c r="S90" s="232"/>
      <c r="T90" s="232"/>
    </row>
    <row r="91" spans="1:20" s="248" customFormat="1" x14ac:dyDescent="0.4">
      <c r="A91" s="247" t="s">
        <v>289</v>
      </c>
      <c r="B91" s="247"/>
      <c r="T91" s="249" t="s">
        <v>286</v>
      </c>
    </row>
    <row r="92" spans="1:20" s="248" customFormat="1" x14ac:dyDescent="0.4">
      <c r="A92" s="247"/>
      <c r="T92" s="249" t="s">
        <v>287</v>
      </c>
    </row>
    <row r="93" spans="1:20" s="248" customFormat="1" x14ac:dyDescent="0.4">
      <c r="A93" s="247" t="s">
        <v>288</v>
      </c>
    </row>
    <row r="94" spans="1:20" s="248" customFormat="1" x14ac:dyDescent="0.4">
      <c r="A94" s="247"/>
    </row>
    <row r="95" spans="1:20" s="248" customFormat="1" ht="12.75" x14ac:dyDescent="0.35">
      <c r="A95" s="750">
        <f ca="1">NOW()</f>
        <v>44425.683914814814</v>
      </c>
      <c r="B95" s="750"/>
      <c r="C95" s="750"/>
    </row>
    <row r="96" spans="1:20" s="248" customFormat="1" ht="12.75" x14ac:dyDescent="0.35">
      <c r="A96" s="250"/>
      <c r="B96" s="250"/>
      <c r="C96" s="250"/>
    </row>
    <row r="97" spans="1:20" s="256" customFormat="1" x14ac:dyDescent="0.4">
      <c r="A97" s="257"/>
      <c r="B97" s="251"/>
      <c r="C97" s="252"/>
      <c r="D97" s="252"/>
      <c r="E97" s="253" t="s">
        <v>0</v>
      </c>
      <c r="F97" s="254"/>
      <c r="G97" s="255">
        <v>2017</v>
      </c>
      <c r="H97" s="255">
        <v>2018</v>
      </c>
      <c r="I97" s="255">
        <v>2019</v>
      </c>
      <c r="J97" s="255">
        <v>2020</v>
      </c>
      <c r="K97" s="255">
        <v>2021</v>
      </c>
      <c r="L97" s="255">
        <v>2022</v>
      </c>
      <c r="M97" s="255">
        <v>2023</v>
      </c>
      <c r="N97" s="255">
        <v>2024</v>
      </c>
      <c r="O97" s="255">
        <v>2025</v>
      </c>
      <c r="P97" s="255">
        <v>2026</v>
      </c>
      <c r="Q97" s="255">
        <v>2027</v>
      </c>
      <c r="R97" s="255">
        <v>2028</v>
      </c>
      <c r="S97" s="255">
        <v>2029</v>
      </c>
      <c r="T97" s="255">
        <v>2030</v>
      </c>
    </row>
    <row r="98" spans="1:20" x14ac:dyDescent="0.4">
      <c r="B98" s="218"/>
      <c r="C98" s="218"/>
    </row>
    <row r="99" spans="1:20" ht="15" customHeight="1" x14ac:dyDescent="0.4">
      <c r="A99" s="225"/>
      <c r="B99" s="218" t="str">
        <f>'Financial Overview'!B294</f>
        <v>Balance sheet</v>
      </c>
      <c r="C99" s="218"/>
    </row>
    <row r="100" spans="1:20" ht="15" customHeight="1" x14ac:dyDescent="0.4">
      <c r="A100" s="225"/>
      <c r="B100" s="218"/>
      <c r="C100" s="218"/>
      <c r="D100" s="215" t="str">
        <f>'Financial Overview'!D295</f>
        <v>Fixed assets</v>
      </c>
      <c r="E100" s="224" t="str">
        <f>'Financial Overview'!E295</f>
        <v>USD</v>
      </c>
    </row>
    <row r="101" spans="1:20" ht="15" customHeight="1" x14ac:dyDescent="0.4">
      <c r="A101" s="225"/>
      <c r="B101" s="218"/>
      <c r="C101" s="218"/>
      <c r="D101" s="215" t="str">
        <f>'Financial Overview'!D296</f>
        <v xml:space="preserve">  -  Gross</v>
      </c>
      <c r="E101" s="224" t="str">
        <f>'Financial Overview'!E296</f>
        <v>USD</v>
      </c>
      <c r="F101" s="225"/>
      <c r="G101" s="230">
        <f ca="1">'Financial Overview'!G296</f>
        <v>5717078.3639399</v>
      </c>
      <c r="H101" s="230">
        <f ca="1">'Financial Overview'!H296</f>
        <v>5786458.4213288818</v>
      </c>
      <c r="I101" s="230">
        <f ca="1">'Financial Overview'!I296</f>
        <v>5857226.0798656428</v>
      </c>
      <c r="J101" s="230">
        <f ca="1">'Financial Overview'!J296</f>
        <v>5929409.0915731397</v>
      </c>
      <c r="K101" s="230">
        <f ca="1">'Financial Overview'!K296</f>
        <v>6003035.763514786</v>
      </c>
      <c r="L101" s="230">
        <f ca="1">'Financial Overview'!L296</f>
        <v>6078134.9688952658</v>
      </c>
      <c r="M101" s="230">
        <f ca="1">'Financial Overview'!M296</f>
        <v>6154736.1583833545</v>
      </c>
      <c r="N101" s="230">
        <f ca="1">'Financial Overview'!N296</f>
        <v>6232869.3716612048</v>
      </c>
      <c r="O101" s="230">
        <f ca="1">'Financial Overview'!O296</f>
        <v>6312565.2492046123</v>
      </c>
      <c r="P101" s="230">
        <f ca="1">'Financial Overview'!P296</f>
        <v>6393855.0442988882</v>
      </c>
      <c r="Q101" s="230">
        <f ca="1">'Financial Overview'!Q296</f>
        <v>6476770.6352950493</v>
      </c>
      <c r="R101" s="230">
        <f ca="1">'Financial Overview'!R296</f>
        <v>6561344.5381111335</v>
      </c>
      <c r="S101" s="230">
        <f ca="1">'Financial Overview'!S296</f>
        <v>6647609.9189835396</v>
      </c>
      <c r="T101" s="230">
        <f ca="1">'Financial Overview'!T296</f>
        <v>6735600.6074733939</v>
      </c>
    </row>
    <row r="102" spans="1:20" ht="15" customHeight="1" x14ac:dyDescent="0.4">
      <c r="A102" s="225"/>
      <c r="B102" s="218"/>
      <c r="C102" s="218"/>
      <c r="D102" s="215" t="str">
        <f>'Financial Overview'!D297</f>
        <v xml:space="preserve">  -  Depreciation</v>
      </c>
      <c r="E102" s="224" t="str">
        <f>'Financial Overview'!E297</f>
        <v>USD</v>
      </c>
      <c r="F102" s="225"/>
      <c r="G102" s="230">
        <f ca="1">'Financial Overview'!G297</f>
        <v>259867.19836090453</v>
      </c>
      <c r="H102" s="230">
        <f ca="1">'Financial Overview'!H297</f>
        <v>519734.39672180905</v>
      </c>
      <c r="I102" s="230">
        <f ca="1">'Financial Overview'!I297</f>
        <v>779601.59508271352</v>
      </c>
      <c r="J102" s="230">
        <f ca="1">'Financial Overview'!J297</f>
        <v>1039468.7934436181</v>
      </c>
      <c r="K102" s="230">
        <f ca="1">'Financial Overview'!K297</f>
        <v>1299335.9918045227</v>
      </c>
      <c r="L102" s="230">
        <f ca="1">'Financial Overview'!L297</f>
        <v>1559203.1901654273</v>
      </c>
      <c r="M102" s="230">
        <f ca="1">'Financial Overview'!M297</f>
        <v>1819070.3885263319</v>
      </c>
      <c r="N102" s="230">
        <f ca="1">'Financial Overview'!N297</f>
        <v>2078937.5868872365</v>
      </c>
      <c r="O102" s="230">
        <f ca="1">'Financial Overview'!O297</f>
        <v>2338804.7852481408</v>
      </c>
      <c r="P102" s="230">
        <f ca="1">'Financial Overview'!P297</f>
        <v>2598671.9836090454</v>
      </c>
      <c r="Q102" s="230">
        <f ca="1">'Financial Overview'!Q297</f>
        <v>2858539.18196995</v>
      </c>
      <c r="R102" s="230">
        <f ca="1">'Financial Overview'!R297</f>
        <v>3118406.3803308546</v>
      </c>
      <c r="S102" s="230">
        <f ca="1">'Financial Overview'!S297</f>
        <v>3378273.5786917591</v>
      </c>
      <c r="T102" s="230">
        <f ca="1">'Financial Overview'!T297</f>
        <v>3638140.7770526637</v>
      </c>
    </row>
    <row r="103" spans="1:20" ht="15" customHeight="1" x14ac:dyDescent="0.4">
      <c r="A103" s="225"/>
      <c r="B103" s="218"/>
      <c r="C103" s="218"/>
      <c r="G103" s="155" t="s">
        <v>22</v>
      </c>
      <c r="H103" s="155" t="s">
        <v>22</v>
      </c>
      <c r="I103" s="155" t="s">
        <v>22</v>
      </c>
      <c r="J103" s="155" t="s">
        <v>22</v>
      </c>
      <c r="K103" s="155" t="s">
        <v>22</v>
      </c>
      <c r="L103" s="155" t="s">
        <v>22</v>
      </c>
      <c r="M103" s="155" t="s">
        <v>22</v>
      </c>
      <c r="N103" s="155" t="s">
        <v>22</v>
      </c>
      <c r="O103" s="155" t="s">
        <v>22</v>
      </c>
      <c r="P103" s="155" t="s">
        <v>22</v>
      </c>
      <c r="Q103" s="155" t="s">
        <v>22</v>
      </c>
      <c r="R103" s="155" t="s">
        <v>22</v>
      </c>
      <c r="S103" s="155" t="s">
        <v>22</v>
      </c>
      <c r="T103" s="155" t="s">
        <v>22</v>
      </c>
    </row>
    <row r="104" spans="1:20" ht="15" customHeight="1" x14ac:dyDescent="0.4">
      <c r="A104" s="225"/>
      <c r="B104" s="218"/>
      <c r="C104" s="218"/>
      <c r="D104" s="215" t="str">
        <f>'Financial Overview'!D299</f>
        <v>Net fixed assets</v>
      </c>
      <c r="E104" s="224" t="str">
        <f>'Financial Overview'!E299</f>
        <v>USD</v>
      </c>
      <c r="F104" s="225"/>
      <c r="G104" s="230">
        <f ca="1">'Financial Overview'!G299</f>
        <v>5457211.1655789958</v>
      </c>
      <c r="H104" s="230">
        <f ca="1">'Financial Overview'!H299</f>
        <v>5266724.0246070726</v>
      </c>
      <c r="I104" s="230">
        <f ca="1">'Financial Overview'!I299</f>
        <v>5077624.4847829295</v>
      </c>
      <c r="J104" s="230">
        <f ca="1">'Financial Overview'!J299</f>
        <v>4889940.2981295213</v>
      </c>
      <c r="K104" s="230">
        <f ca="1">'Financial Overview'!K299</f>
        <v>4703699.7717102636</v>
      </c>
      <c r="L104" s="230">
        <f ca="1">'Financial Overview'!L299</f>
        <v>4518931.7787298383</v>
      </c>
      <c r="M104" s="230">
        <f ca="1">'Financial Overview'!M299</f>
        <v>4335665.7698570229</v>
      </c>
      <c r="N104" s="230">
        <f ca="1">'Financial Overview'!N299</f>
        <v>4153931.7847739682</v>
      </c>
      <c r="O104" s="230">
        <f ca="1">'Financial Overview'!O299</f>
        <v>3973760.4639564715</v>
      </c>
      <c r="P104" s="230">
        <f ca="1">'Financial Overview'!P299</f>
        <v>3795183.0606898428</v>
      </c>
      <c r="Q104" s="230">
        <f ca="1">'Financial Overview'!Q299</f>
        <v>3618231.4533250993</v>
      </c>
      <c r="R104" s="230">
        <f ca="1">'Financial Overview'!R299</f>
        <v>3442938.1577802789</v>
      </c>
      <c r="S104" s="230">
        <f ca="1">'Financial Overview'!S299</f>
        <v>3269336.3402917804</v>
      </c>
      <c r="T104" s="230">
        <f ca="1">'Financial Overview'!T299</f>
        <v>3097459.8304207302</v>
      </c>
    </row>
    <row r="105" spans="1:20" ht="15" hidden="1" customHeight="1" x14ac:dyDescent="0.4">
      <c r="A105" s="225"/>
      <c r="B105" s="218"/>
      <c r="C105" s="218"/>
      <c r="D105" s="215">
        <f>'Financial Overview'!D300</f>
        <v>0</v>
      </c>
      <c r="E105" s="216">
        <f>'Financial Overview'!E300</f>
        <v>0</v>
      </c>
      <c r="G105" s="230">
        <f>'Financial Overview'!G300</f>
        <v>0</v>
      </c>
      <c r="H105" s="230">
        <f>'Financial Overview'!H300</f>
        <v>0</v>
      </c>
      <c r="I105" s="230">
        <f>'Financial Overview'!I300</f>
        <v>0</v>
      </c>
      <c r="J105" s="230">
        <f>'Financial Overview'!J300</f>
        <v>0</v>
      </c>
      <c r="K105" s="230">
        <f>'Financial Overview'!K300</f>
        <v>0</v>
      </c>
      <c r="L105" s="230">
        <f>'Financial Overview'!L300</f>
        <v>0</v>
      </c>
      <c r="M105" s="230">
        <f>'Financial Overview'!M300</f>
        <v>0</v>
      </c>
      <c r="N105" s="230">
        <f>'Financial Overview'!N300</f>
        <v>0</v>
      </c>
      <c r="O105" s="230">
        <f>'Financial Overview'!O300</f>
        <v>0</v>
      </c>
      <c r="P105" s="230">
        <f>'Financial Overview'!P300</f>
        <v>0</v>
      </c>
      <c r="Q105" s="230">
        <f>'Financial Overview'!Q300</f>
        <v>0</v>
      </c>
      <c r="R105" s="230">
        <f>'Financial Overview'!R300</f>
        <v>0</v>
      </c>
      <c r="S105" s="230">
        <f>'Financial Overview'!S300</f>
        <v>0</v>
      </c>
      <c r="T105" s="230">
        <f>'Financial Overview'!T300</f>
        <v>0</v>
      </c>
    </row>
    <row r="106" spans="1:20" ht="15" customHeight="1" x14ac:dyDescent="0.4">
      <c r="A106" s="225"/>
      <c r="B106" s="218"/>
      <c r="C106" s="218"/>
      <c r="D106" s="215" t="str">
        <f>'Financial Overview'!D301</f>
        <v>Net working capital</v>
      </c>
      <c r="G106" s="230">
        <f>'Financial Overview'!G301</f>
        <v>1574728.7671232875</v>
      </c>
      <c r="H106" s="230">
        <f>'Financial Overview'!H301</f>
        <v>4403985.5342465751</v>
      </c>
      <c r="I106" s="230">
        <f>'Financial Overview'!I301</f>
        <v>4492065.2449315069</v>
      </c>
      <c r="J106" s="230">
        <f>'Financial Overview'!J301</f>
        <v>4581906.5498301368</v>
      </c>
      <c r="K106" s="230">
        <f>'Financial Overview'!K301</f>
        <v>4673544.6808267394</v>
      </c>
      <c r="L106" s="230">
        <f>'Financial Overview'!L301</f>
        <v>4767015.5744432751</v>
      </c>
      <c r="M106" s="230">
        <f>'Financial Overview'!M301</f>
        <v>4862355.8859321401</v>
      </c>
      <c r="N106" s="230">
        <f>'Financial Overview'!N301</f>
        <v>4959603.0036507826</v>
      </c>
      <c r="O106" s="230">
        <f>'Financial Overview'!O301</f>
        <v>5058795.0637237988</v>
      </c>
      <c r="P106" s="230">
        <f>'Financial Overview'!P301</f>
        <v>5159970.964998275</v>
      </c>
      <c r="Q106" s="230">
        <f>'Financial Overview'!Q301</f>
        <v>5263170.3842982398</v>
      </c>
      <c r="R106" s="230">
        <f>'Financial Overview'!R301</f>
        <v>5368433.7919842051</v>
      </c>
      <c r="S106" s="230">
        <f>'Financial Overview'!S301</f>
        <v>5475802.4678238891</v>
      </c>
      <c r="T106" s="230">
        <f>'Financial Overview'!T301</f>
        <v>5585318.5171803674</v>
      </c>
    </row>
    <row r="107" spans="1:20" ht="12.75" hidden="1" customHeight="1" x14ac:dyDescent="0.4">
      <c r="A107" s="225"/>
      <c r="B107" s="218"/>
      <c r="C107" s="218"/>
      <c r="D107" s="215">
        <f>'Financial Overview'!D302</f>
        <v>0</v>
      </c>
      <c r="E107" s="216">
        <f>'Financial Overview'!E302</f>
        <v>0</v>
      </c>
      <c r="G107" s="230">
        <f>'Financial Overview'!G302</f>
        <v>0</v>
      </c>
      <c r="H107" s="230">
        <f>'Financial Overview'!H302</f>
        <v>0</v>
      </c>
      <c r="I107" s="230">
        <f>'Financial Overview'!I302</f>
        <v>0</v>
      </c>
      <c r="J107" s="230">
        <f>'Financial Overview'!J302</f>
        <v>0</v>
      </c>
      <c r="K107" s="230">
        <f>'Financial Overview'!K302</f>
        <v>0</v>
      </c>
      <c r="L107" s="230">
        <f>'Financial Overview'!L302</f>
        <v>0</v>
      </c>
      <c r="M107" s="230">
        <f>'Financial Overview'!M302</f>
        <v>0</v>
      </c>
      <c r="N107" s="230">
        <f>'Financial Overview'!N302</f>
        <v>0</v>
      </c>
      <c r="O107" s="230">
        <f>'Financial Overview'!O302</f>
        <v>0</v>
      </c>
      <c r="P107" s="230">
        <f>'Financial Overview'!P302</f>
        <v>0</v>
      </c>
      <c r="Q107" s="230">
        <f>'Financial Overview'!Q302</f>
        <v>0</v>
      </c>
      <c r="R107" s="230">
        <f>'Financial Overview'!R302</f>
        <v>0</v>
      </c>
      <c r="S107" s="230">
        <f>'Financial Overview'!S302</f>
        <v>0</v>
      </c>
      <c r="T107" s="230">
        <f>'Financial Overview'!T302</f>
        <v>0</v>
      </c>
    </row>
    <row r="108" spans="1:20" ht="15" customHeight="1" x14ac:dyDescent="0.4">
      <c r="A108" s="225"/>
      <c r="B108" s="218"/>
      <c r="C108" s="218"/>
      <c r="D108" s="215" t="str">
        <f>'Financial Overview'!D303</f>
        <v>Net cash/(debt)</v>
      </c>
      <c r="E108" s="224" t="str">
        <f>'Financial Overview'!E303</f>
        <v>USD</v>
      </c>
      <c r="F108" s="225"/>
      <c r="G108" s="230">
        <f ca="1">'Financial Overview'!G303</f>
        <v>596774.65500491671</v>
      </c>
      <c r="H108" s="230">
        <f ca="1">'Financial Overview'!H303</f>
        <v>559751.44489366515</v>
      </c>
      <c r="I108" s="230">
        <f ca="1">'Financial Overview'!I303</f>
        <v>3329013.1213671113</v>
      </c>
      <c r="J108" s="230">
        <f ca="1">'Financial Overview'!J303</f>
        <v>5545410.5291152643</v>
      </c>
      <c r="K108" s="230">
        <f ca="1">'Financial Overview'!K303</f>
        <v>7888984.1662379857</v>
      </c>
      <c r="L108" s="230">
        <f ca="1">'Financial Overview'!L303</f>
        <v>10371977.065185256</v>
      </c>
      <c r="M108" s="230">
        <f ca="1">'Financial Overview'!M303</f>
        <v>13001151.913905784</v>
      </c>
      <c r="N108" s="230">
        <f ca="1">'Financial Overview'!N303</f>
        <v>15783522.047974804</v>
      </c>
      <c r="O108" s="230">
        <f ca="1">'Financial Overview'!O303</f>
        <v>18726413.875480209</v>
      </c>
      <c r="P108" s="230">
        <f ca="1">'Financial Overview'!P303</f>
        <v>21837480.913023874</v>
      </c>
      <c r="Q108" s="230">
        <f ca="1">'Financial Overview'!Q303</f>
        <v>25124717.982237659</v>
      </c>
      <c r="R108" s="230">
        <f ca="1">'Financial Overview'!R303</f>
        <v>28596476.010630459</v>
      </c>
      <c r="S108" s="230">
        <f ca="1">'Financial Overview'!S303</f>
        <v>32261477.466275111</v>
      </c>
      <c r="T108" s="230">
        <f ca="1">'Financial Overview'!T303</f>
        <v>36128832.453357376</v>
      </c>
    </row>
    <row r="109" spans="1:20" ht="15" customHeight="1" x14ac:dyDescent="0.4">
      <c r="A109" s="225"/>
      <c r="B109" s="218"/>
      <c r="C109" s="218"/>
      <c r="G109" s="155" t="s">
        <v>22</v>
      </c>
      <c r="H109" s="155" t="s">
        <v>22</v>
      </c>
      <c r="I109" s="155" t="s">
        <v>22</v>
      </c>
      <c r="J109" s="155" t="s">
        <v>22</v>
      </c>
      <c r="K109" s="155" t="s">
        <v>22</v>
      </c>
      <c r="L109" s="155" t="s">
        <v>22</v>
      </c>
      <c r="M109" s="155" t="s">
        <v>22</v>
      </c>
      <c r="N109" s="155" t="s">
        <v>22</v>
      </c>
      <c r="O109" s="155" t="s">
        <v>22</v>
      </c>
      <c r="P109" s="155" t="s">
        <v>22</v>
      </c>
      <c r="Q109" s="155" t="s">
        <v>22</v>
      </c>
      <c r="R109" s="155" t="s">
        <v>22</v>
      </c>
      <c r="S109" s="155" t="s">
        <v>22</v>
      </c>
      <c r="T109" s="155" t="s">
        <v>22</v>
      </c>
    </row>
    <row r="110" spans="1:20" ht="15" customHeight="1" x14ac:dyDescent="0.4">
      <c r="A110" s="225"/>
      <c r="B110" s="218"/>
      <c r="C110" s="218"/>
      <c r="D110" s="215" t="str">
        <f>'Financial Overview'!D305</f>
        <v>Total assets</v>
      </c>
      <c r="E110" s="224" t="str">
        <f>'Financial Overview'!E305</f>
        <v>USD</v>
      </c>
      <c r="F110" s="225"/>
      <c r="G110" s="230">
        <f ca="1">'Financial Overview'!G305</f>
        <v>7628714.5877072001</v>
      </c>
      <c r="H110" s="230">
        <f ca="1">'Financial Overview'!H305</f>
        <v>10230461.003747314</v>
      </c>
      <c r="I110" s="230">
        <f ca="1">'Financial Overview'!I305</f>
        <v>12898702.851081548</v>
      </c>
      <c r="J110" s="230">
        <f ca="1">'Financial Overview'!J305</f>
        <v>15017257.377074923</v>
      </c>
      <c r="K110" s="230">
        <f ca="1">'Financial Overview'!K305</f>
        <v>17266228.618774988</v>
      </c>
      <c r="L110" s="230">
        <f ca="1">'Financial Overview'!L305</f>
        <v>19657924.418358371</v>
      </c>
      <c r="M110" s="230">
        <f ca="1">'Financial Overview'!M305</f>
        <v>22199173.569694947</v>
      </c>
      <c r="N110" s="230">
        <f ca="1">'Financial Overview'!N305</f>
        <v>24897056.836399555</v>
      </c>
      <c r="O110" s="230">
        <f ca="1">'Financial Overview'!O305</f>
        <v>27758969.403160479</v>
      </c>
      <c r="P110" s="230">
        <f ca="1">'Financial Overview'!P305</f>
        <v>30792634.938711993</v>
      </c>
      <c r="Q110" s="230">
        <f ca="1">'Financial Overview'!Q305</f>
        <v>34006119.819860995</v>
      </c>
      <c r="R110" s="230">
        <f ca="1">'Financial Overview'!R305</f>
        <v>37407847.960394941</v>
      </c>
      <c r="S110" s="230">
        <f ca="1">'Financial Overview'!S305</f>
        <v>41006616.274390779</v>
      </c>
      <c r="T110" s="230">
        <f ca="1">'Financial Overview'!T305</f>
        <v>44811610.80095847</v>
      </c>
    </row>
    <row r="111" spans="1:20" ht="15" hidden="1" customHeight="1" x14ac:dyDescent="0.4">
      <c r="A111" s="225"/>
      <c r="B111" s="218"/>
      <c r="C111" s="218"/>
      <c r="D111" s="215">
        <f>'Financial Overview'!D306</f>
        <v>0</v>
      </c>
      <c r="E111" s="216">
        <f>'Financial Overview'!E306</f>
        <v>0</v>
      </c>
      <c r="G111" s="230">
        <f>'Financial Overview'!G306</f>
        <v>0</v>
      </c>
      <c r="H111" s="230">
        <f>'Financial Overview'!H306</f>
        <v>0</v>
      </c>
      <c r="I111" s="230">
        <f>'Financial Overview'!I306</f>
        <v>0</v>
      </c>
      <c r="J111" s="230">
        <f>'Financial Overview'!J306</f>
        <v>0</v>
      </c>
      <c r="K111" s="230">
        <f>'Financial Overview'!K306</f>
        <v>0</v>
      </c>
      <c r="L111" s="230">
        <f>'Financial Overview'!L306</f>
        <v>0</v>
      </c>
      <c r="M111" s="230">
        <f>'Financial Overview'!M306</f>
        <v>0</v>
      </c>
      <c r="N111" s="230">
        <f>'Financial Overview'!N306</f>
        <v>0</v>
      </c>
      <c r="O111" s="230">
        <f>'Financial Overview'!O306</f>
        <v>0</v>
      </c>
      <c r="P111" s="230">
        <f>'Financial Overview'!P306</f>
        <v>0</v>
      </c>
      <c r="Q111" s="230">
        <f>'Financial Overview'!Q306</f>
        <v>0</v>
      </c>
      <c r="R111" s="230">
        <f>'Financial Overview'!R306</f>
        <v>0</v>
      </c>
      <c r="S111" s="230">
        <f>'Financial Overview'!S306</f>
        <v>0</v>
      </c>
      <c r="T111" s="230">
        <f>'Financial Overview'!T306</f>
        <v>0</v>
      </c>
    </row>
    <row r="112" spans="1:20" ht="15" customHeight="1" x14ac:dyDescent="0.4">
      <c r="A112" s="225"/>
      <c r="B112" s="218"/>
      <c r="C112" s="218"/>
      <c r="G112" s="230"/>
      <c r="H112" s="230"/>
      <c r="I112" s="230"/>
      <c r="J112" s="230"/>
      <c r="K112" s="230"/>
      <c r="L112" s="230"/>
      <c r="M112" s="230"/>
      <c r="N112" s="230"/>
      <c r="O112" s="230"/>
      <c r="P112" s="230"/>
      <c r="Q112" s="230"/>
      <c r="R112" s="230"/>
      <c r="S112" s="230"/>
      <c r="T112" s="230"/>
    </row>
    <row r="113" spans="1:20" ht="15" customHeight="1" x14ac:dyDescent="0.4">
      <c r="A113" s="225"/>
      <c r="B113" s="218"/>
      <c r="C113" s="218"/>
      <c r="D113" s="215" t="str">
        <f>'Financial Overview'!D307</f>
        <v>Tax payable</v>
      </c>
      <c r="E113" s="224" t="str">
        <f>'Financial Overview'!E307</f>
        <v>USD</v>
      </c>
      <c r="F113" s="225"/>
      <c r="G113" s="230">
        <f ca="1">'Financial Overview'!G307</f>
        <v>-711385.62368784007</v>
      </c>
      <c r="H113" s="230">
        <f ca="1">'Financial Overview'!H307</f>
        <v>69138.301124193822</v>
      </c>
      <c r="I113" s="230">
        <f ca="1">'Financial Overview'!I307</f>
        <v>821214.04453752877</v>
      </c>
      <c r="J113" s="230">
        <f ca="1">'Financial Overview'!J307</f>
        <v>881930.57115927117</v>
      </c>
      <c r="K113" s="230">
        <f ca="1">'Financial Overview'!K307</f>
        <v>939270.54385780112</v>
      </c>
      <c r="L113" s="230">
        <f ca="1">'Financial Overview'!L307</f>
        <v>999289.90303235466</v>
      </c>
      <c r="M113" s="230">
        <f ca="1">'Financial Overview'!M307</f>
        <v>1062161.7163106799</v>
      </c>
      <c r="N113" s="230">
        <f ca="1">'Financial Overview'!N307</f>
        <v>1128013.4949045866</v>
      </c>
      <c r="O113" s="230">
        <f ca="1">'Financial Overview'!O307</f>
        <v>1196977.8184996531</v>
      </c>
      <c r="P113" s="230">
        <f ca="1">'Financial Overview'!P307</f>
        <v>1269193.0062153493</v>
      </c>
      <c r="Q113" s="230">
        <f ca="1">'Financial Overview'!Q307</f>
        <v>1344803.3662093072</v>
      </c>
      <c r="R113" s="230">
        <f ca="1">'Financial Overview'!R307</f>
        <v>1423959.4520229748</v>
      </c>
      <c r="S113" s="230">
        <f ca="1">'Financial Overview'!S307</f>
        <v>1506818.3298056428</v>
      </c>
      <c r="T113" s="230">
        <f ca="1">'Financial Overview'!T307</f>
        <v>1593543.8569120015</v>
      </c>
    </row>
    <row r="114" spans="1:20" ht="15" hidden="1" customHeight="1" x14ac:dyDescent="0.4">
      <c r="A114" s="225"/>
      <c r="B114" s="218"/>
      <c r="C114" s="218"/>
      <c r="D114" s="215" t="str">
        <f>'Financial Overview'!D308</f>
        <v>Grant financing</v>
      </c>
      <c r="E114" s="224" t="str">
        <f>'Financial Overview'!E308</f>
        <v>USD</v>
      </c>
      <c r="F114" s="225"/>
      <c r="G114" s="230">
        <f>'Financial Overview'!G308</f>
        <v>0</v>
      </c>
      <c r="H114" s="230">
        <f>'Financial Overview'!H308</f>
        <v>0</v>
      </c>
      <c r="I114" s="230">
        <f>'Financial Overview'!I308</f>
        <v>0</v>
      </c>
      <c r="J114" s="230">
        <f>'Financial Overview'!J308</f>
        <v>0</v>
      </c>
      <c r="K114" s="230">
        <f>'Financial Overview'!K308</f>
        <v>0</v>
      </c>
      <c r="L114" s="230">
        <f>'Financial Overview'!L308</f>
        <v>0</v>
      </c>
      <c r="M114" s="230">
        <f>'Financial Overview'!M308</f>
        <v>0</v>
      </c>
      <c r="N114" s="230">
        <f>'Financial Overview'!N308</f>
        <v>0</v>
      </c>
      <c r="O114" s="230">
        <f>'Financial Overview'!O308</f>
        <v>0</v>
      </c>
      <c r="P114" s="230">
        <f>'Financial Overview'!P308</f>
        <v>0</v>
      </c>
      <c r="Q114" s="230">
        <f>'Financial Overview'!Q308</f>
        <v>0</v>
      </c>
      <c r="R114" s="230">
        <f>'Financial Overview'!R308</f>
        <v>0</v>
      </c>
      <c r="S114" s="230">
        <f>'Financial Overview'!S308</f>
        <v>0</v>
      </c>
      <c r="T114" s="230">
        <f>'Financial Overview'!T308</f>
        <v>0</v>
      </c>
    </row>
    <row r="115" spans="1:20" ht="15" hidden="1" customHeight="1" x14ac:dyDescent="0.4">
      <c r="A115" s="225"/>
      <c r="B115" s="218"/>
      <c r="C115" s="218"/>
      <c r="D115" s="215" t="str">
        <f>'Financial Overview'!D309</f>
        <v>Interest due on grant (payable on exit)</v>
      </c>
      <c r="E115" s="224" t="str">
        <f>'Financial Overview'!E309</f>
        <v>USD</v>
      </c>
      <c r="F115" s="225"/>
      <c r="G115" s="230">
        <f>'Financial Overview'!G309</f>
        <v>0</v>
      </c>
      <c r="H115" s="230">
        <f>'Financial Overview'!H309</f>
        <v>0</v>
      </c>
      <c r="I115" s="230">
        <f>'Financial Overview'!I309</f>
        <v>0</v>
      </c>
      <c r="J115" s="230">
        <f>'Financial Overview'!J309</f>
        <v>0</v>
      </c>
      <c r="K115" s="230">
        <f>'Financial Overview'!K309</f>
        <v>0</v>
      </c>
      <c r="L115" s="230">
        <f>'Financial Overview'!L309</f>
        <v>0</v>
      </c>
      <c r="M115" s="230">
        <f>'Financial Overview'!M309</f>
        <v>0</v>
      </c>
      <c r="N115" s="230">
        <f>'Financial Overview'!N309</f>
        <v>0</v>
      </c>
      <c r="O115" s="230">
        <f>'Financial Overview'!O309</f>
        <v>0</v>
      </c>
      <c r="P115" s="230">
        <f>'Financial Overview'!P309</f>
        <v>0</v>
      </c>
      <c r="Q115" s="230">
        <f>'Financial Overview'!Q309</f>
        <v>0</v>
      </c>
      <c r="R115" s="230">
        <f>'Financial Overview'!R309</f>
        <v>0</v>
      </c>
      <c r="S115" s="230">
        <f>'Financial Overview'!S309</f>
        <v>0</v>
      </c>
      <c r="T115" s="230">
        <f>'Financial Overview'!T309</f>
        <v>0</v>
      </c>
    </row>
    <row r="116" spans="1:20" ht="15" hidden="1" customHeight="1" x14ac:dyDescent="0.4">
      <c r="A116" s="225"/>
      <c r="B116" s="218"/>
      <c r="C116" s="218"/>
      <c r="D116" s="215">
        <f>'Financial Overview'!D310</f>
        <v>0</v>
      </c>
      <c r="E116" s="224">
        <f>'Financial Overview'!E310</f>
        <v>0</v>
      </c>
      <c r="F116" s="225"/>
      <c r="G116" s="230">
        <f>'Financial Overview'!G310</f>
        <v>0</v>
      </c>
      <c r="H116" s="230">
        <f>'Financial Overview'!H310</f>
        <v>0</v>
      </c>
      <c r="I116" s="230">
        <f>'Financial Overview'!I310</f>
        <v>0</v>
      </c>
      <c r="J116" s="230">
        <f>'Financial Overview'!J310</f>
        <v>0</v>
      </c>
      <c r="K116" s="230">
        <f>'Financial Overview'!K310</f>
        <v>0</v>
      </c>
      <c r="L116" s="230">
        <f>'Financial Overview'!L310</f>
        <v>0</v>
      </c>
      <c r="M116" s="230">
        <f>'Financial Overview'!M310</f>
        <v>0</v>
      </c>
      <c r="N116" s="230">
        <f>'Financial Overview'!N310</f>
        <v>0</v>
      </c>
      <c r="O116" s="230">
        <f>'Financial Overview'!O310</f>
        <v>0</v>
      </c>
      <c r="P116" s="230">
        <f>'Financial Overview'!P310</f>
        <v>0</v>
      </c>
      <c r="Q116" s="230">
        <f>'Financial Overview'!Q310</f>
        <v>0</v>
      </c>
      <c r="R116" s="230">
        <f>'Financial Overview'!R310</f>
        <v>0</v>
      </c>
      <c r="S116" s="230">
        <f>'Financial Overview'!S310</f>
        <v>0</v>
      </c>
      <c r="T116" s="230">
        <f>'Financial Overview'!T310</f>
        <v>0</v>
      </c>
    </row>
    <row r="117" spans="1:20" ht="15" hidden="1" customHeight="1" x14ac:dyDescent="0.4">
      <c r="A117" s="225"/>
      <c r="B117" s="218"/>
      <c r="D117" s="215" t="str">
        <f>'Financial Overview'!D311</f>
        <v>Long term debt</v>
      </c>
      <c r="E117" s="216">
        <f>'Financial Overview'!E311</f>
        <v>0</v>
      </c>
      <c r="F117" s="225"/>
      <c r="G117" s="230">
        <f>'Financial Overview'!G311</f>
        <v>0</v>
      </c>
      <c r="H117" s="230">
        <f>'Financial Overview'!H311</f>
        <v>0</v>
      </c>
      <c r="I117" s="230">
        <f>'Financial Overview'!I311</f>
        <v>0</v>
      </c>
      <c r="J117" s="230">
        <f>'Financial Overview'!J311</f>
        <v>0</v>
      </c>
      <c r="K117" s="230">
        <f>'Financial Overview'!K311</f>
        <v>0</v>
      </c>
      <c r="L117" s="230">
        <f>'Financial Overview'!L311</f>
        <v>0</v>
      </c>
      <c r="M117" s="230">
        <f>'Financial Overview'!M311</f>
        <v>0</v>
      </c>
      <c r="N117" s="230">
        <f>'Financial Overview'!N311</f>
        <v>0</v>
      </c>
      <c r="O117" s="230">
        <f>'Financial Overview'!O311</f>
        <v>0</v>
      </c>
      <c r="P117" s="230">
        <f>'Financial Overview'!P311</f>
        <v>0</v>
      </c>
      <c r="Q117" s="230">
        <f>'Financial Overview'!Q311</f>
        <v>0</v>
      </c>
      <c r="R117" s="230">
        <f>'Financial Overview'!R311</f>
        <v>0</v>
      </c>
      <c r="S117" s="230">
        <f>'Financial Overview'!S311</f>
        <v>0</v>
      </c>
      <c r="T117" s="230">
        <f>'Financial Overview'!T311</f>
        <v>0</v>
      </c>
    </row>
    <row r="118" spans="1:20" ht="15" hidden="1" customHeight="1" x14ac:dyDescent="0.4">
      <c r="A118" s="225"/>
      <c r="B118" s="218"/>
      <c r="D118" s="215" t="str">
        <f>'Financial Overview'!D312</f>
        <v xml:space="preserve">  -  WB finance</v>
      </c>
      <c r="E118" s="216" t="str">
        <f>'Financial Overview'!E312</f>
        <v>USD</v>
      </c>
      <c r="F118" s="225"/>
      <c r="G118" s="234">
        <f>'Financial Overview'!G312</f>
        <v>0</v>
      </c>
      <c r="H118" s="234">
        <f>'Financial Overview'!H312</f>
        <v>0</v>
      </c>
      <c r="I118" s="234">
        <f>'Financial Overview'!I312</f>
        <v>0</v>
      </c>
      <c r="J118" s="234">
        <f>'Financial Overview'!J312</f>
        <v>0</v>
      </c>
      <c r="K118" s="234">
        <f>'Financial Overview'!K312</f>
        <v>0</v>
      </c>
      <c r="L118" s="234">
        <f>'Financial Overview'!L312</f>
        <v>0</v>
      </c>
      <c r="M118" s="234">
        <f>'Financial Overview'!M312</f>
        <v>0</v>
      </c>
      <c r="N118" s="234">
        <f>'Financial Overview'!N312</f>
        <v>0</v>
      </c>
      <c r="O118" s="234">
        <f>'Financial Overview'!O312</f>
        <v>0</v>
      </c>
      <c r="P118" s="234">
        <f>'Financial Overview'!P312</f>
        <v>0</v>
      </c>
      <c r="Q118" s="234">
        <f>'Financial Overview'!Q312</f>
        <v>0</v>
      </c>
      <c r="R118" s="234">
        <f>'Financial Overview'!R312</f>
        <v>0</v>
      </c>
      <c r="S118" s="234">
        <f>'Financial Overview'!S312</f>
        <v>0</v>
      </c>
      <c r="T118" s="234">
        <f>'Financial Overview'!T312</f>
        <v>0</v>
      </c>
    </row>
    <row r="119" spans="1:20" ht="15" hidden="1" customHeight="1" x14ac:dyDescent="0.4">
      <c r="A119" s="225"/>
      <c r="B119" s="218"/>
      <c r="D119" s="215" t="str">
        <f>'Financial Overview'!D313</f>
        <v xml:space="preserve">  -  Althelia finance</v>
      </c>
      <c r="E119" s="216" t="str">
        <f>'Financial Overview'!E313</f>
        <v>USD</v>
      </c>
      <c r="F119" s="225"/>
      <c r="G119" s="234">
        <f>'Financial Overview'!G313</f>
        <v>0</v>
      </c>
      <c r="H119" s="234">
        <f>'Financial Overview'!H313</f>
        <v>0</v>
      </c>
      <c r="I119" s="234">
        <f>'Financial Overview'!I313</f>
        <v>0</v>
      </c>
      <c r="J119" s="234">
        <f>'Financial Overview'!J313</f>
        <v>0</v>
      </c>
      <c r="K119" s="234">
        <f>'Financial Overview'!K313</f>
        <v>0</v>
      </c>
      <c r="L119" s="234">
        <f>'Financial Overview'!L313</f>
        <v>0</v>
      </c>
      <c r="M119" s="234">
        <f>'Financial Overview'!M313</f>
        <v>0</v>
      </c>
      <c r="N119" s="234">
        <f>'Financial Overview'!N313</f>
        <v>0</v>
      </c>
      <c r="O119" s="234">
        <f>'Financial Overview'!O313</f>
        <v>0</v>
      </c>
      <c r="P119" s="234">
        <f>'Financial Overview'!P313</f>
        <v>0</v>
      </c>
      <c r="Q119" s="234">
        <f>'Financial Overview'!Q313</f>
        <v>0</v>
      </c>
      <c r="R119" s="234">
        <f>'Financial Overview'!R313</f>
        <v>0</v>
      </c>
      <c r="S119" s="234">
        <f>'Financial Overview'!S313</f>
        <v>0</v>
      </c>
      <c r="T119" s="234">
        <f>'Financial Overview'!T313</f>
        <v>0</v>
      </c>
    </row>
    <row r="120" spans="1:20" ht="15" hidden="1" customHeight="1" x14ac:dyDescent="0.4">
      <c r="A120" s="225"/>
      <c r="B120" s="218"/>
      <c r="D120" s="215" t="str">
        <f>'Financial Overview'!D314</f>
        <v xml:space="preserve">  -  Other low cost debt</v>
      </c>
      <c r="E120" s="216" t="str">
        <f>'Financial Overview'!E314</f>
        <v>USD</v>
      </c>
      <c r="F120" s="225"/>
      <c r="G120" s="234">
        <f>'Financial Overview'!G314</f>
        <v>0</v>
      </c>
      <c r="H120" s="234">
        <f>'Financial Overview'!H314</f>
        <v>0</v>
      </c>
      <c r="I120" s="234">
        <f>'Financial Overview'!I314</f>
        <v>0</v>
      </c>
      <c r="J120" s="234">
        <f>'Financial Overview'!J314</f>
        <v>0</v>
      </c>
      <c r="K120" s="234">
        <f>'Financial Overview'!K314</f>
        <v>0</v>
      </c>
      <c r="L120" s="234">
        <f>'Financial Overview'!L314</f>
        <v>0</v>
      </c>
      <c r="M120" s="234">
        <f>'Financial Overview'!M314</f>
        <v>0</v>
      </c>
      <c r="N120" s="234">
        <f>'Financial Overview'!N314</f>
        <v>0</v>
      </c>
      <c r="O120" s="234">
        <f>'Financial Overview'!O314</f>
        <v>0</v>
      </c>
      <c r="P120" s="234">
        <f>'Financial Overview'!P314</f>
        <v>0</v>
      </c>
      <c r="Q120" s="234">
        <f>'Financial Overview'!Q314</f>
        <v>0</v>
      </c>
      <c r="R120" s="234">
        <f>'Financial Overview'!R314</f>
        <v>0</v>
      </c>
      <c r="S120" s="234">
        <f>'Financial Overview'!S314</f>
        <v>0</v>
      </c>
      <c r="T120" s="234">
        <f>'Financial Overview'!T314</f>
        <v>0</v>
      </c>
    </row>
    <row r="121" spans="1:20" ht="15" hidden="1" customHeight="1" x14ac:dyDescent="0.4">
      <c r="A121" s="225"/>
      <c r="B121" s="218"/>
      <c r="D121" s="215" t="str">
        <f>'Financial Overview'!D315</f>
        <v xml:space="preserve">  -  Commercial debt</v>
      </c>
      <c r="E121" s="216" t="str">
        <f>'Financial Overview'!E315</f>
        <v>USD</v>
      </c>
      <c r="F121" s="225"/>
      <c r="G121" s="234">
        <f>'Financial Overview'!G315</f>
        <v>0</v>
      </c>
      <c r="H121" s="234">
        <f>'Financial Overview'!H315</f>
        <v>0</v>
      </c>
      <c r="I121" s="234">
        <f>'Financial Overview'!I315</f>
        <v>0</v>
      </c>
      <c r="J121" s="234">
        <f>'Financial Overview'!J315</f>
        <v>0</v>
      </c>
      <c r="K121" s="234">
        <f>'Financial Overview'!K315</f>
        <v>0</v>
      </c>
      <c r="L121" s="234">
        <f>'Financial Overview'!L315</f>
        <v>0</v>
      </c>
      <c r="M121" s="234">
        <f>'Financial Overview'!M315</f>
        <v>0</v>
      </c>
      <c r="N121" s="234">
        <f>'Financial Overview'!N315</f>
        <v>0</v>
      </c>
      <c r="O121" s="234">
        <f>'Financial Overview'!O315</f>
        <v>0</v>
      </c>
      <c r="P121" s="234">
        <f>'Financial Overview'!P315</f>
        <v>0</v>
      </c>
      <c r="Q121" s="234">
        <f>'Financial Overview'!Q315</f>
        <v>0</v>
      </c>
      <c r="R121" s="234">
        <f>'Financial Overview'!R315</f>
        <v>0</v>
      </c>
      <c r="S121" s="234">
        <f>'Financial Overview'!S315</f>
        <v>0</v>
      </c>
      <c r="T121" s="234">
        <f>'Financial Overview'!T315</f>
        <v>0</v>
      </c>
    </row>
    <row r="122" spans="1:20" ht="15" hidden="1" customHeight="1" x14ac:dyDescent="0.4">
      <c r="A122" s="225"/>
      <c r="B122" s="218"/>
      <c r="D122" s="215">
        <f>'Financial Overview'!D316</f>
        <v>0</v>
      </c>
      <c r="E122" s="216">
        <f>'Financial Overview'!E316</f>
        <v>0</v>
      </c>
      <c r="F122" s="225"/>
      <c r="G122" s="233" t="str">
        <f>'Financial Overview'!G316</f>
        <v>----------</v>
      </c>
      <c r="H122" s="233" t="str">
        <f>'Financial Overview'!H316</f>
        <v>----------</v>
      </c>
      <c r="I122" s="233" t="str">
        <f>'Financial Overview'!I316</f>
        <v>----------</v>
      </c>
      <c r="J122" s="233" t="str">
        <f>'Financial Overview'!J316</f>
        <v>----------</v>
      </c>
      <c r="K122" s="233" t="str">
        <f>'Financial Overview'!K316</f>
        <v>----------</v>
      </c>
      <c r="L122" s="233" t="str">
        <f>'Financial Overview'!L316</f>
        <v>----------</v>
      </c>
      <c r="M122" s="233" t="str">
        <f>'Financial Overview'!M316</f>
        <v>----------</v>
      </c>
      <c r="N122" s="233" t="str">
        <f>'Financial Overview'!N316</f>
        <v>----------</v>
      </c>
      <c r="O122" s="233" t="str">
        <f>'Financial Overview'!O316</f>
        <v>----------</v>
      </c>
      <c r="P122" s="233" t="str">
        <f>'Financial Overview'!P316</f>
        <v>----------</v>
      </c>
      <c r="Q122" s="233" t="str">
        <f>'Financial Overview'!Q316</f>
        <v>----------</v>
      </c>
      <c r="R122" s="233" t="str">
        <f>'Financial Overview'!R316</f>
        <v>----------</v>
      </c>
      <c r="S122" s="233" t="str">
        <f>'Financial Overview'!S316</f>
        <v>----------</v>
      </c>
      <c r="T122" s="233" t="str">
        <f>'Financial Overview'!T316</f>
        <v>----------</v>
      </c>
    </row>
    <row r="123" spans="1:20" ht="15" customHeight="1" x14ac:dyDescent="0.4">
      <c r="A123" s="225"/>
      <c r="B123" s="218"/>
      <c r="D123" s="215" t="str">
        <f>'Financial Overview'!D317</f>
        <v>Total long term debt</v>
      </c>
      <c r="E123" s="216" t="str">
        <f>'Financial Overview'!E317</f>
        <v>USD</v>
      </c>
      <c r="F123" s="235"/>
      <c r="G123" s="234">
        <f>'Financial Overview'!G317</f>
        <v>0</v>
      </c>
      <c r="H123" s="234">
        <f>'Financial Overview'!H317</f>
        <v>0</v>
      </c>
      <c r="I123" s="234">
        <f>'Financial Overview'!I317</f>
        <v>0</v>
      </c>
      <c r="J123" s="234">
        <f>'Financial Overview'!J317</f>
        <v>0</v>
      </c>
      <c r="K123" s="234">
        <f>'Financial Overview'!K317</f>
        <v>0</v>
      </c>
      <c r="L123" s="234">
        <f>'Financial Overview'!L317</f>
        <v>0</v>
      </c>
      <c r="M123" s="234">
        <f>'Financial Overview'!M317</f>
        <v>0</v>
      </c>
      <c r="N123" s="234">
        <f>'Financial Overview'!N317</f>
        <v>0</v>
      </c>
      <c r="O123" s="234">
        <f>'Financial Overview'!O317</f>
        <v>0</v>
      </c>
      <c r="P123" s="234">
        <f>'Financial Overview'!P317</f>
        <v>0</v>
      </c>
      <c r="Q123" s="234">
        <f>'Financial Overview'!Q317</f>
        <v>0</v>
      </c>
      <c r="R123" s="234">
        <f>'Financial Overview'!R317</f>
        <v>0</v>
      </c>
      <c r="S123" s="234">
        <f>'Financial Overview'!S317</f>
        <v>0</v>
      </c>
      <c r="T123" s="234">
        <f>'Financial Overview'!T317</f>
        <v>0</v>
      </c>
    </row>
    <row r="124" spans="1:20" ht="15" hidden="1" customHeight="1" x14ac:dyDescent="0.4">
      <c r="A124" s="225"/>
      <c r="B124" s="218"/>
      <c r="C124" s="218"/>
      <c r="D124" s="215">
        <f>'Financial Overview'!D318</f>
        <v>0</v>
      </c>
      <c r="E124" s="216">
        <f>'Financial Overview'!E318</f>
        <v>0</v>
      </c>
      <c r="G124" s="215">
        <f>'Financial Overview'!G318</f>
        <v>0</v>
      </c>
      <c r="H124" s="215">
        <f>'Financial Overview'!H318</f>
        <v>0</v>
      </c>
      <c r="I124" s="215">
        <f>'Financial Overview'!I318</f>
        <v>0</v>
      </c>
      <c r="J124" s="215">
        <f>'Financial Overview'!J318</f>
        <v>0</v>
      </c>
      <c r="K124" s="215">
        <f>'Financial Overview'!K318</f>
        <v>0</v>
      </c>
      <c r="L124" s="215">
        <f>'Financial Overview'!L318</f>
        <v>0</v>
      </c>
      <c r="M124" s="215">
        <f>'Financial Overview'!M318</f>
        <v>0</v>
      </c>
      <c r="N124" s="215">
        <f>'Financial Overview'!N318</f>
        <v>0</v>
      </c>
      <c r="O124" s="215">
        <f>'Financial Overview'!O318</f>
        <v>0</v>
      </c>
      <c r="P124" s="215">
        <f>'Financial Overview'!P318</f>
        <v>0</v>
      </c>
      <c r="Q124" s="215">
        <f>'Financial Overview'!Q318</f>
        <v>0</v>
      </c>
      <c r="R124" s="215">
        <f>'Financial Overview'!R318</f>
        <v>0</v>
      </c>
      <c r="S124" s="215">
        <f>'Financial Overview'!S318</f>
        <v>0</v>
      </c>
      <c r="T124" s="215">
        <f>'Financial Overview'!T318</f>
        <v>0</v>
      </c>
    </row>
    <row r="125" spans="1:20" ht="15" customHeight="1" x14ac:dyDescent="0.4">
      <c r="A125" s="225"/>
      <c r="B125" s="218"/>
      <c r="C125" s="218"/>
    </row>
    <row r="126" spans="1:20" ht="15" customHeight="1" x14ac:dyDescent="0.4">
      <c r="A126" s="225"/>
      <c r="B126" s="218"/>
      <c r="C126" s="218"/>
      <c r="D126" s="215" t="str">
        <f>'Financial Overview'!D319</f>
        <v>Shareholder funds</v>
      </c>
    </row>
    <row r="127" spans="1:20" ht="15" customHeight="1" x14ac:dyDescent="0.4">
      <c r="A127" s="225"/>
      <c r="B127" s="218"/>
      <c r="C127" s="218"/>
      <c r="D127" s="215" t="str">
        <f>'Financial Overview'!D320</f>
        <v xml:space="preserve">  -  Capital</v>
      </c>
      <c r="E127" s="224" t="str">
        <f>'Financial Overview'!E320</f>
        <v>USD</v>
      </c>
      <c r="F127" s="235"/>
      <c r="G127" s="230">
        <f>'Financial Overview'!G320</f>
        <v>10000000</v>
      </c>
      <c r="H127" s="230">
        <f>'Financial Overview'!H320</f>
        <v>10000000</v>
      </c>
      <c r="I127" s="230">
        <f>'Financial Overview'!I320</f>
        <v>10000000</v>
      </c>
      <c r="J127" s="230">
        <f>'Financial Overview'!J320</f>
        <v>10000000</v>
      </c>
      <c r="K127" s="230">
        <f>'Financial Overview'!K320</f>
        <v>10000000</v>
      </c>
      <c r="L127" s="230">
        <f>'Financial Overview'!L320</f>
        <v>10000000</v>
      </c>
      <c r="M127" s="230">
        <f>'Financial Overview'!M320</f>
        <v>10000000</v>
      </c>
      <c r="N127" s="230">
        <f>'Financial Overview'!N320</f>
        <v>10000000</v>
      </c>
      <c r="O127" s="230">
        <f>'Financial Overview'!O320</f>
        <v>10000000</v>
      </c>
      <c r="P127" s="230">
        <f>'Financial Overview'!P320</f>
        <v>10000000</v>
      </c>
      <c r="Q127" s="230">
        <f>'Financial Overview'!Q320</f>
        <v>10000000</v>
      </c>
      <c r="R127" s="230">
        <f>'Financial Overview'!R320</f>
        <v>10000000</v>
      </c>
      <c r="S127" s="230">
        <f>'Financial Overview'!S320</f>
        <v>10000000</v>
      </c>
      <c r="T127" s="230">
        <f>'Financial Overview'!T320</f>
        <v>10000000</v>
      </c>
    </row>
    <row r="128" spans="1:20" ht="15" customHeight="1" x14ac:dyDescent="0.4">
      <c r="A128" s="225"/>
      <c r="B128" s="218"/>
      <c r="C128" s="218"/>
      <c r="D128" s="215" t="str">
        <f>'Financial Overview'!D321</f>
        <v xml:space="preserve">  -  Retained earnings</v>
      </c>
      <c r="E128" s="224" t="str">
        <f>'Financial Overview'!E321</f>
        <v>USD</v>
      </c>
      <c r="F128" s="225"/>
      <c r="G128" s="230">
        <f ca="1">'Financial Overview'!G321</f>
        <v>-1659899.7886049603</v>
      </c>
      <c r="H128" s="230">
        <f ca="1">'Financial Overview'!H321</f>
        <v>161322.70262311911</v>
      </c>
      <c r="I128" s="230">
        <f ca="1">'Financial Overview'!I321</f>
        <v>2077488.8065440194</v>
      </c>
      <c r="J128" s="230">
        <f ca="1">'Financial Overview'!J321</f>
        <v>4135326.8059156518</v>
      </c>
      <c r="K128" s="230">
        <f ca="1">'Financial Overview'!K321</f>
        <v>6326958.0749171879</v>
      </c>
      <c r="L128" s="230">
        <f ca="1">'Financial Overview'!L321</f>
        <v>8658634.5153260157</v>
      </c>
      <c r="M128" s="230">
        <f ca="1">'Financial Overview'!M321</f>
        <v>11137011.853384268</v>
      </c>
      <c r="N128" s="230">
        <f ca="1">'Financial Overview'!N321</f>
        <v>13769043.34149497</v>
      </c>
      <c r="O128" s="230">
        <f ca="1">'Financial Overview'!O321</f>
        <v>16561991.584660828</v>
      </c>
      <c r="P128" s="230">
        <f ca="1">'Financial Overview'!P321</f>
        <v>19523441.932496645</v>
      </c>
      <c r="Q128" s="230">
        <f ca="1">'Financial Overview'!Q321</f>
        <v>22661316.453651696</v>
      </c>
      <c r="R128" s="230">
        <f ca="1">'Financial Overview'!R321</f>
        <v>25983888.508371972</v>
      </c>
      <c r="S128" s="230">
        <f ca="1">'Financial Overview'!S321</f>
        <v>29499797.944585137</v>
      </c>
      <c r="T128" s="230">
        <f ca="1">'Financial Overview'!T321</f>
        <v>33218066.944046475</v>
      </c>
    </row>
    <row r="129" spans="1:20" ht="15" hidden="1" customHeight="1" x14ac:dyDescent="0.4">
      <c r="A129" s="225"/>
      <c r="B129" s="218"/>
      <c r="C129" s="218"/>
      <c r="D129" s="215">
        <f>'Financial Overview'!D322</f>
        <v>0</v>
      </c>
      <c r="E129" s="216">
        <f>'Financial Overview'!E322</f>
        <v>0</v>
      </c>
      <c r="G129" s="230">
        <f>'Financial Overview'!G322</f>
        <v>0</v>
      </c>
      <c r="H129" s="230">
        <f>'Financial Overview'!H322</f>
        <v>0</v>
      </c>
      <c r="I129" s="230">
        <f>'Financial Overview'!I322</f>
        <v>0</v>
      </c>
      <c r="J129" s="230">
        <f>'Financial Overview'!J322</f>
        <v>0</v>
      </c>
      <c r="K129" s="230">
        <f>'Financial Overview'!K322</f>
        <v>0</v>
      </c>
      <c r="L129" s="230">
        <f>'Financial Overview'!L322</f>
        <v>0</v>
      </c>
      <c r="M129" s="230">
        <f>'Financial Overview'!M322</f>
        <v>0</v>
      </c>
      <c r="N129" s="230">
        <f>'Financial Overview'!N322</f>
        <v>0</v>
      </c>
      <c r="O129" s="230">
        <f>'Financial Overview'!O322</f>
        <v>0</v>
      </c>
      <c r="P129" s="230">
        <f>'Financial Overview'!P322</f>
        <v>0</v>
      </c>
      <c r="Q129" s="230">
        <f>'Financial Overview'!Q322</f>
        <v>0</v>
      </c>
      <c r="R129" s="230">
        <f>'Financial Overview'!R322</f>
        <v>0</v>
      </c>
      <c r="S129" s="230">
        <f>'Financial Overview'!S322</f>
        <v>0</v>
      </c>
      <c r="T129" s="230">
        <f>'Financial Overview'!T322</f>
        <v>0</v>
      </c>
    </row>
    <row r="130" spans="1:20" ht="15" customHeight="1" x14ac:dyDescent="0.4">
      <c r="A130" s="225"/>
      <c r="B130" s="218"/>
      <c r="C130" s="218"/>
      <c r="D130" s="215" t="str">
        <f>'Financial Overview'!D323</f>
        <v xml:space="preserve">  -  Total shareholder funds</v>
      </c>
      <c r="E130" s="224" t="str">
        <f>'Financial Overview'!E323</f>
        <v>USD</v>
      </c>
      <c r="F130" s="225"/>
      <c r="G130" s="230">
        <f ca="1">'Financial Overview'!G323</f>
        <v>8340100.2113950402</v>
      </c>
      <c r="H130" s="230">
        <f ca="1">'Financial Overview'!H323</f>
        <v>10161322.70262312</v>
      </c>
      <c r="I130" s="230">
        <f ca="1">'Financial Overview'!I323</f>
        <v>12077488.806544019</v>
      </c>
      <c r="J130" s="230">
        <f ca="1">'Financial Overview'!J323</f>
        <v>14135326.805915652</v>
      </c>
      <c r="K130" s="230">
        <f ca="1">'Financial Overview'!K323</f>
        <v>16326958.074917188</v>
      </c>
      <c r="L130" s="230">
        <f ca="1">'Financial Overview'!L323</f>
        <v>18658634.515326016</v>
      </c>
      <c r="M130" s="230">
        <f ca="1">'Financial Overview'!M323</f>
        <v>21137011.853384268</v>
      </c>
      <c r="N130" s="230">
        <f ca="1">'Financial Overview'!N323</f>
        <v>23769043.34149497</v>
      </c>
      <c r="O130" s="230">
        <f ca="1">'Financial Overview'!O323</f>
        <v>26561991.584660828</v>
      </c>
      <c r="P130" s="230">
        <f ca="1">'Financial Overview'!P323</f>
        <v>29523441.932496645</v>
      </c>
      <c r="Q130" s="230">
        <f ca="1">'Financial Overview'!Q323</f>
        <v>32661316.453651696</v>
      </c>
      <c r="R130" s="230">
        <f ca="1">'Financial Overview'!R323</f>
        <v>35983888.508371972</v>
      </c>
      <c r="S130" s="230">
        <f ca="1">'Financial Overview'!S323</f>
        <v>39499797.944585137</v>
      </c>
      <c r="T130" s="230">
        <f ca="1">'Financial Overview'!T323</f>
        <v>43218066.944046475</v>
      </c>
    </row>
    <row r="131" spans="1:20" ht="15" hidden="1" customHeight="1" x14ac:dyDescent="0.4">
      <c r="A131" s="225"/>
      <c r="B131" s="218"/>
      <c r="C131" s="218"/>
      <c r="D131" s="215">
        <f>'Financial Overview'!D324</f>
        <v>0</v>
      </c>
      <c r="E131" s="216">
        <f>'Financial Overview'!E324</f>
        <v>0</v>
      </c>
      <c r="G131" s="230">
        <f>'Financial Overview'!G324</f>
        <v>0</v>
      </c>
      <c r="H131" s="230">
        <f>'Financial Overview'!H324</f>
        <v>0</v>
      </c>
      <c r="I131" s="230">
        <f>'Financial Overview'!I324</f>
        <v>0</v>
      </c>
      <c r="J131" s="230">
        <f>'Financial Overview'!J324</f>
        <v>0</v>
      </c>
      <c r="K131" s="230">
        <f>'Financial Overview'!K324</f>
        <v>0</v>
      </c>
      <c r="L131" s="230">
        <f>'Financial Overview'!L324</f>
        <v>0</v>
      </c>
      <c r="M131" s="230">
        <f>'Financial Overview'!M324</f>
        <v>0</v>
      </c>
      <c r="N131" s="230">
        <f>'Financial Overview'!N324</f>
        <v>0</v>
      </c>
      <c r="O131" s="230">
        <f>'Financial Overview'!O324</f>
        <v>0</v>
      </c>
      <c r="P131" s="230">
        <f>'Financial Overview'!P324</f>
        <v>0</v>
      </c>
      <c r="Q131" s="230">
        <f>'Financial Overview'!Q324</f>
        <v>0</v>
      </c>
      <c r="R131" s="230">
        <f>'Financial Overview'!R324</f>
        <v>0</v>
      </c>
      <c r="S131" s="230">
        <f>'Financial Overview'!S324</f>
        <v>0</v>
      </c>
      <c r="T131" s="230">
        <f>'Financial Overview'!T324</f>
        <v>0</v>
      </c>
    </row>
    <row r="132" spans="1:20" ht="15" customHeight="1" x14ac:dyDescent="0.4">
      <c r="A132" s="225"/>
      <c r="B132" s="218"/>
      <c r="C132" s="218"/>
      <c r="G132" s="230"/>
      <c r="H132" s="230"/>
      <c r="I132" s="230"/>
      <c r="J132" s="230"/>
      <c r="K132" s="230"/>
      <c r="L132" s="230"/>
      <c r="M132" s="230"/>
      <c r="N132" s="230"/>
      <c r="O132" s="230"/>
      <c r="P132" s="230"/>
      <c r="Q132" s="230"/>
      <c r="R132" s="230"/>
      <c r="S132" s="230"/>
      <c r="T132" s="230"/>
    </row>
    <row r="133" spans="1:20" ht="15" customHeight="1" x14ac:dyDescent="0.4">
      <c r="A133" s="225"/>
      <c r="B133" s="218"/>
      <c r="C133" s="218"/>
      <c r="D133" s="215" t="str">
        <f>'Financial Overview'!D325</f>
        <v xml:space="preserve">Total liabilities </v>
      </c>
      <c r="E133" s="224" t="str">
        <f>'Financial Overview'!E325</f>
        <v>USD</v>
      </c>
      <c r="G133" s="230">
        <f ca="1">'Financial Overview'!G325</f>
        <v>7628714.5877072001</v>
      </c>
      <c r="H133" s="230">
        <f ca="1">'Financial Overview'!H325</f>
        <v>10230461.003747314</v>
      </c>
      <c r="I133" s="230">
        <f ca="1">'Financial Overview'!I325</f>
        <v>12898702.851081548</v>
      </c>
      <c r="J133" s="230">
        <f ca="1">'Financial Overview'!J325</f>
        <v>15017257.377074923</v>
      </c>
      <c r="K133" s="230">
        <f ca="1">'Financial Overview'!K325</f>
        <v>17266228.618774988</v>
      </c>
      <c r="L133" s="230">
        <f ca="1">'Financial Overview'!L325</f>
        <v>19657924.418358371</v>
      </c>
      <c r="M133" s="230">
        <f ca="1">'Financial Overview'!M325</f>
        <v>22199173.569694947</v>
      </c>
      <c r="N133" s="230">
        <f ca="1">'Financial Overview'!N325</f>
        <v>24897056.836399555</v>
      </c>
      <c r="O133" s="230">
        <f ca="1">'Financial Overview'!O325</f>
        <v>27758969.403160483</v>
      </c>
      <c r="P133" s="230">
        <f ca="1">'Financial Overview'!P325</f>
        <v>30792634.938711993</v>
      </c>
      <c r="Q133" s="230">
        <f ca="1">'Financial Overview'!Q325</f>
        <v>34006119.819861002</v>
      </c>
      <c r="R133" s="230">
        <f ca="1">'Financial Overview'!R325</f>
        <v>37407847.960394949</v>
      </c>
      <c r="S133" s="230">
        <f ca="1">'Financial Overview'!S325</f>
        <v>41006616.274390779</v>
      </c>
      <c r="T133" s="230">
        <f ca="1">'Financial Overview'!T325</f>
        <v>44811610.800958477</v>
      </c>
    </row>
    <row r="134" spans="1:20" ht="15" hidden="1" customHeight="1" x14ac:dyDescent="0.4">
      <c r="A134" s="225"/>
      <c r="B134" s="218"/>
      <c r="C134" s="218"/>
      <c r="D134" s="215">
        <f>'Financial Overview'!D326</f>
        <v>0</v>
      </c>
      <c r="E134" s="224">
        <f>'Financial Overview'!E326</f>
        <v>0</v>
      </c>
      <c r="G134" s="230">
        <f>'Financial Overview'!G326</f>
        <v>0</v>
      </c>
      <c r="H134" s="230">
        <f>'Financial Overview'!H326</f>
        <v>0</v>
      </c>
      <c r="I134" s="230">
        <f>'Financial Overview'!I326</f>
        <v>0</v>
      </c>
      <c r="J134" s="230">
        <f>'Financial Overview'!J326</f>
        <v>0</v>
      </c>
      <c r="K134" s="230">
        <f>'Financial Overview'!K326</f>
        <v>0</v>
      </c>
      <c r="L134" s="230">
        <f>'Financial Overview'!L326</f>
        <v>0</v>
      </c>
      <c r="M134" s="230">
        <f>'Financial Overview'!M326</f>
        <v>0</v>
      </c>
      <c r="N134" s="230">
        <f>'Financial Overview'!N326</f>
        <v>0</v>
      </c>
      <c r="O134" s="230">
        <f>'Financial Overview'!O326</f>
        <v>0</v>
      </c>
      <c r="P134" s="230">
        <f>'Financial Overview'!P326</f>
        <v>0</v>
      </c>
      <c r="Q134" s="230">
        <f>'Financial Overview'!Q326</f>
        <v>0</v>
      </c>
      <c r="R134" s="230">
        <f>'Financial Overview'!R326</f>
        <v>0</v>
      </c>
      <c r="S134" s="230">
        <f>'Financial Overview'!S326</f>
        <v>0</v>
      </c>
      <c r="T134" s="230">
        <f>'Financial Overview'!T326</f>
        <v>0</v>
      </c>
    </row>
    <row r="135" spans="1:20" ht="15" customHeight="1" x14ac:dyDescent="0.4">
      <c r="A135" s="225"/>
      <c r="B135" s="218"/>
      <c r="C135" s="218"/>
      <c r="E135" s="224"/>
      <c r="G135" s="230"/>
      <c r="H135" s="230"/>
      <c r="I135" s="230"/>
      <c r="J135" s="230"/>
      <c r="K135" s="230"/>
      <c r="L135" s="230"/>
      <c r="M135" s="230"/>
      <c r="N135" s="230"/>
      <c r="O135" s="230"/>
      <c r="P135" s="230"/>
      <c r="Q135" s="230"/>
      <c r="R135" s="230"/>
      <c r="S135" s="230"/>
      <c r="T135" s="230"/>
    </row>
    <row r="136" spans="1:20" ht="15" customHeight="1" x14ac:dyDescent="0.4">
      <c r="A136" s="225"/>
      <c r="B136" s="218"/>
      <c r="C136" s="218"/>
      <c r="D136" s="215" t="str">
        <f>'Financial Overview'!D327</f>
        <v>Total debt</v>
      </c>
      <c r="E136" s="224" t="str">
        <f>'Financial Overview'!E327</f>
        <v>USD</v>
      </c>
      <c r="G136" s="230">
        <f ca="1">'Financial Overview'!G327</f>
        <v>0</v>
      </c>
      <c r="H136" s="230">
        <f ca="1">'Financial Overview'!H327</f>
        <v>0</v>
      </c>
      <c r="I136" s="230">
        <f ca="1">'Financial Overview'!I327</f>
        <v>0</v>
      </c>
      <c r="J136" s="230">
        <f ca="1">'Financial Overview'!J327</f>
        <v>0</v>
      </c>
      <c r="K136" s="230">
        <f ca="1">'Financial Overview'!K327</f>
        <v>0</v>
      </c>
      <c r="L136" s="230">
        <f ca="1">'Financial Overview'!L327</f>
        <v>0</v>
      </c>
      <c r="M136" s="230">
        <f ca="1">'Financial Overview'!M327</f>
        <v>0</v>
      </c>
      <c r="N136" s="230">
        <f ca="1">'Financial Overview'!N327</f>
        <v>0</v>
      </c>
      <c r="O136" s="230">
        <f ca="1">'Financial Overview'!O327</f>
        <v>0</v>
      </c>
      <c r="P136" s="230">
        <f ca="1">'Financial Overview'!P327</f>
        <v>0</v>
      </c>
      <c r="Q136" s="230">
        <f ca="1">'Financial Overview'!Q327</f>
        <v>0</v>
      </c>
      <c r="R136" s="230">
        <f ca="1">'Financial Overview'!R327</f>
        <v>0</v>
      </c>
      <c r="S136" s="230">
        <f ca="1">'Financial Overview'!S327</f>
        <v>0</v>
      </c>
      <c r="T136" s="230">
        <f ca="1">'Financial Overview'!T327</f>
        <v>0</v>
      </c>
    </row>
    <row r="137" spans="1:20" ht="15" customHeight="1" x14ac:dyDescent="0.4">
      <c r="A137" s="225"/>
      <c r="B137" s="218"/>
      <c r="C137" s="218"/>
      <c r="D137" s="215" t="str">
        <f>'Financial Overview'!D328</f>
        <v>Net debt</v>
      </c>
      <c r="E137" s="224" t="str">
        <f>'Financial Overview'!E328</f>
        <v>USD</v>
      </c>
      <c r="G137" s="230">
        <f ca="1">'Financial Overview'!G328</f>
        <v>0</v>
      </c>
      <c r="H137" s="230">
        <f ca="1">'Financial Overview'!H328</f>
        <v>0</v>
      </c>
      <c r="I137" s="230">
        <f ca="1">'Financial Overview'!I328</f>
        <v>0</v>
      </c>
      <c r="J137" s="230">
        <f ca="1">'Financial Overview'!J328</f>
        <v>0</v>
      </c>
      <c r="K137" s="230">
        <f ca="1">'Financial Overview'!K328</f>
        <v>0</v>
      </c>
      <c r="L137" s="230">
        <f ca="1">'Financial Overview'!L328</f>
        <v>0</v>
      </c>
      <c r="M137" s="230">
        <f ca="1">'Financial Overview'!M328</f>
        <v>0</v>
      </c>
      <c r="N137" s="230">
        <f ca="1">'Financial Overview'!N328</f>
        <v>0</v>
      </c>
      <c r="O137" s="230">
        <f ca="1">'Financial Overview'!O328</f>
        <v>0</v>
      </c>
      <c r="P137" s="230">
        <f ca="1">'Financial Overview'!P328</f>
        <v>0</v>
      </c>
      <c r="Q137" s="230">
        <f ca="1">'Financial Overview'!Q328</f>
        <v>0</v>
      </c>
      <c r="R137" s="230">
        <f ca="1">'Financial Overview'!R328</f>
        <v>0</v>
      </c>
      <c r="S137" s="230">
        <f ca="1">'Financial Overview'!S328</f>
        <v>0</v>
      </c>
      <c r="T137" s="230">
        <f ca="1">'Financial Overview'!T328</f>
        <v>0</v>
      </c>
    </row>
    <row r="138" spans="1:20" ht="15" hidden="1" customHeight="1" x14ac:dyDescent="0.4">
      <c r="A138" s="225"/>
      <c r="B138" s="218"/>
      <c r="C138" s="218"/>
      <c r="D138" s="215" t="str">
        <f>'Financial Overview'!D329</f>
        <v>Debt : equity</v>
      </c>
      <c r="E138" s="224" t="str">
        <f>'Financial Overview'!E329</f>
        <v>ratio</v>
      </c>
      <c r="G138" s="236">
        <f ca="1">'Financial Overview'!G329</f>
        <v>0</v>
      </c>
      <c r="H138" s="236">
        <f ca="1">'Financial Overview'!H329</f>
        <v>0</v>
      </c>
      <c r="I138" s="236">
        <f ca="1">'Financial Overview'!I329</f>
        <v>0</v>
      </c>
      <c r="J138" s="236">
        <f ca="1">'Financial Overview'!J329</f>
        <v>0</v>
      </c>
      <c r="K138" s="236">
        <f ca="1">'Financial Overview'!K329</f>
        <v>0</v>
      </c>
      <c r="L138" s="236">
        <f ca="1">'Financial Overview'!L329</f>
        <v>0</v>
      </c>
      <c r="M138" s="236">
        <f ca="1">'Financial Overview'!M329</f>
        <v>0</v>
      </c>
      <c r="N138" s="236">
        <f ca="1">'Financial Overview'!N329</f>
        <v>0</v>
      </c>
      <c r="O138" s="236">
        <f ca="1">'Financial Overview'!O329</f>
        <v>0</v>
      </c>
      <c r="P138" s="236">
        <f ca="1">'Financial Overview'!P329</f>
        <v>0</v>
      </c>
      <c r="Q138" s="236">
        <f ca="1">'Financial Overview'!Q329</f>
        <v>0</v>
      </c>
      <c r="R138" s="236">
        <f ca="1">'Financial Overview'!R329</f>
        <v>0</v>
      </c>
      <c r="S138" s="236">
        <f ca="1">'Financial Overview'!S329</f>
        <v>0</v>
      </c>
      <c r="T138" s="236">
        <f ca="1">'Financial Overview'!T329</f>
        <v>0</v>
      </c>
    </row>
    <row r="139" spans="1:20" ht="15" hidden="1" customHeight="1" x14ac:dyDescent="0.4">
      <c r="A139" s="225"/>
      <c r="B139" s="218"/>
      <c r="C139" s="218"/>
      <c r="D139" s="215" t="str">
        <f>'Financial Overview'!D330</f>
        <v>Debt: asset</v>
      </c>
      <c r="E139" s="224" t="str">
        <f>'Financial Overview'!E330</f>
        <v>ratio</v>
      </c>
      <c r="G139" s="236">
        <f ca="1">'Financial Overview'!G330</f>
        <v>0</v>
      </c>
      <c r="H139" s="236">
        <f ca="1">'Financial Overview'!H330</f>
        <v>0</v>
      </c>
      <c r="I139" s="236">
        <f ca="1">'Financial Overview'!I330</f>
        <v>0</v>
      </c>
      <c r="J139" s="236">
        <f ca="1">'Financial Overview'!J330</f>
        <v>0</v>
      </c>
      <c r="K139" s="236">
        <f ca="1">'Financial Overview'!K330</f>
        <v>0</v>
      </c>
      <c r="L139" s="236">
        <f ca="1">'Financial Overview'!L330</f>
        <v>0</v>
      </c>
      <c r="M139" s="236">
        <f ca="1">'Financial Overview'!M330</f>
        <v>0</v>
      </c>
      <c r="N139" s="236">
        <f ca="1">'Financial Overview'!N330</f>
        <v>0</v>
      </c>
      <c r="O139" s="236">
        <f ca="1">'Financial Overview'!O330</f>
        <v>0</v>
      </c>
      <c r="P139" s="236">
        <f ca="1">'Financial Overview'!P330</f>
        <v>0</v>
      </c>
      <c r="Q139" s="236">
        <f ca="1">'Financial Overview'!Q330</f>
        <v>0</v>
      </c>
      <c r="R139" s="236">
        <f ca="1">'Financial Overview'!R330</f>
        <v>0</v>
      </c>
      <c r="S139" s="236">
        <f ca="1">'Financial Overview'!S330</f>
        <v>0</v>
      </c>
      <c r="T139" s="236">
        <f ca="1">'Financial Overview'!T330</f>
        <v>0</v>
      </c>
    </row>
    <row r="140" spans="1:20" ht="15" hidden="1" customHeight="1" x14ac:dyDescent="0.4">
      <c r="A140" s="225"/>
      <c r="B140" s="218"/>
      <c r="C140" s="218"/>
      <c r="D140" s="215" t="str">
        <f>'Financial Overview'!D331</f>
        <v>Income:interest coverage</v>
      </c>
      <c r="E140" s="216" t="str">
        <f>'Financial Overview'!E331</f>
        <v>ratio</v>
      </c>
      <c r="G140" s="230">
        <f ca="1">'Financial Overview'!G331</f>
        <v>0</v>
      </c>
      <c r="H140" s="230">
        <f ca="1">'Financial Overview'!H331</f>
        <v>37.358571229420249</v>
      </c>
      <c r="I140" s="230">
        <f ca="1">'Financial Overview'!I331</f>
        <v>54.700207551489214</v>
      </c>
      <c r="J140" s="230">
        <f ca="1">'Financial Overview'!J331</f>
        <v>315.88212018411838</v>
      </c>
      <c r="K140" s="230">
        <f ca="1">'Financial Overview'!K331</f>
        <v>-99.38840124162131</v>
      </c>
      <c r="L140" s="230">
        <f ca="1">'Financial Overview'!L331</f>
        <v>-42.461916726072005</v>
      </c>
      <c r="M140" s="230">
        <f>'Financial Overview'!M331</f>
        <v>0</v>
      </c>
      <c r="N140" s="230">
        <f>'Financial Overview'!N331</f>
        <v>0</v>
      </c>
      <c r="O140" s="230">
        <f>'Financial Overview'!O331</f>
        <v>0</v>
      </c>
      <c r="P140" s="230">
        <f>'Financial Overview'!P331</f>
        <v>0</v>
      </c>
      <c r="Q140" s="230">
        <f>'Financial Overview'!Q331</f>
        <v>0</v>
      </c>
      <c r="R140" s="230">
        <f>'Financial Overview'!R331</f>
        <v>0</v>
      </c>
      <c r="S140" s="230">
        <f>'Financial Overview'!S331</f>
        <v>0</v>
      </c>
      <c r="T140" s="230">
        <f>'Financial Overview'!T331</f>
        <v>0</v>
      </c>
    </row>
    <row r="141" spans="1:20" ht="15" hidden="1" customHeight="1" x14ac:dyDescent="0.4">
      <c r="A141" s="225"/>
      <c r="B141" s="218"/>
      <c r="C141" s="218"/>
      <c r="D141" s="215" t="str">
        <f>'Financial Overview'!D332</f>
        <v>Check</v>
      </c>
      <c r="E141" s="216">
        <f>'Financial Overview'!E332</f>
        <v>0</v>
      </c>
      <c r="G141" s="230">
        <f ca="1">'Financial Overview'!G332</f>
        <v>0</v>
      </c>
      <c r="H141" s="230">
        <f ca="1">'Financial Overview'!H332</f>
        <v>0</v>
      </c>
      <c r="I141" s="230">
        <f ca="1">'Financial Overview'!I332</f>
        <v>0</v>
      </c>
      <c r="J141" s="230">
        <f ca="1">'Financial Overview'!J332</f>
        <v>0</v>
      </c>
      <c r="K141" s="230">
        <f ca="1">'Financial Overview'!K332</f>
        <v>0</v>
      </c>
      <c r="L141" s="230">
        <f ca="1">'Financial Overview'!L332</f>
        <v>0</v>
      </c>
      <c r="M141" s="230">
        <f ca="1">'Financial Overview'!M332</f>
        <v>0</v>
      </c>
      <c r="N141" s="230">
        <f ca="1">'Financial Overview'!N332</f>
        <v>0</v>
      </c>
      <c r="O141" s="230">
        <f ca="1">'Financial Overview'!O332</f>
        <v>0</v>
      </c>
      <c r="P141" s="230">
        <f ca="1">'Financial Overview'!P332</f>
        <v>0</v>
      </c>
      <c r="Q141" s="230">
        <f ca="1">'Financial Overview'!Q332</f>
        <v>0</v>
      </c>
      <c r="R141" s="230">
        <f ca="1">'Financial Overview'!R332</f>
        <v>0</v>
      </c>
      <c r="S141" s="230">
        <f ca="1">'Financial Overview'!S332</f>
        <v>0</v>
      </c>
      <c r="T141" s="230">
        <f ca="1">'Financial Overview'!T332</f>
        <v>0</v>
      </c>
    </row>
    <row r="142" spans="1:20" ht="15" customHeight="1" x14ac:dyDescent="0.4">
      <c r="A142" s="225"/>
      <c r="G142" s="230"/>
      <c r="H142" s="230"/>
      <c r="I142" s="230"/>
      <c r="J142" s="230"/>
      <c r="K142" s="230"/>
      <c r="L142" s="230"/>
      <c r="M142" s="230"/>
      <c r="N142" s="230"/>
      <c r="O142" s="230"/>
      <c r="P142" s="230"/>
      <c r="Q142" s="230"/>
      <c r="R142" s="230"/>
      <c r="S142" s="230"/>
      <c r="T142" s="230"/>
    </row>
    <row r="143" spans="1:20" ht="15" customHeight="1" x14ac:dyDescent="0.4">
      <c r="A143" s="225"/>
      <c r="B143" s="218" t="str">
        <f>'Financial Overview'!B334</f>
        <v>Funds flow</v>
      </c>
      <c r="C143" s="218"/>
      <c r="G143" s="230"/>
      <c r="H143" s="230"/>
      <c r="I143" s="230"/>
      <c r="J143" s="230"/>
      <c r="K143" s="230"/>
      <c r="L143" s="230"/>
      <c r="M143" s="230"/>
      <c r="N143" s="230"/>
      <c r="O143" s="230"/>
      <c r="P143" s="230"/>
      <c r="Q143" s="230"/>
      <c r="R143" s="230"/>
      <c r="S143" s="230"/>
      <c r="T143" s="230"/>
    </row>
    <row r="144" spans="1:20" ht="15" customHeight="1" x14ac:dyDescent="0.4">
      <c r="A144" s="225"/>
      <c r="B144" s="218"/>
      <c r="C144" s="218"/>
      <c r="D144" s="215" t="str">
        <f>'Financial Overview'!D335</f>
        <v>Operating profit</v>
      </c>
      <c r="E144" s="224" t="str">
        <f>'Financial Overview'!E335</f>
        <v>USD</v>
      </c>
      <c r="G144" s="230">
        <f ca="1">'Financial Overview'!G335</f>
        <v>-2388667.1983609046</v>
      </c>
      <c r="H144" s="230">
        <f ca="1">'Financial Overview'!H335</f>
        <v>2844196.8016390959</v>
      </c>
      <c r="I144" s="230">
        <f ca="1">'Financial Overview'!I335</f>
        <v>2906278.0816390952</v>
      </c>
      <c r="J144" s="230">
        <f ca="1">'Financial Overview'!J335</f>
        <v>2969600.9872390963</v>
      </c>
      <c r="K144" s="230">
        <f ca="1">'Financial Overview'!K335</f>
        <v>3034190.350951096</v>
      </c>
      <c r="L144" s="230">
        <f ca="1">'Financial Overview'!L335</f>
        <v>3100071.5019373344</v>
      </c>
      <c r="M144" s="230">
        <f ca="1">'Financial Overview'!M335</f>
        <v>3167270.2759433007</v>
      </c>
      <c r="N144" s="230">
        <f ca="1">'Financial Overview'!N335</f>
        <v>3235813.0254293866</v>
      </c>
      <c r="O144" s="230">
        <f ca="1">'Financial Overview'!O335</f>
        <v>3305726.6299051894</v>
      </c>
      <c r="P144" s="230">
        <f ca="1">'Financial Overview'!P335</f>
        <v>3377038.5064705135</v>
      </c>
      <c r="Q144" s="230">
        <f ca="1">'Financial Overview'!Q335</f>
        <v>3449776.620567142</v>
      </c>
      <c r="R144" s="230">
        <f ca="1">'Financial Overview'!R335</f>
        <v>3523969.4969457034</v>
      </c>
      <c r="S144" s="230">
        <f ca="1">'Financial Overview'!S335</f>
        <v>3599646.2308518365</v>
      </c>
      <c r="T144" s="230">
        <f ca="1">'Financial Overview'!T335</f>
        <v>3676836.4994360898</v>
      </c>
    </row>
    <row r="145" spans="1:20" ht="15" customHeight="1" x14ac:dyDescent="0.4">
      <c r="A145" s="225"/>
      <c r="B145" s="218"/>
      <c r="C145" s="218"/>
      <c r="D145" s="215" t="str">
        <f>'Financial Overview'!D336</f>
        <v>Depreciation</v>
      </c>
      <c r="E145" s="224" t="str">
        <f>'Financial Overview'!E336</f>
        <v>USD</v>
      </c>
      <c r="G145" s="230">
        <f ca="1">'Financial Overview'!G336</f>
        <v>259867.19836090453</v>
      </c>
      <c r="H145" s="230">
        <f ca="1">'Financial Overview'!H336</f>
        <v>259867.19836090453</v>
      </c>
      <c r="I145" s="230">
        <f ca="1">'Financial Overview'!I336</f>
        <v>259867.19836090453</v>
      </c>
      <c r="J145" s="230">
        <f ca="1">'Financial Overview'!J336</f>
        <v>259867.19836090453</v>
      </c>
      <c r="K145" s="230">
        <f ca="1">'Financial Overview'!K336</f>
        <v>259867.19836090453</v>
      </c>
      <c r="L145" s="230">
        <f ca="1">'Financial Overview'!L336</f>
        <v>259867.19836090453</v>
      </c>
      <c r="M145" s="230">
        <f ca="1">'Financial Overview'!M336</f>
        <v>259867.19836090453</v>
      </c>
      <c r="N145" s="230">
        <f ca="1">'Financial Overview'!N336</f>
        <v>259867.19836090453</v>
      </c>
      <c r="O145" s="230">
        <f ca="1">'Financial Overview'!O336</f>
        <v>259867.19836090453</v>
      </c>
      <c r="P145" s="230">
        <f ca="1">'Financial Overview'!P336</f>
        <v>259867.19836090453</v>
      </c>
      <c r="Q145" s="230">
        <f ca="1">'Financial Overview'!Q336</f>
        <v>259867.19836090453</v>
      </c>
      <c r="R145" s="230">
        <f ca="1">'Financial Overview'!R336</f>
        <v>259867.19836090453</v>
      </c>
      <c r="S145" s="230">
        <f ca="1">'Financial Overview'!S336</f>
        <v>259867.19836090453</v>
      </c>
      <c r="T145" s="230">
        <f ca="1">'Financial Overview'!T336</f>
        <v>259867.19836090453</v>
      </c>
    </row>
    <row r="146" spans="1:20" ht="15" hidden="1" customHeight="1" x14ac:dyDescent="0.4">
      <c r="A146" s="225"/>
      <c r="B146" s="218"/>
      <c r="C146" s="218"/>
      <c r="D146" s="215" t="str">
        <f>'Financial Overview'!D337</f>
        <v>Grant income</v>
      </c>
      <c r="E146" s="224" t="str">
        <f>'Financial Overview'!E337</f>
        <v>USD</v>
      </c>
      <c r="G146" s="230">
        <f>'Financial Overview'!G337</f>
        <v>0</v>
      </c>
      <c r="H146" s="230">
        <f>'Financial Overview'!H337</f>
        <v>0</v>
      </c>
      <c r="I146" s="230">
        <f>'Financial Overview'!I337</f>
        <v>0</v>
      </c>
      <c r="J146" s="230">
        <f>'Financial Overview'!J337</f>
        <v>0</v>
      </c>
      <c r="K146" s="230">
        <f>'Financial Overview'!K337</f>
        <v>0</v>
      </c>
      <c r="L146" s="230">
        <f>'Financial Overview'!L337</f>
        <v>0</v>
      </c>
      <c r="M146" s="230">
        <f>'Financial Overview'!M337</f>
        <v>0</v>
      </c>
      <c r="N146" s="230">
        <f>'Financial Overview'!N337</f>
        <v>0</v>
      </c>
      <c r="O146" s="230">
        <f>'Financial Overview'!O337</f>
        <v>0</v>
      </c>
      <c r="P146" s="230">
        <f>'Financial Overview'!P337</f>
        <v>0</v>
      </c>
      <c r="Q146" s="230">
        <f>'Financial Overview'!Q337</f>
        <v>0</v>
      </c>
      <c r="R146" s="230">
        <f>'Financial Overview'!R337</f>
        <v>0</v>
      </c>
      <c r="S146" s="230">
        <f>'Financial Overview'!S337</f>
        <v>0</v>
      </c>
      <c r="T146" s="230">
        <f>'Financial Overview'!T337</f>
        <v>0</v>
      </c>
    </row>
    <row r="147" spans="1:20" ht="15" customHeight="1" x14ac:dyDescent="0.4">
      <c r="A147" s="225"/>
      <c r="B147" s="218"/>
      <c r="C147" s="218"/>
      <c r="G147" s="155" t="s">
        <v>22</v>
      </c>
      <c r="H147" s="155" t="s">
        <v>22</v>
      </c>
      <c r="I147" s="155" t="s">
        <v>22</v>
      </c>
      <c r="J147" s="155" t="s">
        <v>22</v>
      </c>
      <c r="K147" s="155" t="s">
        <v>22</v>
      </c>
      <c r="L147" s="155" t="s">
        <v>22</v>
      </c>
      <c r="M147" s="155" t="s">
        <v>22</v>
      </c>
      <c r="N147" s="155" t="s">
        <v>22</v>
      </c>
      <c r="O147" s="155" t="s">
        <v>22</v>
      </c>
      <c r="P147" s="155" t="s">
        <v>22</v>
      </c>
      <c r="Q147" s="155" t="s">
        <v>22</v>
      </c>
      <c r="R147" s="155" t="s">
        <v>22</v>
      </c>
      <c r="S147" s="155" t="s">
        <v>22</v>
      </c>
      <c r="T147" s="155" t="s">
        <v>22</v>
      </c>
    </row>
    <row r="148" spans="1:20" ht="15" customHeight="1" x14ac:dyDescent="0.4">
      <c r="A148" s="225"/>
      <c r="B148" s="218"/>
      <c r="C148" s="218"/>
      <c r="D148" s="215" t="str">
        <f>'Financial Overview'!D339</f>
        <v>Operating cashflow</v>
      </c>
      <c r="E148" s="224" t="str">
        <f>'Financial Overview'!E339</f>
        <v>USD</v>
      </c>
      <c r="G148" s="230">
        <f ca="1">'Financial Overview'!G339</f>
        <v>-2128800</v>
      </c>
      <c r="H148" s="230">
        <f ca="1">'Financial Overview'!H339</f>
        <v>3104064.0000000005</v>
      </c>
      <c r="I148" s="230">
        <f ca="1">'Financial Overview'!I339</f>
        <v>3166145.28</v>
      </c>
      <c r="J148" s="230">
        <f ca="1">'Financial Overview'!J339</f>
        <v>3229468.1856000009</v>
      </c>
      <c r="K148" s="230">
        <f ca="1">'Financial Overview'!K339</f>
        <v>3294057.5493120006</v>
      </c>
      <c r="L148" s="230">
        <f ca="1">'Financial Overview'!L339</f>
        <v>3359938.700298239</v>
      </c>
      <c r="M148" s="230">
        <f ca="1">'Financial Overview'!M339</f>
        <v>3427137.4743042053</v>
      </c>
      <c r="N148" s="230">
        <f ca="1">'Financial Overview'!N339</f>
        <v>3495680.2237902912</v>
      </c>
      <c r="O148" s="230">
        <f ca="1">'Financial Overview'!O339</f>
        <v>3565593.828266094</v>
      </c>
      <c r="P148" s="230">
        <f ca="1">'Financial Overview'!P339</f>
        <v>3636905.7048314181</v>
      </c>
      <c r="Q148" s="230">
        <f ca="1">'Financial Overview'!Q339</f>
        <v>3709643.8189280466</v>
      </c>
      <c r="R148" s="230">
        <f ca="1">'Financial Overview'!R339</f>
        <v>3783836.695306608</v>
      </c>
      <c r="S148" s="230">
        <f ca="1">'Financial Overview'!S339</f>
        <v>3859513.4292127411</v>
      </c>
      <c r="T148" s="230">
        <f ca="1">'Financial Overview'!T339</f>
        <v>3936703.6977969944</v>
      </c>
    </row>
    <row r="149" spans="1:20" ht="15" customHeight="1" x14ac:dyDescent="0.4">
      <c r="A149" s="225"/>
      <c r="B149" s="218"/>
      <c r="C149" s="218"/>
      <c r="G149" s="230"/>
      <c r="H149" s="230"/>
      <c r="I149" s="230"/>
      <c r="J149" s="230"/>
      <c r="K149" s="230"/>
      <c r="L149" s="230"/>
      <c r="M149" s="230"/>
      <c r="N149" s="230"/>
      <c r="O149" s="230"/>
      <c r="P149" s="230"/>
      <c r="Q149" s="230"/>
      <c r="R149" s="230"/>
      <c r="S149" s="230"/>
      <c r="T149" s="230"/>
    </row>
    <row r="150" spans="1:20" x14ac:dyDescent="0.4">
      <c r="A150" s="225"/>
      <c r="B150" s="218"/>
      <c r="C150" s="218"/>
      <c r="D150" s="215" t="str">
        <f>'Financial Overview'!D341</f>
        <v>Capex</v>
      </c>
      <c r="E150" s="224" t="str">
        <f>'Financial Overview'!E341</f>
        <v>USD</v>
      </c>
      <c r="G150" s="230">
        <f ca="1">'Financial Overview'!G341</f>
        <v>5717078.3639399</v>
      </c>
      <c r="H150" s="230">
        <f ca="1">'Financial Overview'!H341</f>
        <v>69380.057388981644</v>
      </c>
      <c r="I150" s="230">
        <f ca="1">'Financial Overview'!I341</f>
        <v>70767.658536761272</v>
      </c>
      <c r="J150" s="230">
        <f ca="1">'Financial Overview'!J341</f>
        <v>72183.011707496495</v>
      </c>
      <c r="K150" s="230">
        <f ca="1">'Financial Overview'!K341</f>
        <v>73626.671941646433</v>
      </c>
      <c r="L150" s="230">
        <f ca="1">'Financial Overview'!L341</f>
        <v>75099.205380479369</v>
      </c>
      <c r="M150" s="230">
        <f ca="1">'Financial Overview'!M341</f>
        <v>76601.189488088959</v>
      </c>
      <c r="N150" s="230">
        <f ca="1">'Financial Overview'!N341</f>
        <v>78133.213277850737</v>
      </c>
      <c r="O150" s="230">
        <f ca="1">'Financial Overview'!O341</f>
        <v>79695.877543407754</v>
      </c>
      <c r="P150" s="230">
        <f ca="1">'Financial Overview'!P341</f>
        <v>81289.795094275905</v>
      </c>
      <c r="Q150" s="230">
        <f ca="1">'Financial Overview'!Q341</f>
        <v>82915.590996161423</v>
      </c>
      <c r="R150" s="230">
        <f ca="1">'Financial Overview'!R341</f>
        <v>84573.90281608465</v>
      </c>
      <c r="S150" s="230">
        <f ca="1">'Financial Overview'!S341</f>
        <v>86265.380872406342</v>
      </c>
      <c r="T150" s="230">
        <f ca="1">'Financial Overview'!T341</f>
        <v>87990.688489854467</v>
      </c>
    </row>
    <row r="151" spans="1:20" x14ac:dyDescent="0.4">
      <c r="A151" s="225"/>
      <c r="B151" s="218"/>
      <c r="C151" s="218"/>
      <c r="D151" s="215" t="str">
        <f>'Financial Overview'!D342</f>
        <v>Change in working capital</v>
      </c>
      <c r="E151" s="224" t="str">
        <f>'Financial Overview'!E342</f>
        <v>USD</v>
      </c>
      <c r="G151" s="230">
        <f>'Financial Overview'!G342</f>
        <v>1574728.7671232875</v>
      </c>
      <c r="H151" s="230">
        <f>'Financial Overview'!H342</f>
        <v>2829256.7671232875</v>
      </c>
      <c r="I151" s="230">
        <f>'Financial Overview'!I342</f>
        <v>88079.710684931837</v>
      </c>
      <c r="J151" s="230">
        <f>'Financial Overview'!J342</f>
        <v>89841.304898629896</v>
      </c>
      <c r="K151" s="230">
        <f>'Financial Overview'!K342</f>
        <v>91638.130996602587</v>
      </c>
      <c r="L151" s="230">
        <f>'Financial Overview'!L342</f>
        <v>93470.893616535701</v>
      </c>
      <c r="M151" s="230">
        <f>'Financial Overview'!M342</f>
        <v>95340.311488864943</v>
      </c>
      <c r="N151" s="230">
        <f>'Financial Overview'!N342</f>
        <v>97247.117718642578</v>
      </c>
      <c r="O151" s="230">
        <f>'Financial Overview'!O342</f>
        <v>99192.060073016211</v>
      </c>
      <c r="P151" s="230">
        <f>'Financial Overview'!P342</f>
        <v>101175.9012744762</v>
      </c>
      <c r="Q151" s="230">
        <f>'Financial Overview'!Q342</f>
        <v>103199.41929996479</v>
      </c>
      <c r="R151" s="230">
        <f>'Financial Overview'!R342</f>
        <v>105263.4076859653</v>
      </c>
      <c r="S151" s="230">
        <f>'Financial Overview'!S342</f>
        <v>107368.67583968397</v>
      </c>
      <c r="T151" s="230">
        <f>'Financial Overview'!T342</f>
        <v>109516.04935647827</v>
      </c>
    </row>
    <row r="152" spans="1:20" x14ac:dyDescent="0.4">
      <c r="A152" s="225"/>
      <c r="B152" s="218"/>
      <c r="C152" s="218"/>
      <c r="D152" s="215" t="str">
        <f>'Financial Overview'!D343</f>
        <v>Tax paid</v>
      </c>
      <c r="E152" s="224" t="str">
        <f>'Financial Overview'!E343</f>
        <v>USD</v>
      </c>
      <c r="G152" s="230">
        <f>'Financial Overview'!G343</f>
        <v>0</v>
      </c>
      <c r="H152" s="230">
        <f ca="1">'Financial Overview'!H343</f>
        <v>0</v>
      </c>
      <c r="I152" s="230">
        <f ca="1">'Financial Overview'!I343</f>
        <v>69138.301124193822</v>
      </c>
      <c r="J152" s="230">
        <f ca="1">'Financial Overview'!J343</f>
        <v>821214.04453752877</v>
      </c>
      <c r="K152" s="230">
        <f ca="1">'Financial Overview'!K343</f>
        <v>881930.57115927117</v>
      </c>
      <c r="L152" s="230">
        <f ca="1">'Financial Overview'!L343</f>
        <v>939270.54385780112</v>
      </c>
      <c r="M152" s="230">
        <f ca="1">'Financial Overview'!M343</f>
        <v>999289.90303235466</v>
      </c>
      <c r="N152" s="230">
        <f ca="1">'Financial Overview'!N343</f>
        <v>1062161.7163106799</v>
      </c>
      <c r="O152" s="230">
        <f ca="1">'Financial Overview'!O343</f>
        <v>1128013.4949045866</v>
      </c>
      <c r="P152" s="230">
        <f ca="1">'Financial Overview'!P343</f>
        <v>1196977.8184996531</v>
      </c>
      <c r="Q152" s="230">
        <f ca="1">'Financial Overview'!Q343</f>
        <v>1269193.0062153493</v>
      </c>
      <c r="R152" s="230">
        <f ca="1">'Financial Overview'!R343</f>
        <v>1344803.3662093072</v>
      </c>
      <c r="S152" s="230">
        <f ca="1">'Financial Overview'!S343</f>
        <v>1423959.4520229748</v>
      </c>
      <c r="T152" s="230">
        <f ca="1">'Financial Overview'!T343</f>
        <v>1506818.3298056428</v>
      </c>
    </row>
    <row r="153" spans="1:20" x14ac:dyDescent="0.4">
      <c r="A153" s="225"/>
      <c r="B153" s="218"/>
      <c r="C153" s="218"/>
      <c r="G153" s="155" t="s">
        <v>22</v>
      </c>
      <c r="H153" s="155" t="s">
        <v>22</v>
      </c>
      <c r="I153" s="155" t="s">
        <v>22</v>
      </c>
      <c r="J153" s="155" t="s">
        <v>22</v>
      </c>
      <c r="K153" s="155" t="s">
        <v>22</v>
      </c>
      <c r="L153" s="155" t="s">
        <v>22</v>
      </c>
      <c r="M153" s="155" t="s">
        <v>22</v>
      </c>
      <c r="N153" s="155" t="s">
        <v>22</v>
      </c>
      <c r="O153" s="155" t="s">
        <v>22</v>
      </c>
      <c r="P153" s="155" t="s">
        <v>22</v>
      </c>
      <c r="Q153" s="155" t="s">
        <v>22</v>
      </c>
      <c r="R153" s="155" t="s">
        <v>22</v>
      </c>
      <c r="S153" s="155" t="s">
        <v>22</v>
      </c>
      <c r="T153" s="155" t="s">
        <v>22</v>
      </c>
    </row>
    <row r="154" spans="1:20" x14ac:dyDescent="0.4">
      <c r="A154" s="225"/>
      <c r="B154" s="218"/>
      <c r="C154" s="218"/>
      <c r="D154" s="215" t="str">
        <f>'Financial Overview'!D345</f>
        <v>Cash flow available for fund providers</v>
      </c>
      <c r="E154" s="224" t="str">
        <f>'Financial Overview'!E345</f>
        <v>USD</v>
      </c>
      <c r="G154" s="230">
        <f ca="1">'Financial Overview'!G345</f>
        <v>-9420607.1310631875</v>
      </c>
      <c r="H154" s="230">
        <f ca="1">'Financial Overview'!H345</f>
        <v>205427.17548773112</v>
      </c>
      <c r="I154" s="230">
        <f ca="1">'Financial Overview'!I345</f>
        <v>2938159.6096541127</v>
      </c>
      <c r="J154" s="230">
        <f ca="1">'Financial Overview'!J345</f>
        <v>2246229.8244563458</v>
      </c>
      <c r="K154" s="230">
        <f ca="1">'Financial Overview'!K345</f>
        <v>2246862.1752144806</v>
      </c>
      <c r="L154" s="230">
        <f ca="1">'Financial Overview'!L345</f>
        <v>2252098.0574434227</v>
      </c>
      <c r="M154" s="230">
        <f ca="1">'Financial Overview'!M345</f>
        <v>2255906.0702948966</v>
      </c>
      <c r="N154" s="230">
        <f ca="1">'Financial Overview'!N345</f>
        <v>2258138.176483118</v>
      </c>
      <c r="O154" s="230">
        <f ca="1">'Financial Overview'!O345</f>
        <v>2258692.3957450837</v>
      </c>
      <c r="P154" s="230">
        <f ca="1">'Financial Overview'!P345</f>
        <v>2257462.1899630129</v>
      </c>
      <c r="Q154" s="230">
        <f ca="1">'Financial Overview'!Q345</f>
        <v>2254335.8024165714</v>
      </c>
      <c r="R154" s="230">
        <f ca="1">'Financial Overview'!R345</f>
        <v>2249196.0185952508</v>
      </c>
      <c r="S154" s="230">
        <f ca="1">'Financial Overview'!S345</f>
        <v>2241919.9204776762</v>
      </c>
      <c r="T154" s="230">
        <f ca="1">'Financial Overview'!T345</f>
        <v>2232378.6301450189</v>
      </c>
    </row>
    <row r="155" spans="1:20" x14ac:dyDescent="0.4">
      <c r="A155" s="225"/>
      <c r="B155" s="218"/>
      <c r="C155" s="218"/>
      <c r="G155" s="230"/>
      <c r="H155" s="230"/>
      <c r="I155" s="230"/>
      <c r="J155" s="230"/>
      <c r="K155" s="230"/>
      <c r="L155" s="230"/>
      <c r="M155" s="230"/>
      <c r="N155" s="230"/>
      <c r="O155" s="230"/>
      <c r="P155" s="230"/>
      <c r="Q155" s="230"/>
      <c r="R155" s="230"/>
      <c r="S155" s="230"/>
      <c r="T155" s="230"/>
    </row>
    <row r="156" spans="1:20" hidden="1" x14ac:dyDescent="0.4">
      <c r="A156" s="225"/>
      <c r="B156" s="218"/>
      <c r="C156" s="218"/>
      <c r="D156" s="215" t="str">
        <f>'Financial Overview'!D350</f>
        <v>Interest paid</v>
      </c>
      <c r="E156" s="224" t="str">
        <f>'Financial Overview'!E350</f>
        <v>USD</v>
      </c>
      <c r="F156" s="230"/>
      <c r="G156" s="230">
        <f ca="1">'Financial Overview'!G350</f>
        <v>-17381.786068104375</v>
      </c>
      <c r="H156" s="230">
        <f ca="1">'Financial Overview'!H350</f>
        <v>-41969.294564926931</v>
      </c>
      <c r="I156" s="230">
        <f ca="1">'Financial Overview'!I350</f>
        <v>-121729.87498324328</v>
      </c>
      <c r="J156" s="230">
        <f ca="1">'Financial Overview'!J350</f>
        <v>-267127.68201571703</v>
      </c>
      <c r="K156" s="230">
        <f ca="1">'Financial Overview'!K350</f>
        <v>-400130.49700335029</v>
      </c>
      <c r="L156" s="230">
        <f ca="1">'Financial Overview'!L350</f>
        <v>-540901.99169758172</v>
      </c>
      <c r="M156" s="230">
        <f ca="1">'Financial Overview'!M350</f>
        <v>-689995.8060199623</v>
      </c>
      <c r="N156" s="230">
        <f ca="1">'Financial Overview'!N350</f>
        <v>-847813.26012884057</v>
      </c>
      <c r="O156" s="230">
        <f ca="1">'Financial Overview'!O350</f>
        <v>-1014772.0947508407</v>
      </c>
      <c r="P156" s="230">
        <f ca="1">'Financial Overview'!P350</f>
        <v>-1191308.6982277029</v>
      </c>
      <c r="Q156" s="230">
        <f ca="1">'Financial Overview'!Q350</f>
        <v>-1377878.9288539295</v>
      </c>
      <c r="R156" s="230">
        <f ca="1">'Financial Overview'!R350</f>
        <v>-1574958.9594921169</v>
      </c>
      <c r="S156" s="230">
        <f ca="1">'Financial Overview'!S350</f>
        <v>-1783046.1582521577</v>
      </c>
      <c r="T156" s="230">
        <f ca="1">'Financial Overview'!T350</f>
        <v>-2002660.0068808573</v>
      </c>
    </row>
    <row r="157" spans="1:20" hidden="1" x14ac:dyDescent="0.4">
      <c r="A157" s="225"/>
      <c r="B157" s="218"/>
      <c r="C157" s="218"/>
      <c r="D157" s="215" t="str">
        <f>'Financial Overview'!D351</f>
        <v>Community fund</v>
      </c>
      <c r="E157" s="224" t="str">
        <f>'Financial Overview'!E351</f>
        <v>USD</v>
      </c>
      <c r="F157" s="230"/>
      <c r="G157" s="230">
        <f ca="1">'Financial Overview'!G351</f>
        <v>0</v>
      </c>
      <c r="H157" s="230">
        <f ca="1">'Financial Overview'!H351</f>
        <v>284419.68016390962</v>
      </c>
      <c r="I157" s="230">
        <f ca="1">'Financial Overview'!I351</f>
        <v>290627.80816390953</v>
      </c>
      <c r="J157" s="230">
        <f ca="1">'Financial Overview'!J351</f>
        <v>296960.09872390964</v>
      </c>
      <c r="K157" s="230">
        <f ca="1">'Financial Overview'!K351</f>
        <v>303419.0350951096</v>
      </c>
      <c r="L157" s="230">
        <f ca="1">'Financial Overview'!L351</f>
        <v>310007.15019373345</v>
      </c>
      <c r="M157" s="230">
        <f ca="1">'Financial Overview'!M351</f>
        <v>316727.02759433008</v>
      </c>
      <c r="N157" s="230">
        <f ca="1">'Financial Overview'!N351</f>
        <v>323581.30254293868</v>
      </c>
      <c r="O157" s="230">
        <f ca="1">'Financial Overview'!O351</f>
        <v>330572.66299051896</v>
      </c>
      <c r="P157" s="230">
        <f ca="1">'Financial Overview'!P351</f>
        <v>337703.85064705135</v>
      </c>
      <c r="Q157" s="230">
        <f ca="1">'Financial Overview'!Q351</f>
        <v>344977.66205671424</v>
      </c>
      <c r="R157" s="230">
        <f ca="1">'Financial Overview'!R351</f>
        <v>352396.94969457039</v>
      </c>
      <c r="S157" s="230">
        <f ca="1">'Financial Overview'!S351</f>
        <v>359964.62308518367</v>
      </c>
      <c r="T157" s="230">
        <f ca="1">'Financial Overview'!T351</f>
        <v>367683.64994360902</v>
      </c>
    </row>
    <row r="158" spans="1:20" hidden="1" x14ac:dyDescent="0.4">
      <c r="A158" s="225"/>
      <c r="B158" s="218"/>
      <c r="C158" s="218"/>
      <c r="D158" s="215">
        <f>'Financial Overview'!D352</f>
        <v>0</v>
      </c>
      <c r="E158" s="216">
        <f>'Financial Overview'!E352</f>
        <v>0</v>
      </c>
      <c r="G158" s="230">
        <f>'Financial Overview'!G352</f>
        <v>0</v>
      </c>
      <c r="H158" s="230">
        <f>'Financial Overview'!H352</f>
        <v>0</v>
      </c>
      <c r="I158" s="230">
        <f>'Financial Overview'!I352</f>
        <v>0</v>
      </c>
      <c r="J158" s="230">
        <f>'Financial Overview'!J352</f>
        <v>0</v>
      </c>
      <c r="K158" s="230">
        <f>'Financial Overview'!K352</f>
        <v>0</v>
      </c>
      <c r="L158" s="230">
        <f>'Financial Overview'!L352</f>
        <v>0</v>
      </c>
      <c r="M158" s="230">
        <f>'Financial Overview'!M352</f>
        <v>0</v>
      </c>
      <c r="N158" s="230">
        <f>'Financial Overview'!N352</f>
        <v>0</v>
      </c>
      <c r="O158" s="230">
        <f>'Financial Overview'!O352</f>
        <v>0</v>
      </c>
      <c r="P158" s="230">
        <f>'Financial Overview'!P352</f>
        <v>0</v>
      </c>
      <c r="Q158" s="230">
        <f>'Financial Overview'!Q352</f>
        <v>0</v>
      </c>
      <c r="R158" s="230">
        <f>'Financial Overview'!R352</f>
        <v>0</v>
      </c>
      <c r="S158" s="230">
        <f>'Financial Overview'!S352</f>
        <v>0</v>
      </c>
      <c r="T158" s="230">
        <f>'Financial Overview'!T352</f>
        <v>0</v>
      </c>
    </row>
    <row r="159" spans="1:20" x14ac:dyDescent="0.4">
      <c r="A159" s="225"/>
      <c r="B159" s="218"/>
      <c r="C159" s="218"/>
      <c r="D159" s="215" t="str">
        <f>'Financial Overview'!D353</f>
        <v>Cashflow before financing transactions</v>
      </c>
      <c r="E159" s="224" t="str">
        <f>'Financial Overview'!E353</f>
        <v>USD</v>
      </c>
      <c r="G159" s="230">
        <f ca="1">'Financial Overview'!G353</f>
        <v>-9403225.3449950833</v>
      </c>
      <c r="H159" s="230">
        <f ca="1">'Financial Overview'!H353</f>
        <v>-37023.210111251567</v>
      </c>
      <c r="I159" s="230">
        <f ca="1">'Financial Overview'!I353</f>
        <v>2769261.6764734462</v>
      </c>
      <c r="J159" s="230">
        <f ca="1">'Financial Overview'!J353</f>
        <v>2216397.407748153</v>
      </c>
      <c r="K159" s="230">
        <f ca="1">'Financial Overview'!K353</f>
        <v>2343573.6371227214</v>
      </c>
      <c r="L159" s="230">
        <f ca="1">'Financial Overview'!L353</f>
        <v>2482992.8989472711</v>
      </c>
      <c r="M159" s="230">
        <f ca="1">'Financial Overview'!M353</f>
        <v>2629174.8487205287</v>
      </c>
      <c r="N159" s="230">
        <f ca="1">'Financial Overview'!N353</f>
        <v>2782370.1340690199</v>
      </c>
      <c r="O159" s="230">
        <f ca="1">'Financial Overview'!O353</f>
        <v>2942891.8275054055</v>
      </c>
      <c r="P159" s="230">
        <f ca="1">'Financial Overview'!P353</f>
        <v>3111067.0375436642</v>
      </c>
      <c r="Q159" s="230">
        <f ca="1">'Financial Overview'!Q353</f>
        <v>3287237.0692137866</v>
      </c>
      <c r="R159" s="230">
        <f ca="1">'Financial Overview'!R353</f>
        <v>3471758.0283927973</v>
      </c>
      <c r="S159" s="230">
        <f ca="1">'Financial Overview'!S353</f>
        <v>3665001.4556446504</v>
      </c>
      <c r="T159" s="230">
        <f ca="1">'Financial Overview'!T353</f>
        <v>3867354.9870822672</v>
      </c>
    </row>
    <row r="160" spans="1:20" hidden="1" x14ac:dyDescent="0.4">
      <c r="A160" s="225"/>
      <c r="B160" s="218"/>
      <c r="C160" s="218"/>
      <c r="D160" s="215">
        <f>'Financial Overview'!D354</f>
        <v>0</v>
      </c>
      <c r="E160" s="216">
        <f>'Financial Overview'!E354</f>
        <v>0</v>
      </c>
      <c r="G160" s="230">
        <f>'Financial Overview'!G354</f>
        <v>0</v>
      </c>
      <c r="H160" s="230">
        <f>'Financial Overview'!H354</f>
        <v>0</v>
      </c>
      <c r="I160" s="230">
        <f>'Financial Overview'!I354</f>
        <v>0</v>
      </c>
      <c r="J160" s="230">
        <f>'Financial Overview'!J354</f>
        <v>0</v>
      </c>
      <c r="K160" s="230">
        <f>'Financial Overview'!K354</f>
        <v>0</v>
      </c>
      <c r="L160" s="230">
        <f>'Financial Overview'!L354</f>
        <v>0</v>
      </c>
      <c r="M160" s="230">
        <f>'Financial Overview'!M354</f>
        <v>0</v>
      </c>
      <c r="N160" s="230">
        <f>'Financial Overview'!N354</f>
        <v>0</v>
      </c>
      <c r="O160" s="230">
        <f>'Financial Overview'!O354</f>
        <v>0</v>
      </c>
      <c r="P160" s="230">
        <f>'Financial Overview'!P354</f>
        <v>0</v>
      </c>
      <c r="Q160" s="230">
        <f>'Financial Overview'!Q354</f>
        <v>0</v>
      </c>
      <c r="R160" s="230">
        <f>'Financial Overview'!R354</f>
        <v>0</v>
      </c>
      <c r="S160" s="230">
        <f>'Financial Overview'!S354</f>
        <v>0</v>
      </c>
      <c r="T160" s="230">
        <f>'Financial Overview'!T354</f>
        <v>0</v>
      </c>
    </row>
    <row r="161" spans="1:20" hidden="1" x14ac:dyDescent="0.4">
      <c r="A161" s="225"/>
      <c r="B161" s="218"/>
      <c r="D161" s="215" t="str">
        <f>'Financial Overview'!D355</f>
        <v>WB finance</v>
      </c>
      <c r="E161" s="216" t="str">
        <f>'Financial Overview'!E355</f>
        <v>USD</v>
      </c>
      <c r="F161" s="237"/>
      <c r="G161" s="244">
        <f>'Financial Overview'!G355</f>
        <v>0</v>
      </c>
      <c r="H161" s="245">
        <f>'Financial Overview'!H355</f>
        <v>0</v>
      </c>
      <c r="I161" s="244">
        <f>'Financial Overview'!I355</f>
        <v>0</v>
      </c>
      <c r="J161" s="244">
        <f>'Financial Overview'!J355</f>
        <v>0</v>
      </c>
      <c r="K161" s="244">
        <f>'Financial Overview'!K355</f>
        <v>0</v>
      </c>
      <c r="L161" s="244">
        <f>'Financial Overview'!L355</f>
        <v>0</v>
      </c>
      <c r="M161" s="244">
        <f>'Financial Overview'!M355</f>
        <v>0</v>
      </c>
      <c r="N161" s="244">
        <f>'Financial Overview'!N355</f>
        <v>0</v>
      </c>
      <c r="O161" s="244">
        <f>'Financial Overview'!O355</f>
        <v>0</v>
      </c>
      <c r="P161" s="244">
        <f>'Financial Overview'!P355</f>
        <v>0</v>
      </c>
      <c r="Q161" s="241">
        <f>'Financial Overview'!Q355</f>
        <v>0</v>
      </c>
      <c r="R161" s="242">
        <f>'Financial Overview'!R355</f>
        <v>0</v>
      </c>
      <c r="S161" s="242">
        <f>'Financial Overview'!S355</f>
        <v>0</v>
      </c>
      <c r="T161" s="242">
        <f>'Financial Overview'!T355</f>
        <v>0</v>
      </c>
    </row>
    <row r="162" spans="1:20" hidden="1" x14ac:dyDescent="0.4">
      <c r="A162" s="225"/>
      <c r="B162" s="218"/>
      <c r="D162" s="215" t="str">
        <f>'Financial Overview'!D356</f>
        <v>Althelia finance</v>
      </c>
      <c r="E162" s="216" t="str">
        <f>'Financial Overview'!E356</f>
        <v>USD</v>
      </c>
      <c r="F162" s="238"/>
      <c r="G162" s="244">
        <f>'Financial Overview'!G356</f>
        <v>0</v>
      </c>
      <c r="H162" s="244">
        <f>'Financial Overview'!H356</f>
        <v>0</v>
      </c>
      <c r="I162" s="244">
        <f>'Financial Overview'!I356</f>
        <v>0</v>
      </c>
      <c r="J162" s="244">
        <f>'Financial Overview'!J356</f>
        <v>0</v>
      </c>
      <c r="K162" s="244">
        <f>'Financial Overview'!K356</f>
        <v>0</v>
      </c>
      <c r="L162" s="244">
        <f>'Financial Overview'!L356</f>
        <v>0</v>
      </c>
      <c r="M162" s="244">
        <f>'Financial Overview'!M356</f>
        <v>0</v>
      </c>
      <c r="N162" s="244">
        <f>'Financial Overview'!N356</f>
        <v>0</v>
      </c>
      <c r="O162" s="244">
        <f>'Financial Overview'!O356</f>
        <v>0</v>
      </c>
      <c r="P162" s="244">
        <f>'Financial Overview'!P356</f>
        <v>0</v>
      </c>
      <c r="Q162" s="241">
        <f>'Financial Overview'!Q356</f>
        <v>0</v>
      </c>
      <c r="R162" s="242">
        <f>'Financial Overview'!R356</f>
        <v>0</v>
      </c>
      <c r="S162" s="242">
        <f>'Financial Overview'!S356</f>
        <v>0</v>
      </c>
      <c r="T162" s="242">
        <f>'Financial Overview'!T356</f>
        <v>0</v>
      </c>
    </row>
    <row r="163" spans="1:20" hidden="1" x14ac:dyDescent="0.4">
      <c r="A163" s="225"/>
      <c r="B163" s="218"/>
      <c r="D163" s="215" t="str">
        <f>'Financial Overview'!D357</f>
        <v>Other low cost debt</v>
      </c>
      <c r="E163" s="216" t="str">
        <f>'Financial Overview'!E357</f>
        <v>USD</v>
      </c>
      <c r="F163" s="238"/>
      <c r="G163" s="241">
        <f>'Financial Overview'!G357</f>
        <v>0</v>
      </c>
      <c r="H163" s="246">
        <f>'Financial Overview'!H357</f>
        <v>0</v>
      </c>
      <c r="I163" s="241">
        <f>'Financial Overview'!I357</f>
        <v>0</v>
      </c>
      <c r="J163" s="241">
        <f>'Financial Overview'!J357</f>
        <v>0</v>
      </c>
      <c r="K163" s="241">
        <f>'Financial Overview'!K357</f>
        <v>0</v>
      </c>
      <c r="L163" s="241">
        <f>'Financial Overview'!L357</f>
        <v>0</v>
      </c>
      <c r="M163" s="241">
        <f>'Financial Overview'!M357</f>
        <v>0</v>
      </c>
      <c r="N163" s="241">
        <f>'Financial Overview'!N357</f>
        <v>0</v>
      </c>
      <c r="O163" s="241">
        <f>'Financial Overview'!O357</f>
        <v>0</v>
      </c>
      <c r="P163" s="241">
        <f>'Financial Overview'!P357</f>
        <v>0</v>
      </c>
      <c r="Q163" s="241">
        <f>'Financial Overview'!Q357</f>
        <v>0</v>
      </c>
      <c r="R163" s="242">
        <f>'Financial Overview'!R357</f>
        <v>0</v>
      </c>
      <c r="S163" s="242">
        <f>'Financial Overview'!S357</f>
        <v>0</v>
      </c>
      <c r="T163" s="242">
        <f>'Financial Overview'!T357</f>
        <v>0</v>
      </c>
    </row>
    <row r="164" spans="1:20" hidden="1" x14ac:dyDescent="0.4">
      <c r="A164" s="225"/>
      <c r="B164" s="218"/>
      <c r="D164" s="215" t="str">
        <f>'Financial Overview'!D358</f>
        <v>Commercial debt</v>
      </c>
      <c r="E164" s="216" t="str">
        <f>'Financial Overview'!E358</f>
        <v>USD</v>
      </c>
      <c r="F164" s="238"/>
      <c r="G164" s="241">
        <f>'Financial Overview'!G358</f>
        <v>0</v>
      </c>
      <c r="H164" s="246">
        <f>'Financial Overview'!H358</f>
        <v>0</v>
      </c>
      <c r="I164" s="241">
        <f>'Financial Overview'!I358</f>
        <v>0</v>
      </c>
      <c r="J164" s="241">
        <f>'Financial Overview'!J358</f>
        <v>0</v>
      </c>
      <c r="K164" s="241">
        <f>'Financial Overview'!K358</f>
        <v>0</v>
      </c>
      <c r="L164" s="241">
        <f>'Financial Overview'!L358</f>
        <v>0</v>
      </c>
      <c r="M164" s="241">
        <f>'Financial Overview'!M358</f>
        <v>0</v>
      </c>
      <c r="N164" s="241">
        <f>'Financial Overview'!N358</f>
        <v>0</v>
      </c>
      <c r="O164" s="241">
        <f>'Financial Overview'!O358</f>
        <v>0</v>
      </c>
      <c r="P164" s="241">
        <f>'Financial Overview'!P358</f>
        <v>0</v>
      </c>
      <c r="Q164" s="241">
        <f>'Financial Overview'!Q358</f>
        <v>0</v>
      </c>
      <c r="R164" s="242">
        <f>'Financial Overview'!R358</f>
        <v>0</v>
      </c>
      <c r="S164" s="242">
        <f>'Financial Overview'!S358</f>
        <v>0</v>
      </c>
      <c r="T164" s="242">
        <f>'Financial Overview'!T358</f>
        <v>0</v>
      </c>
    </row>
    <row r="165" spans="1:20" hidden="1" x14ac:dyDescent="0.4">
      <c r="A165" s="225"/>
      <c r="B165" s="218"/>
      <c r="C165" s="218"/>
      <c r="D165" s="215">
        <f>'Financial Overview'!D359</f>
        <v>0</v>
      </c>
      <c r="E165" s="216">
        <f>'Financial Overview'!E359</f>
        <v>0</v>
      </c>
      <c r="G165" s="233" t="str">
        <f>'Financial Overview'!G359</f>
        <v>---------</v>
      </c>
      <c r="H165" s="233" t="str">
        <f>'Financial Overview'!H359</f>
        <v>---------</v>
      </c>
      <c r="I165" s="233" t="str">
        <f>'Financial Overview'!I359</f>
        <v>---------</v>
      </c>
      <c r="J165" s="233" t="str">
        <f>'Financial Overview'!J359</f>
        <v>---------</v>
      </c>
      <c r="K165" s="233" t="str">
        <f>'Financial Overview'!K359</f>
        <v>---------</v>
      </c>
      <c r="L165" s="233" t="str">
        <f>'Financial Overview'!L359</f>
        <v>---------</v>
      </c>
      <c r="M165" s="233" t="str">
        <f>'Financial Overview'!M359</f>
        <v>---------</v>
      </c>
      <c r="N165" s="233" t="str">
        <f>'Financial Overview'!N359</f>
        <v>---------</v>
      </c>
      <c r="O165" s="233" t="str">
        <f>'Financial Overview'!O359</f>
        <v>---------</v>
      </c>
      <c r="P165" s="233" t="str">
        <f>'Financial Overview'!P359</f>
        <v>---------</v>
      </c>
      <c r="Q165" s="233" t="str">
        <f>'Financial Overview'!Q359</f>
        <v>---------</v>
      </c>
      <c r="R165" s="233" t="str">
        <f>'Financial Overview'!R359</f>
        <v>---------</v>
      </c>
      <c r="S165" s="233" t="str">
        <f>'Financial Overview'!S359</f>
        <v>---------</v>
      </c>
      <c r="T165" s="233" t="str">
        <f>'Financial Overview'!T359</f>
        <v>---------</v>
      </c>
    </row>
    <row r="166" spans="1:20" x14ac:dyDescent="0.4">
      <c r="A166" s="225"/>
      <c r="B166" s="218"/>
      <c r="C166" s="218"/>
      <c r="D166" s="215" t="str">
        <f>'Financial Overview'!D360</f>
        <v>Scheduled debt financing/(repayments)</v>
      </c>
      <c r="E166" s="224" t="str">
        <f>'Financial Overview'!E360</f>
        <v>USD</v>
      </c>
      <c r="G166" s="239">
        <f>'Financial Overview'!G360</f>
        <v>0</v>
      </c>
      <c r="H166" s="239">
        <f>'Financial Overview'!H360</f>
        <v>0</v>
      </c>
      <c r="I166" s="239">
        <f>'Financial Overview'!I360</f>
        <v>0</v>
      </c>
      <c r="J166" s="239">
        <f>'Financial Overview'!J360</f>
        <v>0</v>
      </c>
      <c r="K166" s="239">
        <f>'Financial Overview'!K360</f>
        <v>0</v>
      </c>
      <c r="L166" s="239">
        <f>'Financial Overview'!L360</f>
        <v>0</v>
      </c>
      <c r="M166" s="239">
        <f>'Financial Overview'!M360</f>
        <v>0</v>
      </c>
      <c r="N166" s="239">
        <f>'Financial Overview'!N360</f>
        <v>0</v>
      </c>
      <c r="O166" s="239">
        <f>'Financial Overview'!O360</f>
        <v>0</v>
      </c>
      <c r="P166" s="239">
        <f>'Financial Overview'!P360</f>
        <v>0</v>
      </c>
      <c r="Q166" s="239">
        <f>'Financial Overview'!Q360</f>
        <v>0</v>
      </c>
      <c r="R166" s="239">
        <f>'Financial Overview'!R360</f>
        <v>0</v>
      </c>
      <c r="S166" s="239">
        <f>'Financial Overview'!S360</f>
        <v>0</v>
      </c>
      <c r="T166" s="239">
        <f>'Financial Overview'!T360</f>
        <v>0</v>
      </c>
    </row>
    <row r="167" spans="1:20" hidden="1" x14ac:dyDescent="0.4">
      <c r="A167" s="225"/>
      <c r="B167" s="218"/>
      <c r="C167" s="218"/>
      <c r="D167" s="215" t="str">
        <f>'Financial Overview'!D361</f>
        <v>Third party equity</v>
      </c>
      <c r="E167" s="224" t="str">
        <f>'Financial Overview'!E361</f>
        <v>USD</v>
      </c>
      <c r="F167" s="240"/>
      <c r="G167" s="241">
        <f>'Financial Overview'!G361</f>
        <v>10000000</v>
      </c>
      <c r="H167" s="241">
        <f>'Financial Overview'!H361</f>
        <v>0</v>
      </c>
      <c r="I167" s="241">
        <f>'Financial Overview'!I361</f>
        <v>0</v>
      </c>
      <c r="J167" s="241">
        <f>'Financial Overview'!J361</f>
        <v>0</v>
      </c>
      <c r="K167" s="241">
        <f>'Financial Overview'!K361</f>
        <v>0</v>
      </c>
      <c r="L167" s="241">
        <f>'Financial Overview'!L361</f>
        <v>0</v>
      </c>
      <c r="M167" s="241">
        <f>'Financial Overview'!M361</f>
        <v>0</v>
      </c>
      <c r="N167" s="241">
        <f>'Financial Overview'!N361</f>
        <v>0</v>
      </c>
      <c r="O167" s="241">
        <f>'Financial Overview'!O361</f>
        <v>0</v>
      </c>
      <c r="P167" s="241">
        <f>'Financial Overview'!P361</f>
        <v>0</v>
      </c>
      <c r="Q167" s="241">
        <f>'Financial Overview'!Q361</f>
        <v>0</v>
      </c>
      <c r="R167" s="241">
        <f>'Financial Overview'!R361</f>
        <v>0</v>
      </c>
      <c r="S167" s="241">
        <f>'Financial Overview'!S361</f>
        <v>0</v>
      </c>
      <c r="T167" s="241">
        <f>'Financial Overview'!T361</f>
        <v>0</v>
      </c>
    </row>
    <row r="168" spans="1:20" hidden="1" x14ac:dyDescent="0.4">
      <c r="A168" s="225"/>
      <c r="B168" s="218"/>
      <c r="C168" s="218"/>
      <c r="D168" s="215" t="str">
        <f>'Financial Overview'!D362</f>
        <v>Grants</v>
      </c>
      <c r="E168" s="224" t="str">
        <f>'Financial Overview'!E362</f>
        <v>USD</v>
      </c>
      <c r="G168" s="241">
        <f>'Financial Overview'!G362</f>
        <v>0</v>
      </c>
      <c r="H168" s="241">
        <f>'Financial Overview'!H362</f>
        <v>0</v>
      </c>
      <c r="I168" s="241">
        <f>'Financial Overview'!I362</f>
        <v>0</v>
      </c>
      <c r="J168" s="241">
        <f>'Financial Overview'!J362</f>
        <v>0</v>
      </c>
      <c r="K168" s="241">
        <f>'Financial Overview'!K362</f>
        <v>0</v>
      </c>
      <c r="L168" s="241">
        <f>'Financial Overview'!L362</f>
        <v>0</v>
      </c>
      <c r="M168" s="241">
        <f>'Financial Overview'!M362</f>
        <v>0</v>
      </c>
      <c r="N168" s="241">
        <f>'Financial Overview'!N362</f>
        <v>0</v>
      </c>
      <c r="O168" s="241">
        <f>'Financial Overview'!O362</f>
        <v>0</v>
      </c>
      <c r="P168" s="241">
        <f>'Financial Overview'!P362</f>
        <v>0</v>
      </c>
      <c r="Q168" s="241">
        <f>'Financial Overview'!Q362</f>
        <v>0</v>
      </c>
      <c r="R168" s="242">
        <f>'Financial Overview'!R362</f>
        <v>0</v>
      </c>
      <c r="S168" s="242">
        <f>'Financial Overview'!S362</f>
        <v>0</v>
      </c>
      <c r="T168" s="242">
        <f>'Financial Overview'!T362</f>
        <v>0</v>
      </c>
    </row>
    <row r="169" spans="1:20" x14ac:dyDescent="0.4">
      <c r="A169" s="225"/>
      <c r="B169" s="218"/>
      <c r="C169" s="218"/>
      <c r="G169" s="155" t="s">
        <v>22</v>
      </c>
      <c r="H169" s="155" t="s">
        <v>22</v>
      </c>
      <c r="I169" s="155" t="s">
        <v>22</v>
      </c>
      <c r="J169" s="155" t="s">
        <v>22</v>
      </c>
      <c r="K169" s="155" t="s">
        <v>22</v>
      </c>
      <c r="L169" s="155" t="s">
        <v>22</v>
      </c>
      <c r="M169" s="155" t="s">
        <v>22</v>
      </c>
      <c r="N169" s="155" t="s">
        <v>22</v>
      </c>
      <c r="O169" s="155" t="s">
        <v>22</v>
      </c>
      <c r="P169" s="155" t="s">
        <v>22</v>
      </c>
      <c r="Q169" s="155" t="s">
        <v>22</v>
      </c>
      <c r="R169" s="155" t="s">
        <v>22</v>
      </c>
      <c r="S169" s="155" t="s">
        <v>22</v>
      </c>
      <c r="T169" s="155" t="s">
        <v>22</v>
      </c>
    </row>
    <row r="170" spans="1:20" x14ac:dyDescent="0.4">
      <c r="A170" s="225"/>
      <c r="B170" s="218"/>
      <c r="C170" s="218"/>
      <c r="D170" s="215" t="str">
        <f>'Financial Overview'!D364</f>
        <v>Net cashflow</v>
      </c>
      <c r="E170" s="216" t="str">
        <f>'Financial Overview'!E360</f>
        <v>USD</v>
      </c>
      <c r="G170" s="230">
        <f ca="1">'Financial Overview'!G364</f>
        <v>596774.65500491671</v>
      </c>
      <c r="H170" s="230">
        <f ca="1">'Financial Overview'!H364</f>
        <v>-37023.210111251567</v>
      </c>
      <c r="I170" s="230">
        <f ca="1">'Financial Overview'!I364</f>
        <v>2769261.6764734462</v>
      </c>
      <c r="J170" s="230">
        <f ca="1">'Financial Overview'!J364</f>
        <v>2216397.407748153</v>
      </c>
      <c r="K170" s="230">
        <f ca="1">'Financial Overview'!K364</f>
        <v>2343573.6371227214</v>
      </c>
      <c r="L170" s="230">
        <f ca="1">'Financial Overview'!L364</f>
        <v>2482992.8989472711</v>
      </c>
      <c r="M170" s="230">
        <f ca="1">'Financial Overview'!M364</f>
        <v>2629174.8487205287</v>
      </c>
      <c r="N170" s="230">
        <f ca="1">'Financial Overview'!N364</f>
        <v>2782370.1340690199</v>
      </c>
      <c r="O170" s="230">
        <f ca="1">'Financial Overview'!O364</f>
        <v>2942891.8275054055</v>
      </c>
      <c r="P170" s="230">
        <f ca="1">'Financial Overview'!P364</f>
        <v>3111067.0375436642</v>
      </c>
      <c r="Q170" s="230">
        <f ca="1">'Financial Overview'!Q364</f>
        <v>3287237.0692137866</v>
      </c>
      <c r="R170" s="230">
        <f ca="1">'Financial Overview'!R364</f>
        <v>3471758.0283927973</v>
      </c>
      <c r="S170" s="230">
        <f ca="1">'Financial Overview'!S364</f>
        <v>3665001.4556446504</v>
      </c>
      <c r="T170" s="230">
        <f ca="1">'Financial Overview'!T364</f>
        <v>3867354.9870822672</v>
      </c>
    </row>
    <row r="171" spans="1:20" hidden="1" x14ac:dyDescent="0.4">
      <c r="A171" s="225"/>
      <c r="B171" s="218">
        <f>'Financial Overview'!B365</f>
        <v>0</v>
      </c>
      <c r="C171" s="218"/>
      <c r="D171" s="215">
        <f>'Financial Overview'!D365</f>
        <v>0</v>
      </c>
      <c r="E171" s="216">
        <f>'Financial Overview'!E365</f>
        <v>0</v>
      </c>
      <c r="F171" s="215">
        <f>'Financial Overview'!F365</f>
        <v>0</v>
      </c>
      <c r="G171" s="236">
        <f ca="1">'Financial Overview'!G365</f>
        <v>-1.0634648892385157</v>
      </c>
      <c r="H171" s="230">
        <f>'Financial Overview'!H365</f>
        <v>0</v>
      </c>
      <c r="I171" s="230">
        <f>'Financial Overview'!I365</f>
        <v>0</v>
      </c>
      <c r="J171" s="230">
        <f>'Financial Overview'!J365</f>
        <v>0</v>
      </c>
      <c r="K171" s="230">
        <f>'Financial Overview'!K365</f>
        <v>0</v>
      </c>
      <c r="L171" s="230">
        <f>'Financial Overview'!L365</f>
        <v>0</v>
      </c>
      <c r="M171" s="230">
        <f>'Financial Overview'!M365</f>
        <v>0</v>
      </c>
      <c r="N171" s="230">
        <f>'Financial Overview'!N365</f>
        <v>0</v>
      </c>
      <c r="O171" s="230">
        <f>'Financial Overview'!O365</f>
        <v>0</v>
      </c>
      <c r="P171" s="230">
        <f>'Financial Overview'!P365</f>
        <v>0</v>
      </c>
      <c r="Q171" s="230">
        <f>'Financial Overview'!Q365</f>
        <v>0</v>
      </c>
      <c r="R171" s="230">
        <f>'Financial Overview'!R365</f>
        <v>0</v>
      </c>
      <c r="S171" s="230">
        <f>'Financial Overview'!S365</f>
        <v>0</v>
      </c>
      <c r="T171" s="230">
        <f>'Financial Overview'!T365</f>
        <v>0</v>
      </c>
    </row>
  </sheetData>
  <mergeCells count="2">
    <mergeCell ref="A5:C5"/>
    <mergeCell ref="A95:C95"/>
  </mergeCells>
  <conditionalFormatting sqref="E7:XFD7">
    <cfRule type="expression" dxfId="121" priority="15">
      <formula>_xludf.ISFORMULA(E7)</formula>
    </cfRule>
  </conditionalFormatting>
  <conditionalFormatting sqref="A7:B7">
    <cfRule type="expression" dxfId="120" priority="17">
      <formula>_xludf.ISFORMULA(A7)</formula>
    </cfRule>
  </conditionalFormatting>
  <conditionalFormatting sqref="D7">
    <cfRule type="expression" dxfId="119" priority="16">
      <formula>_xludf.ISFORMULA(D7)</formula>
    </cfRule>
  </conditionalFormatting>
  <conditionalFormatting sqref="C7">
    <cfRule type="expression" dxfId="118" priority="14">
      <formula>_xludf.ISFORMULA(C7)</formula>
    </cfRule>
  </conditionalFormatting>
  <conditionalFormatting sqref="G17:T17">
    <cfRule type="expression" dxfId="117" priority="13">
      <formula>_xludf.ISFORMULA(G17)</formula>
    </cfRule>
  </conditionalFormatting>
  <conditionalFormatting sqref="G37:T37">
    <cfRule type="expression" dxfId="116" priority="12">
      <formula>_xludf.ISFORMULA(G37)</formula>
    </cfRule>
  </conditionalFormatting>
  <conditionalFormatting sqref="G48:T48">
    <cfRule type="expression" dxfId="115" priority="11">
      <formula>_xludf.ISFORMULA(G48)</formula>
    </cfRule>
  </conditionalFormatting>
  <conditionalFormatting sqref="G61:T61">
    <cfRule type="expression" dxfId="114" priority="10">
      <formula>_xludf.ISFORMULA(G61)</formula>
    </cfRule>
  </conditionalFormatting>
  <conditionalFormatting sqref="G103:T103">
    <cfRule type="expression" dxfId="113" priority="9">
      <formula>_xludf.ISFORMULA(G103)</formula>
    </cfRule>
  </conditionalFormatting>
  <conditionalFormatting sqref="G109:T109">
    <cfRule type="expression" dxfId="112" priority="8">
      <formula>_xludf.ISFORMULA(G109)</formula>
    </cfRule>
  </conditionalFormatting>
  <conditionalFormatting sqref="G147:T147">
    <cfRule type="expression" dxfId="111" priority="7">
      <formula>_xludf.ISFORMULA(G147)</formula>
    </cfRule>
  </conditionalFormatting>
  <conditionalFormatting sqref="G153:T153">
    <cfRule type="expression" dxfId="110" priority="6">
      <formula>_xludf.ISFORMULA(G153)</formula>
    </cfRule>
  </conditionalFormatting>
  <conditionalFormatting sqref="G169:T169">
    <cfRule type="expression" dxfId="109" priority="5">
      <formula>_xludf.ISFORMULA(G169)</formula>
    </cfRule>
  </conditionalFormatting>
  <conditionalFormatting sqref="E97:XFD97">
    <cfRule type="expression" dxfId="108" priority="2">
      <formula>_xludf.ISFORMULA(E97)</formula>
    </cfRule>
  </conditionalFormatting>
  <conditionalFormatting sqref="A97:B97">
    <cfRule type="expression" dxfId="107" priority="4">
      <formula>_xludf.ISFORMULA(A97)</formula>
    </cfRule>
  </conditionalFormatting>
  <conditionalFormatting sqref="D97">
    <cfRule type="expression" dxfId="106" priority="3">
      <formula>_xludf.ISFORMULA(D97)</formula>
    </cfRule>
  </conditionalFormatting>
  <conditionalFormatting sqref="C97">
    <cfRule type="expression" dxfId="105" priority="1">
      <formula>_xludf.ISFORMULA(C97)</formula>
    </cfRule>
  </conditionalFormatting>
  <pageMargins left="0.23622047244094491" right="0.23622047244094491" top="0.74803149606299213" bottom="0.74803149606299213" header="0.31496062992125984" footer="0.31496062992125984"/>
  <pageSetup paperSize="9" scale="54" fitToHeight="0" orientation="landscape" r:id="rId1"/>
  <headerFooter>
    <oddFooter>&amp;LImpactAgri Limited&amp;CPage &amp;P of &amp;N&amp;RCONFIDENTIAL</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tint="-9.9978637043366805E-2"/>
    <pageSetUpPr autoPageBreaks="0"/>
  </sheetPr>
  <dimension ref="A1:N35"/>
  <sheetViews>
    <sheetView showGridLines="0" zoomScale="70" zoomScaleNormal="70" workbookViewId="0">
      <pane xSplit="5" ySplit="9" topLeftCell="F10" activePane="bottomRight" state="frozen"/>
      <selection activeCell="H11" sqref="H11"/>
      <selection pane="topRight" activeCell="H11" sqref="H11"/>
      <selection pane="bottomLeft" activeCell="H11" sqref="H11"/>
      <selection pane="bottomRight" activeCell="C49" sqref="C49"/>
    </sheetView>
  </sheetViews>
  <sheetFormatPr defaultColWidth="12.59765625" defaultRowHeight="14.25" x14ac:dyDescent="0.45"/>
  <cols>
    <col min="1" max="1" width="3.59765625" style="141" customWidth="1"/>
    <col min="2" max="2" width="34.265625" style="141" customWidth="1"/>
    <col min="3" max="3" width="105" style="141" customWidth="1"/>
    <col min="4" max="4" width="17.73046875" style="143" bestFit="1" customWidth="1"/>
    <col min="5" max="5" width="15.86328125" bestFit="1" customWidth="1"/>
    <col min="6" max="6" width="20.3984375" style="141" customWidth="1"/>
    <col min="7" max="8" width="20.3984375" style="141" hidden="1" customWidth="1"/>
    <col min="9" max="9" width="20.3984375" style="141" customWidth="1"/>
    <col min="10" max="16384" width="12.59765625" style="141"/>
  </cols>
  <sheetData>
    <row r="1" spans="1:14" x14ac:dyDescent="0.45">
      <c r="A1" s="147" t="s">
        <v>877</v>
      </c>
      <c r="D1" s="206">
        <f ca="1">Assumptions!F1</f>
        <v>16243658.526131678</v>
      </c>
      <c r="E1" s="207">
        <f ca="1">Assumptions!G1</f>
        <v>559751.44489366515</v>
      </c>
    </row>
    <row r="2" spans="1:14" x14ac:dyDescent="0.45">
      <c r="B2" s="143"/>
      <c r="C2" s="143"/>
    </row>
    <row r="3" spans="1:14" x14ac:dyDescent="0.45">
      <c r="A3" s="4" t="s">
        <v>6</v>
      </c>
      <c r="B3" s="2"/>
      <c r="D3" s="2"/>
    </row>
    <row r="4" spans="1:14" x14ac:dyDescent="0.45">
      <c r="A4" s="5"/>
      <c r="B4" s="6" t="s">
        <v>7</v>
      </c>
      <c r="C4" s="146"/>
      <c r="D4" s="141"/>
    </row>
    <row r="5" spans="1:14" x14ac:dyDescent="0.45">
      <c r="A5" s="8"/>
      <c r="B5" s="6" t="s">
        <v>8</v>
      </c>
      <c r="C5" s="146"/>
      <c r="D5" s="141"/>
    </row>
    <row r="6" spans="1:14" x14ac:dyDescent="0.45">
      <c r="A6" s="9"/>
      <c r="B6" s="6" t="s">
        <v>9</v>
      </c>
      <c r="C6" s="146"/>
      <c r="D6" s="141"/>
      <c r="F6" s="150"/>
      <c r="G6" s="150"/>
      <c r="H6" s="150"/>
      <c r="I6" s="150"/>
    </row>
    <row r="7" spans="1:14" x14ac:dyDescent="0.45">
      <c r="A7" s="10"/>
      <c r="B7" s="6" t="s">
        <v>10</v>
      </c>
      <c r="C7" s="146"/>
      <c r="D7" s="141"/>
    </row>
    <row r="8" spans="1:14" customFormat="1" x14ac:dyDescent="0.45"/>
    <row r="9" spans="1:14" s="142" customFormat="1" ht="75" customHeight="1" x14ac:dyDescent="0.45">
      <c r="B9" s="149"/>
      <c r="C9" s="149" t="s">
        <v>116</v>
      </c>
      <c r="D9" s="144" t="s">
        <v>0</v>
      </c>
      <c r="E9"/>
      <c r="F9" s="165" t="s">
        <v>535</v>
      </c>
      <c r="G9" s="165" t="s">
        <v>519</v>
      </c>
      <c r="H9" s="165" t="s">
        <v>520</v>
      </c>
      <c r="I9" s="165" t="s">
        <v>204</v>
      </c>
    </row>
    <row r="10" spans="1:14" s="142" customFormat="1" x14ac:dyDescent="0.45">
      <c r="B10" s="149" t="s">
        <v>521</v>
      </c>
      <c r="C10" s="144"/>
      <c r="D10" s="144"/>
      <c r="E10"/>
    </row>
    <row r="11" spans="1:14" x14ac:dyDescent="0.45">
      <c r="B11" s="142"/>
      <c r="C11" s="150" t="s">
        <v>257</v>
      </c>
      <c r="D11" s="145" t="s">
        <v>806</v>
      </c>
      <c r="F11" s="161">
        <f>'Training Cost Data'!L21*50</f>
        <v>175146.91151919865</v>
      </c>
      <c r="G11" s="161">
        <v>0</v>
      </c>
      <c r="H11" s="161">
        <v>0</v>
      </c>
      <c r="I11" s="161">
        <v>0</v>
      </c>
      <c r="J11" s="213" t="s">
        <v>281</v>
      </c>
      <c r="K11" s="211"/>
      <c r="L11" s="211"/>
      <c r="M11" s="211"/>
      <c r="N11" s="211"/>
    </row>
    <row r="12" spans="1:14" ht="15" customHeight="1" x14ac:dyDescent="0.45">
      <c r="C12" s="150" t="s">
        <v>258</v>
      </c>
      <c r="D12" s="145" t="s">
        <v>806</v>
      </c>
      <c r="F12" s="161">
        <v>0</v>
      </c>
      <c r="G12" s="161">
        <v>20000</v>
      </c>
      <c r="H12" s="161">
        <v>100000</v>
      </c>
      <c r="I12" s="161">
        <v>0</v>
      </c>
      <c r="J12" s="211"/>
      <c r="K12" s="211"/>
      <c r="L12" s="211"/>
    </row>
    <row r="13" spans="1:14" ht="15" customHeight="1" x14ac:dyDescent="0.45">
      <c r="B13" s="142" t="s">
        <v>537</v>
      </c>
      <c r="C13" s="150"/>
      <c r="D13" s="145"/>
      <c r="F13"/>
      <c r="G13"/>
      <c r="H13"/>
      <c r="I13"/>
      <c r="J13" s="211"/>
      <c r="K13" s="211"/>
      <c r="L13" s="211"/>
    </row>
    <row r="14" spans="1:14" ht="15" customHeight="1" x14ac:dyDescent="0.45">
      <c r="B14" s="142"/>
      <c r="C14" s="150" t="s">
        <v>259</v>
      </c>
      <c r="D14" s="145" t="s">
        <v>806</v>
      </c>
      <c r="F14" s="161">
        <v>0</v>
      </c>
      <c r="G14" s="161">
        <v>10000</v>
      </c>
      <c r="H14" s="161">
        <v>50000</v>
      </c>
      <c r="I14" s="161">
        <v>0</v>
      </c>
      <c r="J14" s="211"/>
      <c r="K14" s="211"/>
      <c r="L14" s="211"/>
    </row>
    <row r="15" spans="1:14" ht="15" customHeight="1" x14ac:dyDescent="0.45">
      <c r="B15" s="142"/>
      <c r="C15" s="150" t="s">
        <v>260</v>
      </c>
      <c r="D15" s="145" t="s">
        <v>806</v>
      </c>
      <c r="F15" s="161">
        <v>0</v>
      </c>
      <c r="G15" s="161">
        <v>5000</v>
      </c>
      <c r="H15" s="161">
        <v>25000</v>
      </c>
      <c r="I15" s="161">
        <v>0</v>
      </c>
      <c r="J15" s="211"/>
      <c r="K15" s="211"/>
      <c r="L15" s="211"/>
    </row>
    <row r="16" spans="1:14" ht="15" customHeight="1" x14ac:dyDescent="0.45">
      <c r="B16" s="142" t="s">
        <v>538</v>
      </c>
      <c r="C16" s="150"/>
      <c r="D16" s="145"/>
      <c r="F16"/>
      <c r="G16"/>
      <c r="H16"/>
      <c r="I16"/>
      <c r="J16" s="211"/>
      <c r="K16" s="211"/>
      <c r="L16" s="211"/>
    </row>
    <row r="17" spans="2:12" x14ac:dyDescent="0.45">
      <c r="B17" s="142"/>
      <c r="C17" s="150" t="s">
        <v>269</v>
      </c>
      <c r="D17" s="145" t="s">
        <v>806</v>
      </c>
      <c r="F17" s="161">
        <v>0</v>
      </c>
      <c r="G17" s="161">
        <v>40000</v>
      </c>
      <c r="H17" s="161">
        <v>200000</v>
      </c>
      <c r="I17" s="161">
        <v>50000</v>
      </c>
      <c r="J17" s="211"/>
      <c r="K17" s="211"/>
      <c r="L17" s="211"/>
    </row>
    <row r="18" spans="2:12" x14ac:dyDescent="0.45">
      <c r="B18" s="142"/>
      <c r="C18" s="150" t="s">
        <v>261</v>
      </c>
      <c r="D18" s="145" t="s">
        <v>806</v>
      </c>
      <c r="F18" s="161">
        <v>0</v>
      </c>
      <c r="G18" s="161">
        <v>0</v>
      </c>
      <c r="H18" s="161">
        <v>0</v>
      </c>
      <c r="I18" s="161"/>
      <c r="J18" s="211"/>
      <c r="K18" s="211"/>
      <c r="L18" s="211"/>
    </row>
    <row r="19" spans="2:12" x14ac:dyDescent="0.45">
      <c r="B19" s="142"/>
      <c r="C19" s="150" t="s">
        <v>262</v>
      </c>
      <c r="D19" s="145" t="s">
        <v>806</v>
      </c>
      <c r="F19" s="161">
        <v>0</v>
      </c>
      <c r="G19" s="161">
        <v>5000</v>
      </c>
      <c r="H19" s="161">
        <v>25000</v>
      </c>
      <c r="I19" s="161">
        <v>0</v>
      </c>
      <c r="J19" s="211"/>
      <c r="K19" s="211"/>
      <c r="L19" s="211"/>
    </row>
    <row r="20" spans="2:12" x14ac:dyDescent="0.45">
      <c r="B20" s="142"/>
      <c r="C20" s="150" t="s">
        <v>270</v>
      </c>
      <c r="D20" s="145" t="s">
        <v>806</v>
      </c>
      <c r="F20" s="161">
        <v>0</v>
      </c>
      <c r="G20" s="161">
        <v>0</v>
      </c>
      <c r="H20" s="161">
        <v>0</v>
      </c>
      <c r="I20" s="161"/>
      <c r="J20" s="211"/>
      <c r="K20" s="211"/>
      <c r="L20" s="211"/>
    </row>
    <row r="21" spans="2:12" x14ac:dyDescent="0.45">
      <c r="B21" s="142"/>
      <c r="C21" s="150" t="s">
        <v>274</v>
      </c>
      <c r="D21" s="145" t="s">
        <v>806</v>
      </c>
      <c r="F21" s="161">
        <v>0</v>
      </c>
      <c r="G21" s="161">
        <v>20000</v>
      </c>
      <c r="H21" s="161">
        <v>100000</v>
      </c>
      <c r="I21" s="161">
        <v>0</v>
      </c>
      <c r="J21" s="211"/>
      <c r="K21" s="211"/>
      <c r="L21" s="211"/>
    </row>
    <row r="22" spans="2:12" x14ac:dyDescent="0.45">
      <c r="B22" s="142"/>
      <c r="C22" s="150" t="s">
        <v>263</v>
      </c>
      <c r="D22" s="145" t="s">
        <v>806</v>
      </c>
      <c r="F22" s="161">
        <v>0</v>
      </c>
      <c r="G22" s="161">
        <v>0</v>
      </c>
      <c r="H22" s="161">
        <v>0</v>
      </c>
      <c r="I22" s="161">
        <v>40000</v>
      </c>
      <c r="J22" s="211"/>
      <c r="K22" s="211"/>
      <c r="L22" s="211"/>
    </row>
    <row r="23" spans="2:12" x14ac:dyDescent="0.45">
      <c r="B23" s="142"/>
      <c r="C23" s="150" t="s">
        <v>264</v>
      </c>
      <c r="D23" s="145" t="s">
        <v>806</v>
      </c>
      <c r="F23" s="161">
        <v>0</v>
      </c>
      <c r="G23" s="161">
        <v>0</v>
      </c>
      <c r="H23" s="161">
        <v>0</v>
      </c>
      <c r="I23" s="161"/>
      <c r="J23" s="211"/>
      <c r="K23" s="211"/>
      <c r="L23" s="211"/>
    </row>
    <row r="24" spans="2:12" x14ac:dyDescent="0.45">
      <c r="B24" s="142" t="s">
        <v>536</v>
      </c>
      <c r="C24" s="150"/>
      <c r="D24" s="145"/>
      <c r="F24"/>
      <c r="G24"/>
      <c r="H24"/>
      <c r="I24"/>
      <c r="J24" s="211"/>
      <c r="K24" s="211"/>
      <c r="L24" s="211"/>
    </row>
    <row r="25" spans="2:12" x14ac:dyDescent="0.45">
      <c r="B25" s="142"/>
      <c r="C25" s="150" t="s">
        <v>265</v>
      </c>
      <c r="D25" s="145" t="s">
        <v>806</v>
      </c>
      <c r="F25" s="161">
        <v>0</v>
      </c>
      <c r="G25" s="161">
        <v>10000</v>
      </c>
      <c r="H25" s="161">
        <v>50000</v>
      </c>
      <c r="I25" s="161">
        <v>50000</v>
      </c>
      <c r="J25" s="211"/>
      <c r="K25" s="211"/>
      <c r="L25" s="211"/>
    </row>
    <row r="26" spans="2:12" x14ac:dyDescent="0.45">
      <c r="B26" s="142"/>
      <c r="C26" s="150" t="s">
        <v>266</v>
      </c>
      <c r="D26" s="145" t="s">
        <v>806</v>
      </c>
      <c r="F26" s="161">
        <v>0</v>
      </c>
      <c r="G26" s="161">
        <v>0</v>
      </c>
      <c r="H26" s="161">
        <v>0</v>
      </c>
      <c r="I26" s="161"/>
      <c r="J26" s="211"/>
      <c r="K26" s="211"/>
      <c r="L26" s="211"/>
    </row>
    <row r="27" spans="2:12" x14ac:dyDescent="0.45">
      <c r="B27" s="142"/>
      <c r="C27" s="150" t="s">
        <v>267</v>
      </c>
      <c r="D27" s="145" t="s">
        <v>806</v>
      </c>
      <c r="F27" s="161">
        <v>0</v>
      </c>
      <c r="G27" s="161">
        <v>0</v>
      </c>
      <c r="H27" s="161">
        <v>0</v>
      </c>
      <c r="I27" s="161"/>
      <c r="J27" s="211"/>
      <c r="K27" s="211"/>
      <c r="L27" s="211"/>
    </row>
    <row r="28" spans="2:12" x14ac:dyDescent="0.45">
      <c r="B28" s="142"/>
      <c r="C28" s="150" t="s">
        <v>268</v>
      </c>
      <c r="D28" s="145" t="s">
        <v>806</v>
      </c>
      <c r="F28" s="161">
        <v>0</v>
      </c>
      <c r="G28" s="161">
        <v>0</v>
      </c>
      <c r="H28" s="161">
        <v>0</v>
      </c>
      <c r="I28" s="161"/>
      <c r="J28" s="211"/>
      <c r="K28" s="211"/>
      <c r="L28" s="211"/>
    </row>
    <row r="29" spans="2:12" x14ac:dyDescent="0.45">
      <c r="B29" s="142"/>
      <c r="C29" s="150" t="s">
        <v>271</v>
      </c>
      <c r="D29" s="145" t="s">
        <v>806</v>
      </c>
      <c r="F29" s="161">
        <v>0</v>
      </c>
      <c r="G29" s="161">
        <v>0</v>
      </c>
      <c r="H29" s="161">
        <v>0</v>
      </c>
      <c r="I29" s="161"/>
      <c r="J29" s="211"/>
      <c r="K29" s="211"/>
      <c r="L29" s="211"/>
    </row>
    <row r="30" spans="2:12" x14ac:dyDescent="0.45">
      <c r="B30" s="142"/>
      <c r="C30" s="150" t="s">
        <v>272</v>
      </c>
      <c r="D30" s="145" t="s">
        <v>806</v>
      </c>
      <c r="F30" s="161">
        <v>0</v>
      </c>
      <c r="G30" s="161">
        <v>0</v>
      </c>
      <c r="H30" s="161">
        <v>0</v>
      </c>
      <c r="I30" s="161"/>
      <c r="J30" s="211"/>
      <c r="K30" s="211"/>
      <c r="L30" s="211"/>
    </row>
    <row r="31" spans="2:12" x14ac:dyDescent="0.45">
      <c r="B31" s="142"/>
      <c r="C31" s="150" t="s">
        <v>273</v>
      </c>
      <c r="D31" s="145" t="s">
        <v>806</v>
      </c>
      <c r="F31" s="161">
        <v>0</v>
      </c>
      <c r="G31" s="161">
        <v>0</v>
      </c>
      <c r="H31" s="161">
        <v>0</v>
      </c>
      <c r="I31" s="161">
        <v>50000</v>
      </c>
      <c r="J31" s="211"/>
      <c r="K31" s="211"/>
      <c r="L31" s="211"/>
    </row>
    <row r="32" spans="2:12" x14ac:dyDescent="0.45">
      <c r="B32" s="142"/>
      <c r="D32" s="145"/>
      <c r="F32" s="162" t="s">
        <v>22</v>
      </c>
      <c r="G32" s="162" t="s">
        <v>22</v>
      </c>
      <c r="H32" s="162" t="s">
        <v>22</v>
      </c>
      <c r="I32" s="162" t="s">
        <v>22</v>
      </c>
    </row>
    <row r="33" spans="2:9" x14ac:dyDescent="0.45">
      <c r="C33" s="142" t="s">
        <v>231</v>
      </c>
      <c r="D33" s="145" t="s">
        <v>806</v>
      </c>
      <c r="F33" s="163">
        <f>SUM(F11:F32)</f>
        <v>175146.91151919865</v>
      </c>
      <c r="G33" s="163">
        <f>SUM(G11:G32)</f>
        <v>110000</v>
      </c>
      <c r="H33" s="163">
        <f>SUM(H11:H32)</f>
        <v>550000</v>
      </c>
      <c r="I33" s="163">
        <f>SUM(I11:I32)</f>
        <v>190000</v>
      </c>
    </row>
    <row r="34" spans="2:9" x14ac:dyDescent="0.45">
      <c r="F34" s="162" t="s">
        <v>22</v>
      </c>
      <c r="G34" s="162" t="s">
        <v>22</v>
      </c>
      <c r="H34" s="162" t="s">
        <v>22</v>
      </c>
      <c r="I34" s="162" t="s">
        <v>22</v>
      </c>
    </row>
    <row r="35" spans="2:9" s="142" customFormat="1" x14ac:dyDescent="0.45">
      <c r="B35" s="142" t="s">
        <v>114</v>
      </c>
      <c r="C35" s="142" t="s">
        <v>160</v>
      </c>
      <c r="D35" s="144" t="s">
        <v>806</v>
      </c>
      <c r="E35"/>
      <c r="F35" s="163">
        <f>F33</f>
        <v>175146.91151919865</v>
      </c>
      <c r="G35" s="163">
        <f>G33</f>
        <v>110000</v>
      </c>
      <c r="H35" s="163">
        <f>H33</f>
        <v>550000</v>
      </c>
      <c r="I35" s="163">
        <f>I33</f>
        <v>190000</v>
      </c>
    </row>
  </sheetData>
  <conditionalFormatting sqref="A3:B6 D3 C4:C6 F34:G34 F32:G32 I32 I34">
    <cfRule type="expression" dxfId="104" priority="28">
      <formula>_xlfn.ISFORMULA(INDIRECT("rc",FALSE))</formula>
    </cfRule>
  </conditionalFormatting>
  <conditionalFormatting sqref="A7">
    <cfRule type="expression" dxfId="103" priority="27">
      <formula>_xlfn.ISFORMULA(INDIRECT("rc",FALSE))</formula>
    </cfRule>
  </conditionalFormatting>
  <conditionalFormatting sqref="B7">
    <cfRule type="expression" dxfId="102" priority="26">
      <formula>_xlfn.ISFORMULA(INDIRECT("rc",FALSE))</formula>
    </cfRule>
  </conditionalFormatting>
  <conditionalFormatting sqref="C7">
    <cfRule type="expression" dxfId="101" priority="24">
      <formula>_xlfn.ISFORMULA(INDIRECT("rc",FALSE))</formula>
    </cfRule>
  </conditionalFormatting>
  <conditionalFormatting sqref="C12:G12 A1:XFD10 A11:G11 A21:F21 A25:F25 A12:A13 A33:XFD1048576 A26:G32 A20:G20 A22:G23 A17:F19 G17:G18 H11:XFD12 H25:XFD32 J24:XFD24 A24:E24 H17:XFD23 J16:XFD16 A16:E16 A14:XFD15 J13:XFD13 C13:E13">
    <cfRule type="expression" dxfId="100" priority="8">
      <formula>_xlfn.ISFORMULA(A1)</formula>
    </cfRule>
  </conditionalFormatting>
  <conditionalFormatting sqref="H34 H32">
    <cfRule type="expression" dxfId="99" priority="6">
      <formula>_xlfn.ISFORMULA(INDIRECT("rc",FALSE))</formula>
    </cfRule>
  </conditionalFormatting>
  <conditionalFormatting sqref="G19">
    <cfRule type="expression" dxfId="98" priority="3">
      <formula>_xlfn.ISFORMULA(G19)</formula>
    </cfRule>
  </conditionalFormatting>
  <conditionalFormatting sqref="G21">
    <cfRule type="expression" dxfId="97" priority="2">
      <formula>_xlfn.ISFORMULA(G21)</formula>
    </cfRule>
  </conditionalFormatting>
  <conditionalFormatting sqref="G25">
    <cfRule type="expression" dxfId="96" priority="1">
      <formula>_xlfn.ISFORMULA(G25)</formula>
    </cfRule>
  </conditionalFormatting>
  <pageMargins left="0.7" right="0.7" top="0.75" bottom="0.75" header="0.3" footer="0.3"/>
  <pageSetup paperSize="9" orientation="portrait" horizontalDpi="1200" verticalDpi="1200"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tint="-9.9978637043366805E-2"/>
  </sheetPr>
  <dimension ref="A1:BN16"/>
  <sheetViews>
    <sheetView showGridLines="0" zoomScale="70" zoomScaleNormal="70" workbookViewId="0">
      <pane xSplit="7" ySplit="10" topLeftCell="H11" activePane="bottomRight" state="frozen"/>
      <selection activeCell="H11" sqref="H11"/>
      <selection pane="topRight" activeCell="H11" sqref="H11"/>
      <selection pane="bottomLeft" activeCell="H11" sqref="H11"/>
      <selection pane="bottomRight" activeCell="H11" sqref="H11"/>
    </sheetView>
  </sheetViews>
  <sheetFormatPr defaultColWidth="9.1328125" defaultRowHeight="14.25" x14ac:dyDescent="0.45"/>
  <cols>
    <col min="1" max="2" width="2.86328125" customWidth="1"/>
    <col min="3" max="3" width="49.3984375" customWidth="1"/>
    <col min="4" max="4" width="38.59765625" customWidth="1"/>
    <col min="5" max="5" width="14" customWidth="1"/>
    <col min="6" max="6" width="14.3984375" customWidth="1"/>
    <col min="7" max="7" width="13.73046875" customWidth="1"/>
    <col min="8" max="8" width="17.1328125" customWidth="1"/>
    <col min="9" max="12" width="20.1328125" customWidth="1"/>
    <col min="13" max="13" width="120.73046875" customWidth="1"/>
  </cols>
  <sheetData>
    <row r="1" spans="1:66" s="2" customFormat="1" x14ac:dyDescent="0.45">
      <c r="A1" s="18" t="str">
        <f ca="1">RIGHT(CELL("filename",$A$1),LEN(CELL("filename",$A$1))-FIND("]",CELL("filename",$A$1)))</f>
        <v>Supplementary Revenue Data</v>
      </c>
      <c r="F1" s="208">
        <f ca="1">'Implementation &amp; Management'!D1</f>
        <v>16243658.526131678</v>
      </c>
      <c r="G1" s="208">
        <f ca="1">'Implementation &amp; Management'!E1</f>
        <v>559751.44489366515</v>
      </c>
      <c r="O1" s="23"/>
      <c r="P1"/>
      <c r="Q1"/>
      <c r="R1"/>
      <c r="S1" s="20">
        <v>2</v>
      </c>
      <c r="T1" s="20">
        <v>3</v>
      </c>
      <c r="U1" s="20">
        <v>4</v>
      </c>
      <c r="V1" s="20">
        <v>5</v>
      </c>
      <c r="W1" s="20">
        <v>6</v>
      </c>
      <c r="X1" s="20">
        <v>7</v>
      </c>
      <c r="Y1" s="20">
        <v>8</v>
      </c>
      <c r="Z1" s="20">
        <v>9</v>
      </c>
      <c r="AA1" s="20">
        <v>10</v>
      </c>
      <c r="AB1" s="20">
        <v>11</v>
      </c>
      <c r="AC1" s="20">
        <v>12</v>
      </c>
      <c r="AD1" s="20">
        <v>13</v>
      </c>
      <c r="AE1" s="20">
        <v>14</v>
      </c>
      <c r="AF1" s="20">
        <v>15</v>
      </c>
      <c r="AG1" s="20"/>
    </row>
    <row r="2" spans="1:66" s="2" customFormat="1" x14ac:dyDescent="0.45">
      <c r="E2" s="18"/>
      <c r="F2" s="18"/>
      <c r="G2" s="18"/>
      <c r="H2" s="21"/>
      <c r="I2" s="21"/>
      <c r="J2" s="21"/>
      <c r="K2" s="21"/>
      <c r="L2" s="21"/>
      <c r="M2" s="21"/>
      <c r="Q2" s="135"/>
    </row>
    <row r="3" spans="1:66" s="2" customFormat="1" x14ac:dyDescent="0.45">
      <c r="A3" s="4" t="s">
        <v>6</v>
      </c>
      <c r="W3" s="22"/>
    </row>
    <row r="4" spans="1:66" s="2" customFormat="1" x14ac:dyDescent="0.45">
      <c r="A4" s="5"/>
      <c r="B4" s="6" t="s">
        <v>7</v>
      </c>
      <c r="C4" s="118"/>
      <c r="D4" s="7"/>
    </row>
    <row r="5" spans="1:66" s="2" customFormat="1" x14ac:dyDescent="0.45">
      <c r="A5" s="8"/>
      <c r="B5" s="6" t="s">
        <v>8</v>
      </c>
      <c r="C5" s="118"/>
      <c r="D5" s="7"/>
    </row>
    <row r="6" spans="1:66" s="2" customFormat="1" x14ac:dyDescent="0.45">
      <c r="A6" s="9"/>
      <c r="B6" s="6" t="s">
        <v>9</v>
      </c>
      <c r="C6" s="118"/>
      <c r="D6" s="7"/>
    </row>
    <row r="7" spans="1:66" s="2" customFormat="1" x14ac:dyDescent="0.45">
      <c r="A7" s="10"/>
      <c r="B7" s="6" t="s">
        <v>10</v>
      </c>
      <c r="C7" s="118"/>
      <c r="D7" s="146"/>
    </row>
    <row r="8" spans="1:66" x14ac:dyDescent="0.45">
      <c r="E8" s="2"/>
      <c r="F8" s="2"/>
      <c r="G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row>
    <row r="9" spans="1:66" s="2" customFormat="1" x14ac:dyDescent="0.45">
      <c r="O9" s="23"/>
      <c r="P9" s="23"/>
      <c r="R9" s="24"/>
      <c r="S9" s="24"/>
      <c r="T9" s="24"/>
      <c r="U9" s="24"/>
      <c r="V9" s="24"/>
      <c r="W9" s="24"/>
      <c r="X9" s="24"/>
      <c r="Y9" s="24"/>
      <c r="Z9" s="24"/>
      <c r="AA9" s="24"/>
      <c r="AB9" s="24"/>
      <c r="AC9" s="24"/>
      <c r="AD9" s="24"/>
      <c r="AE9" s="24"/>
      <c r="AF9" s="24"/>
    </row>
    <row r="10" spans="1:66" s="26" customFormat="1" ht="28.5" x14ac:dyDescent="0.45">
      <c r="A10" s="2"/>
      <c r="B10" s="2"/>
      <c r="E10" s="198" t="s">
        <v>0</v>
      </c>
      <c r="F10" s="198" t="s">
        <v>207</v>
      </c>
      <c r="G10" s="198"/>
      <c r="H10" s="198" t="s">
        <v>216</v>
      </c>
      <c r="I10" s="198" t="s">
        <v>243</v>
      </c>
      <c r="J10" s="198" t="s">
        <v>817</v>
      </c>
      <c r="K10" s="198" t="s">
        <v>244</v>
      </c>
      <c r="L10" s="198" t="s">
        <v>818</v>
      </c>
      <c r="M10" s="199" t="s">
        <v>217</v>
      </c>
      <c r="N10" s="184"/>
      <c r="O10" s="184"/>
      <c r="P10" s="184"/>
      <c r="Q10" s="184"/>
      <c r="R10" s="174"/>
      <c r="S10" s="29"/>
      <c r="T10" s="29"/>
      <c r="U10" s="29"/>
      <c r="V10" s="29"/>
      <c r="W10" s="29"/>
      <c r="X10" s="29"/>
      <c r="Y10" s="29"/>
      <c r="Z10" s="29"/>
      <c r="AA10" s="29"/>
      <c r="AB10" s="29"/>
      <c r="AC10" s="29"/>
      <c r="AD10" s="29"/>
      <c r="AE10" s="29"/>
      <c r="AF10" s="29"/>
      <c r="AM10" s="120"/>
    </row>
    <row r="11" spans="1:66" x14ac:dyDescent="0.45">
      <c r="B11" s="181" t="s">
        <v>752</v>
      </c>
      <c r="D11" s="181"/>
    </row>
    <row r="12" spans="1:66" x14ac:dyDescent="0.45">
      <c r="C12" s="170" t="s">
        <v>149</v>
      </c>
      <c r="E12" s="176" t="s">
        <v>809</v>
      </c>
      <c r="F12" s="176" t="s">
        <v>209</v>
      </c>
      <c r="G12" s="176"/>
      <c r="H12" s="195">
        <v>300</v>
      </c>
      <c r="I12" s="189">
        <f>J12*Assumptions!$H$14</f>
        <v>59900</v>
      </c>
      <c r="J12" s="189">
        <v>100</v>
      </c>
      <c r="K12" s="182">
        <f>I12*H12</f>
        <v>17970000</v>
      </c>
      <c r="L12" s="182">
        <f>J12*H12</f>
        <v>30000</v>
      </c>
      <c r="M12" s="170" t="s">
        <v>232</v>
      </c>
    </row>
    <row r="13" spans="1:66" x14ac:dyDescent="0.45">
      <c r="C13" s="170" t="s">
        <v>753</v>
      </c>
      <c r="E13" s="176" t="s">
        <v>819</v>
      </c>
      <c r="F13" s="176" t="s">
        <v>209</v>
      </c>
      <c r="G13" s="176"/>
      <c r="H13" s="196">
        <v>300</v>
      </c>
      <c r="I13" s="189">
        <f>J13*Assumptions!$H$14</f>
        <v>29950</v>
      </c>
      <c r="J13" s="189">
        <v>50</v>
      </c>
      <c r="K13" s="182">
        <f>I13*H13</f>
        <v>8985000</v>
      </c>
      <c r="L13" s="182">
        <f>J13*H13</f>
        <v>15000</v>
      </c>
      <c r="M13" s="170"/>
    </row>
    <row r="14" spans="1:66" x14ac:dyDescent="0.45">
      <c r="C14" s="170" t="s">
        <v>233</v>
      </c>
      <c r="E14" s="176" t="s">
        <v>810</v>
      </c>
      <c r="F14" s="176" t="s">
        <v>806</v>
      </c>
      <c r="G14" s="176"/>
      <c r="H14" s="197">
        <f>'Carbon Data'!$G$17</f>
        <v>6462.3339999999998</v>
      </c>
      <c r="I14" s="201">
        <f>J14*Assumptions!$H$14</f>
        <v>2396</v>
      </c>
      <c r="J14" s="189">
        <v>4</v>
      </c>
      <c r="K14" s="182">
        <f>I14*H14</f>
        <v>15483752.264</v>
      </c>
      <c r="L14" s="182">
        <f>J14*H14</f>
        <v>25849.335999999999</v>
      </c>
      <c r="M14" s="170" t="s">
        <v>255</v>
      </c>
    </row>
    <row r="15" spans="1:66" x14ac:dyDescent="0.45">
      <c r="C15" s="170"/>
      <c r="E15" s="176"/>
      <c r="F15" s="176"/>
      <c r="G15" s="176"/>
      <c r="K15" s="162" t="s">
        <v>22</v>
      </c>
      <c r="L15" s="162" t="s">
        <v>22</v>
      </c>
      <c r="M15" s="170"/>
    </row>
    <row r="16" spans="1:66" x14ac:dyDescent="0.45">
      <c r="C16" s="174" t="s">
        <v>231</v>
      </c>
      <c r="E16" s="176" t="s">
        <v>810</v>
      </c>
      <c r="F16" s="176" t="s">
        <v>820</v>
      </c>
      <c r="K16" s="204">
        <f>SUM(K12:K14)</f>
        <v>42438752.263999999</v>
      </c>
      <c r="L16" s="204">
        <f>SUM(L12:L14)</f>
        <v>70849.335999999996</v>
      </c>
    </row>
  </sheetData>
  <conditionalFormatting sqref="A15:G15 M15:AF15 A16:AF20 A1:AF14">
    <cfRule type="expression" dxfId="95" priority="10">
      <formula>_xlfn.ISFORMULA(A1)</formula>
    </cfRule>
  </conditionalFormatting>
  <conditionalFormatting sqref="K15">
    <cfRule type="expression" dxfId="94" priority="6">
      <formula>_xlfn.ISFORMULA(INDIRECT("rc",FALSE))</formula>
    </cfRule>
  </conditionalFormatting>
  <conditionalFormatting sqref="L15">
    <cfRule type="expression" dxfId="93" priority="5">
      <formula>_xlfn.ISFORMULA(INDIRECT("rc",FALSE))</formula>
    </cfRule>
  </conditionalFormatting>
  <pageMargins left="0.7" right="0.7" top="0.75" bottom="0.75" header="0.3" footer="0.3"/>
  <pageSetup paperSize="9" orientation="portrait" horizontalDpi="1200" verticalDpi="1200" r:id="rId1"/>
  <legacyDrawing r:id="rId2"/>
  <extLst>
    <ext xmlns:x14="http://schemas.microsoft.com/office/spreadsheetml/2009/9/main" uri="{78C0D931-6437-407d-A8EE-F0AAD7539E65}">
      <x14:conditionalFormattings>
        <x14:conditionalFormatting xmlns:xm="http://schemas.microsoft.com/office/excel/2006/main">
          <x14:cfRule type="expression" priority="11" id="{C2C070B8-E533-4AC2-B031-3FFF0D6F6C03}">
            <xm:f>_xlfn.ISFORMULA(Assumptions!D1)</xm:f>
            <x14:dxf>
              <fill>
                <patternFill>
                  <bgColor theme="4" tint="0.59996337778862885"/>
                </patternFill>
              </fill>
            </x14:dxf>
          </x14:cfRule>
          <xm:sqref>S1:XFD1 N1:O1</xm:sqref>
        </x14:conditionalFormatting>
        <x14:conditionalFormatting xmlns:xm="http://schemas.microsoft.com/office/excel/2006/main">
          <x14:cfRule type="expression" priority="12" id="{4526833F-16CA-41C9-80CD-AF9F7DB74CAE}">
            <xm:f>_xlfn.ISFORMULA(Assumptions!E2)</xm:f>
            <x14:dxf>
              <fill>
                <patternFill>
                  <bgColor theme="4" tint="0.59996337778862885"/>
                </patternFill>
              </fill>
            </x14:dxf>
          </x14:cfRule>
          <xm:sqref>O4:XFD7 N2:XFD3 N8:XFD9 S10:XFD10</xm:sqref>
        </x14:conditionalFormatting>
        <x14:conditionalFormatting xmlns:xm="http://schemas.microsoft.com/office/excel/2006/main">
          <x14:cfRule type="expression" priority="13" id="{CAB854E7-E1FA-4F4D-8EA5-61E912B6DF5B}">
            <xm:f>_xlfn.ISFORMULA(Assumptions!B3)</xm:f>
            <x14:dxf>
              <fill>
                <patternFill>
                  <bgColor theme="4" tint="0.59996337778862885"/>
                </patternFill>
              </fill>
            </x14:dxf>
          </x14:cfRule>
          <xm:sqref>A4:D7 A3</xm:sqref>
        </x14:conditionalFormatting>
        <x14:conditionalFormatting xmlns:xm="http://schemas.microsoft.com/office/excel/2006/main">
          <x14:cfRule type="expression" priority="14" id="{3DAE65DD-FA6D-40B6-87FE-9E45C59544E5}">
            <xm:f>_xlfn.ISFORMULA(Assumptions!C2)</xm:f>
            <x14:dxf>
              <fill>
                <patternFill>
                  <bgColor theme="4" tint="0.59996337778862885"/>
                </patternFill>
              </fill>
            </x14:dxf>
          </x14:cfRule>
          <xm:sqref>H2:J3 H8:J9</xm:sqref>
        </x14:conditionalFormatting>
        <x14:conditionalFormatting xmlns:xm="http://schemas.microsoft.com/office/excel/2006/main">
          <x14:cfRule type="expression" priority="15" id="{F7508A95-B81C-4679-8DE0-3C33AE859A0C}">
            <xm:f>_xlfn.ISFORMULA(Assumptions!D2)</xm:f>
            <x14:dxf>
              <fill>
                <patternFill>
                  <bgColor theme="4" tint="0.59996337778862885"/>
                </patternFill>
              </fill>
            </x14:dxf>
          </x14:cfRule>
          <xm:sqref>K2:M3 K8:M9</xm:sqref>
        </x14:conditionalFormatting>
        <x14:conditionalFormatting xmlns:xm="http://schemas.microsoft.com/office/excel/2006/main">
          <x14:cfRule type="expression" priority="313" id="{3DAE65DD-FA6D-40B6-87FE-9E45C59544E5}">
            <xm:f>_xlfn.ISFORMULA(Assumptions!B2)</xm:f>
            <x14:dxf>
              <fill>
                <patternFill>
                  <bgColor theme="4" tint="0.59996337778862885"/>
                </patternFill>
              </fill>
            </x14:dxf>
          </x14:cfRule>
          <xm:sqref>E2:G2 E8:G9</xm:sqref>
        </x14:conditionalFormatting>
        <x14:conditionalFormatting xmlns:xm="http://schemas.microsoft.com/office/excel/2006/main">
          <x14:cfRule type="expression" priority="328" id="{F7508A95-B81C-4679-8DE0-3C33AE859A0C}">
            <xm:f>_xlfn.ISFORMULA(Assumptions!C1)</xm:f>
            <x14:dxf>
              <fill>
                <patternFill>
                  <bgColor theme="4" tint="0.59996337778862885"/>
                </patternFill>
              </fill>
            </x14:dxf>
          </x14:cfRule>
          <xm:sqref>K1:M1</xm:sqref>
        </x14:conditionalFormatting>
        <x14:conditionalFormatting xmlns:xm="http://schemas.microsoft.com/office/excel/2006/main">
          <x14:cfRule type="expression" priority="365" id="{F7508A95-B81C-4679-8DE0-3C33AE859A0C}">
            <xm:f>_xlfn.ISFORMULA(Assumptions!B1)</xm:f>
            <x14:dxf>
              <fill>
                <patternFill>
                  <bgColor theme="4" tint="0.59996337778862885"/>
                </patternFill>
              </fill>
            </x14:dxf>
          </x14:cfRule>
          <xm:sqref>H1:J1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2" tint="-9.9978637043366805E-2"/>
  </sheetPr>
  <dimension ref="A1:BI21"/>
  <sheetViews>
    <sheetView showGridLines="0" zoomScale="70" zoomScaleNormal="70" workbookViewId="0">
      <pane xSplit="7" ySplit="10" topLeftCell="H11" activePane="bottomRight" state="frozen"/>
      <selection activeCell="H11" sqref="H11"/>
      <selection pane="topRight" activeCell="H11" sqref="H11"/>
      <selection pane="bottomLeft" activeCell="H11" sqref="H11"/>
      <selection pane="bottomRight" activeCell="H11" sqref="H11"/>
    </sheetView>
  </sheetViews>
  <sheetFormatPr defaultColWidth="9" defaultRowHeight="14.25" x14ac:dyDescent="0.45"/>
  <cols>
    <col min="1" max="2" width="3.73046875" customWidth="1"/>
    <col min="3" max="3" width="73.86328125" customWidth="1"/>
    <col min="5" max="5" width="15" customWidth="1"/>
    <col min="6" max="6" width="16" customWidth="1"/>
    <col min="7" max="7" width="14.59765625" customWidth="1"/>
    <col min="8" max="8" width="13.1328125" customWidth="1"/>
    <col min="9" max="10" width="19" customWidth="1"/>
    <col min="11" max="12" width="22" customWidth="1"/>
    <col min="13" max="13" width="89.265625" customWidth="1"/>
  </cols>
  <sheetData>
    <row r="1" spans="1:61" s="2" customFormat="1" x14ac:dyDescent="0.45">
      <c r="A1" s="18" t="str">
        <f ca="1">RIGHT(CELL("filename",$A$1),LEN(CELL("filename",$A$1))-FIND("]",CELL("filename",$A$1)))</f>
        <v>Training Cost Data</v>
      </c>
      <c r="F1" s="208">
        <f ca="1">'Supplementary Revenue Data'!F1</f>
        <v>16243658.526131678</v>
      </c>
      <c r="G1" s="208">
        <f ca="1">'Supplementary Revenue Data'!G1</f>
        <v>559751.44489366515</v>
      </c>
      <c r="I1" s="23"/>
      <c r="J1"/>
      <c r="K1"/>
      <c r="L1"/>
      <c r="M1"/>
      <c r="N1" s="20">
        <v>2</v>
      </c>
      <c r="O1" s="20">
        <v>3</v>
      </c>
      <c r="P1" s="20">
        <v>4</v>
      </c>
      <c r="Q1" s="20">
        <v>5</v>
      </c>
      <c r="R1" s="20">
        <v>6</v>
      </c>
      <c r="S1" s="20">
        <v>7</v>
      </c>
      <c r="T1" s="20">
        <v>8</v>
      </c>
      <c r="U1" s="20">
        <v>9</v>
      </c>
      <c r="V1" s="20">
        <v>10</v>
      </c>
      <c r="W1" s="20">
        <v>11</v>
      </c>
      <c r="X1" s="20">
        <v>12</v>
      </c>
      <c r="Y1" s="20">
        <v>13</v>
      </c>
      <c r="Z1" s="20">
        <v>14</v>
      </c>
      <c r="AA1" s="20">
        <v>15</v>
      </c>
      <c r="AB1" s="20"/>
    </row>
    <row r="2" spans="1:61" s="2" customFormat="1" x14ac:dyDescent="0.45">
      <c r="C2" s="18"/>
      <c r="D2" s="21"/>
      <c r="E2" s="21"/>
      <c r="F2" s="21"/>
      <c r="G2" s="21"/>
      <c r="L2" s="135"/>
    </row>
    <row r="3" spans="1:61" s="2" customFormat="1" x14ac:dyDescent="0.45">
      <c r="A3" s="4" t="s">
        <v>6</v>
      </c>
      <c r="R3" s="22"/>
    </row>
    <row r="4" spans="1:61" s="2" customFormat="1" x14ac:dyDescent="0.45">
      <c r="A4" s="5"/>
      <c r="B4" s="6" t="s">
        <v>7</v>
      </c>
      <c r="C4" s="118"/>
      <c r="D4" s="7"/>
    </row>
    <row r="5" spans="1:61" s="2" customFormat="1" x14ac:dyDescent="0.45">
      <c r="A5" s="8"/>
      <c r="B5" s="6" t="s">
        <v>8</v>
      </c>
      <c r="C5" s="118"/>
      <c r="D5" s="7"/>
    </row>
    <row r="6" spans="1:61" s="2" customFormat="1" x14ac:dyDescent="0.45">
      <c r="A6" s="9"/>
      <c r="B6" s="6" t="s">
        <v>9</v>
      </c>
      <c r="C6" s="118"/>
      <c r="D6" s="7"/>
    </row>
    <row r="7" spans="1:61" s="2" customFormat="1" x14ac:dyDescent="0.45">
      <c r="A7" s="10"/>
      <c r="B7" s="6" t="s">
        <v>10</v>
      </c>
      <c r="C7" s="118"/>
      <c r="D7" s="146"/>
    </row>
    <row r="8" spans="1:61" x14ac:dyDescent="0.45">
      <c r="C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row>
    <row r="9" spans="1:61" s="2" customFormat="1" x14ac:dyDescent="0.45">
      <c r="I9" s="23"/>
      <c r="J9" s="23"/>
      <c r="K9" s="23"/>
      <c r="M9" s="24"/>
      <c r="N9" s="24"/>
      <c r="O9" s="24"/>
      <c r="P9" s="24"/>
      <c r="Q9" s="24"/>
      <c r="R9" s="24"/>
      <c r="S9" s="24"/>
      <c r="T9" s="24"/>
      <c r="U9" s="24"/>
      <c r="V9" s="24"/>
      <c r="W9" s="24"/>
      <c r="X9" s="24"/>
      <c r="Y9" s="24"/>
      <c r="Z9" s="24"/>
      <c r="AA9" s="24"/>
    </row>
    <row r="10" spans="1:61" s="26" customFormat="1" x14ac:dyDescent="0.45">
      <c r="E10" s="184" t="s">
        <v>0</v>
      </c>
      <c r="F10" s="184" t="s">
        <v>207</v>
      </c>
      <c r="G10" s="184"/>
      <c r="H10" s="184" t="s">
        <v>216</v>
      </c>
      <c r="I10" s="184" t="s">
        <v>234</v>
      </c>
      <c r="J10" s="184" t="s">
        <v>815</v>
      </c>
      <c r="K10" s="184" t="s">
        <v>236</v>
      </c>
      <c r="L10" s="184" t="s">
        <v>816</v>
      </c>
      <c r="M10" s="174" t="s">
        <v>217</v>
      </c>
      <c r="N10" s="29"/>
      <c r="O10" s="29"/>
      <c r="P10" s="29"/>
      <c r="Q10" s="29"/>
      <c r="R10" s="29"/>
      <c r="S10" s="29"/>
      <c r="T10" s="29"/>
      <c r="U10" s="29"/>
      <c r="V10" s="29"/>
      <c r="W10" s="29"/>
      <c r="X10" s="29"/>
      <c r="Y10" s="29"/>
      <c r="Z10" s="29"/>
      <c r="AA10" s="29"/>
      <c r="AH10" s="120" t="s">
        <v>134</v>
      </c>
    </row>
    <row r="11" spans="1:61" s="2" customFormat="1" x14ac:dyDescent="0.45">
      <c r="C11" s="188"/>
      <c r="I11" s="31"/>
      <c r="J11" s="31"/>
      <c r="K11" s="31"/>
      <c r="L11" s="19"/>
    </row>
    <row r="12" spans="1:61" ht="14.25" customHeight="1" x14ac:dyDescent="0.45">
      <c r="B12" s="1" t="s">
        <v>237</v>
      </c>
      <c r="D12" s="181"/>
    </row>
    <row r="13" spans="1:61" ht="14.25" customHeight="1" x14ac:dyDescent="0.45">
      <c r="C13" s="170" t="s">
        <v>218</v>
      </c>
      <c r="E13" s="176" t="s">
        <v>209</v>
      </c>
      <c r="F13" s="176" t="s">
        <v>209</v>
      </c>
      <c r="G13" s="176"/>
      <c r="H13" s="195">
        <v>1</v>
      </c>
      <c r="I13" s="189">
        <f>13110000/100</f>
        <v>131100</v>
      </c>
      <c r="J13" s="190">
        <f>I13/Assumptions!$H$14</f>
        <v>218.86477462437395</v>
      </c>
      <c r="K13" s="182">
        <f t="shared" ref="K13:K19" si="0">I13*H13</f>
        <v>131100</v>
      </c>
      <c r="L13" s="182">
        <f>J13*H13</f>
        <v>218.86477462437395</v>
      </c>
      <c r="M13" s="115" t="s">
        <v>219</v>
      </c>
    </row>
    <row r="14" spans="1:61" ht="14.25" customHeight="1" x14ac:dyDescent="0.45">
      <c r="C14" s="170" t="s">
        <v>220</v>
      </c>
      <c r="E14" s="176" t="s">
        <v>209</v>
      </c>
      <c r="F14" s="176" t="s">
        <v>209</v>
      </c>
      <c r="G14" s="176"/>
      <c r="H14" s="195">
        <v>1</v>
      </c>
      <c r="I14" s="189">
        <f>4916000/100</f>
        <v>49160</v>
      </c>
      <c r="J14" s="190">
        <f>I14/Assumptions!$H$14</f>
        <v>82.070116861435721</v>
      </c>
      <c r="K14" s="182">
        <f t="shared" si="0"/>
        <v>49160</v>
      </c>
      <c r="L14" s="182">
        <f t="shared" ref="L14:L19" si="1">J14*H14</f>
        <v>82.070116861435721</v>
      </c>
      <c r="M14" s="115" t="s">
        <v>221</v>
      </c>
    </row>
    <row r="15" spans="1:61" ht="14.25" customHeight="1" x14ac:dyDescent="0.45">
      <c r="C15" s="170" t="s">
        <v>222</v>
      </c>
      <c r="E15" s="176" t="s">
        <v>238</v>
      </c>
      <c r="F15" s="176" t="s">
        <v>209</v>
      </c>
      <c r="G15" s="176"/>
      <c r="H15" s="196">
        <v>40</v>
      </c>
      <c r="I15" s="189">
        <v>33000</v>
      </c>
      <c r="J15" s="190">
        <f>I15/Assumptions!$H$14</f>
        <v>55.091819699499162</v>
      </c>
      <c r="K15" s="182">
        <f t="shared" si="0"/>
        <v>1320000</v>
      </c>
      <c r="L15" s="182">
        <f t="shared" si="1"/>
        <v>2203.6727879799664</v>
      </c>
      <c r="M15" s="115" t="s">
        <v>223</v>
      </c>
    </row>
    <row r="16" spans="1:61" ht="14.25" customHeight="1" x14ac:dyDescent="0.45">
      <c r="C16" s="170" t="s">
        <v>224</v>
      </c>
      <c r="E16" s="176" t="s">
        <v>238</v>
      </c>
      <c r="F16" s="176" t="s">
        <v>209</v>
      </c>
      <c r="G16" s="176"/>
      <c r="H16" s="196">
        <v>4</v>
      </c>
      <c r="I16" s="189">
        <v>26000</v>
      </c>
      <c r="J16" s="190">
        <f>I16/Assumptions!$H$14</f>
        <v>43.405676126878127</v>
      </c>
      <c r="K16" s="182">
        <f>I16*H16</f>
        <v>104000</v>
      </c>
      <c r="L16" s="182">
        <f t="shared" si="1"/>
        <v>173.62270450751251</v>
      </c>
      <c r="M16" s="115" t="s">
        <v>225</v>
      </c>
    </row>
    <row r="17" spans="3:13" ht="14.25" customHeight="1" x14ac:dyDescent="0.45">
      <c r="C17" s="170" t="s">
        <v>226</v>
      </c>
      <c r="E17" s="176" t="s">
        <v>239</v>
      </c>
      <c r="F17" s="176" t="s">
        <v>209</v>
      </c>
      <c r="G17" s="176"/>
      <c r="H17" s="196">
        <v>1</v>
      </c>
      <c r="I17" s="189">
        <v>328000</v>
      </c>
      <c r="J17" s="190">
        <f>I17/Assumptions!$H$14</f>
        <v>547.5792988313857</v>
      </c>
      <c r="K17" s="182">
        <f t="shared" si="0"/>
        <v>328000</v>
      </c>
      <c r="L17" s="182">
        <f t="shared" si="1"/>
        <v>547.5792988313857</v>
      </c>
      <c r="M17" s="115" t="s">
        <v>227</v>
      </c>
    </row>
    <row r="18" spans="3:13" ht="14.25" customHeight="1" x14ac:dyDescent="0.45">
      <c r="C18" s="170" t="s">
        <v>228</v>
      </c>
      <c r="E18" s="176" t="s">
        <v>238</v>
      </c>
      <c r="F18" s="176" t="s">
        <v>209</v>
      </c>
      <c r="G18" s="176"/>
      <c r="H18" s="196">
        <v>2</v>
      </c>
      <c r="I18" s="189">
        <v>13000</v>
      </c>
      <c r="J18" s="190">
        <f>I18/Assumptions!$H$14</f>
        <v>21.702838063439064</v>
      </c>
      <c r="K18" s="182">
        <f t="shared" si="0"/>
        <v>26000</v>
      </c>
      <c r="L18" s="182">
        <f t="shared" si="1"/>
        <v>43.405676126878127</v>
      </c>
      <c r="M18" s="115" t="s">
        <v>229</v>
      </c>
    </row>
    <row r="19" spans="3:13" ht="14.25" customHeight="1" x14ac:dyDescent="0.45">
      <c r="C19" s="170" t="s">
        <v>230</v>
      </c>
      <c r="E19" s="176" t="s">
        <v>238</v>
      </c>
      <c r="F19" s="176" t="s">
        <v>209</v>
      </c>
      <c r="G19" s="176"/>
      <c r="H19" s="196">
        <v>20</v>
      </c>
      <c r="I19" s="189">
        <v>7000</v>
      </c>
      <c r="J19" s="190">
        <f>I19/Assumptions!$H$14</f>
        <v>11.686143572621035</v>
      </c>
      <c r="K19" s="182">
        <f t="shared" si="0"/>
        <v>140000</v>
      </c>
      <c r="L19" s="182">
        <f t="shared" si="1"/>
        <v>233.72287145242069</v>
      </c>
      <c r="M19" s="115" t="s">
        <v>282</v>
      </c>
    </row>
    <row r="20" spans="3:13" ht="14.25" customHeight="1" x14ac:dyDescent="0.45">
      <c r="K20" s="162" t="s">
        <v>22</v>
      </c>
      <c r="L20" s="162" t="s">
        <v>22</v>
      </c>
    </row>
    <row r="21" spans="3:13" ht="14.25" customHeight="1" x14ac:dyDescent="0.45">
      <c r="C21" s="174" t="s">
        <v>231</v>
      </c>
      <c r="D21" s="174"/>
      <c r="E21" s="176" t="s">
        <v>210</v>
      </c>
      <c r="F21" s="176" t="s">
        <v>209</v>
      </c>
      <c r="G21" s="174"/>
      <c r="H21" s="174"/>
      <c r="I21" s="174"/>
      <c r="J21" s="174"/>
      <c r="K21" s="183">
        <f>SUM(K13:K19)</f>
        <v>2098260</v>
      </c>
      <c r="L21" s="183">
        <f>SUM(L13:L19)</f>
        <v>3502.938230383973</v>
      </c>
      <c r="M21" s="170"/>
    </row>
  </sheetData>
  <conditionalFormatting sqref="A1:AF19 A21:AF128">
    <cfRule type="expression" dxfId="84" priority="9">
      <formula>_xlfn.ISFORMULA(A1)</formula>
    </cfRule>
  </conditionalFormatting>
  <conditionalFormatting sqref="K20">
    <cfRule type="expression" dxfId="83" priority="8">
      <formula>_xlfn.ISFORMULA(INDIRECT("rc",FALSE))</formula>
    </cfRule>
  </conditionalFormatting>
  <conditionalFormatting sqref="L20">
    <cfRule type="expression" dxfId="82" priority="7">
      <formula>_xlfn.ISFORMULA(INDIRECT("rc",FALSE))</formula>
    </cfRule>
  </conditionalFormatting>
  <pageMargins left="0.7" right="0.7" top="0.75" bottom="0.75" header="0.3" footer="0.3"/>
  <pageSetup paperSize="9" orientation="portrait" horizontalDpi="1200" verticalDpi="1200" r:id="rId1"/>
  <extLst>
    <ext xmlns:x14="http://schemas.microsoft.com/office/spreadsheetml/2009/9/main" uri="{78C0D931-6437-407d-A8EE-F0AAD7539E65}">
      <x14:conditionalFormattings>
        <x14:conditionalFormatting xmlns:xm="http://schemas.microsoft.com/office/excel/2006/main">
          <x14:cfRule type="expression" priority="10" id="{1463D788-D6DD-4039-A54B-4CFA8FCAE2ED}">
            <xm:f>_xlfn.ISFORMULA(Assumptions!I1)</xm:f>
            <x14:dxf>
              <fill>
                <patternFill>
                  <bgColor theme="4" tint="0.59996337778862885"/>
                </patternFill>
              </fill>
            </x14:dxf>
          </x14:cfRule>
          <xm:sqref>N1:XFD1</xm:sqref>
        </x14:conditionalFormatting>
        <x14:conditionalFormatting xmlns:xm="http://schemas.microsoft.com/office/excel/2006/main">
          <x14:cfRule type="expression" priority="11" id="{AB0C5776-D067-46D6-9ECC-038A2274BB03}">
            <xm:f>_xlfn.ISFORMULA(Assumptions!G15)</xm:f>
            <x14:dxf>
              <fill>
                <patternFill>
                  <bgColor theme="4" tint="0.59996337778862885"/>
                </patternFill>
              </fill>
            </x14:dxf>
          </x14:cfRule>
          <xm:sqref>K11:XFD11</xm:sqref>
        </x14:conditionalFormatting>
        <x14:conditionalFormatting xmlns:xm="http://schemas.microsoft.com/office/excel/2006/main">
          <x14:cfRule type="expression" priority="12" id="{0C74AD89-C73A-4324-A316-194E532658E7}">
            <xm:f>_xlfn.ISFORMULA(Assumptions!B3)</xm:f>
            <x14:dxf>
              <fill>
                <patternFill>
                  <bgColor theme="4" tint="0.59996337778862885"/>
                </patternFill>
              </fill>
            </x14:dxf>
          </x14:cfRule>
          <xm:sqref>A3 A4:D7</xm:sqref>
        </x14:conditionalFormatting>
        <x14:conditionalFormatting xmlns:xm="http://schemas.microsoft.com/office/excel/2006/main">
          <x14:cfRule type="expression" priority="13" id="{5FE03DCC-EE51-403A-8B51-F930B62E5C3C}">
            <xm:f>_xlfn.ISFORMULA(Assumptions!B15)</xm:f>
            <x14:dxf>
              <fill>
                <patternFill>
                  <bgColor theme="4" tint="0.59996337778862885"/>
                </patternFill>
              </fill>
            </x14:dxf>
          </x14:cfRule>
          <xm:sqref>C11:G11</xm:sqref>
        </x14:conditionalFormatting>
        <x14:conditionalFormatting xmlns:xm="http://schemas.microsoft.com/office/excel/2006/main">
          <x14:cfRule type="expression" priority="14" id="{B7308377-C527-434E-A636-A90B26F57A8D}">
            <xm:f>_xlfn.ISFORMULA(Assumptions!B1)</xm:f>
            <x14:dxf>
              <fill>
                <patternFill>
                  <bgColor theme="4" tint="0.59996337778862885"/>
                </patternFill>
              </fill>
            </x14:dxf>
          </x14:cfRule>
          <xm:sqref>D1:G1</xm:sqref>
        </x14:conditionalFormatting>
        <x14:conditionalFormatting xmlns:xm="http://schemas.microsoft.com/office/excel/2006/main">
          <x14:cfRule type="expression" priority="15" id="{A2F59990-AF3B-44B3-97CA-F4A0AF8521E6}">
            <xm:f>_xlfn.ISFORMULA(Assumptions!E15)</xm:f>
            <x14:dxf>
              <fill>
                <patternFill>
                  <bgColor theme="4" tint="0.59996337778862885"/>
                </patternFill>
              </fill>
            </x14:dxf>
          </x14:cfRule>
          <xm:sqref>H11:J11</xm:sqref>
        </x14:conditionalFormatting>
        <x14:conditionalFormatting xmlns:xm="http://schemas.microsoft.com/office/excel/2006/main">
          <x14:cfRule type="expression" priority="559" id="{AB0C5776-D067-46D6-9ECC-038A2274BB03}">
            <xm:f>_xlfn.ISFORMULA(Assumptions!D1)</xm:f>
            <x14:dxf>
              <fill>
                <patternFill>
                  <bgColor theme="4" tint="0.59996337778862885"/>
                </patternFill>
              </fill>
            </x14:dxf>
          </x14:cfRule>
          <xm:sqref>N10:XFD10 H1:I1 K2:XFD9</xm:sqref>
        </x14:conditionalFormatting>
        <x14:conditionalFormatting xmlns:xm="http://schemas.microsoft.com/office/excel/2006/main">
          <x14:cfRule type="expression" priority="564" id="{5FE03DCC-EE51-403A-8B51-F930B62E5C3C}">
            <xm:f>_xlfn.ISFORMULA(Assumptions!B2)</xm:f>
            <x14:dxf>
              <fill>
                <patternFill>
                  <bgColor theme="4" tint="0.59996337778862885"/>
                </patternFill>
              </fill>
            </x14:dxf>
          </x14:cfRule>
          <xm:sqref>C2:G2 D3:G3 C8:G9 C10:D10</xm:sqref>
        </x14:conditionalFormatting>
        <x14:conditionalFormatting xmlns:xm="http://schemas.microsoft.com/office/excel/2006/main">
          <x14:cfRule type="expression" priority="569" id="{A2F59990-AF3B-44B3-97CA-F4A0AF8521E6}">
            <xm:f>_xlfn.ISFORMULA(Assumptions!E2)</xm:f>
            <x14:dxf>
              <fill>
                <patternFill>
                  <bgColor theme="4" tint="0.59996337778862885"/>
                </patternFill>
              </fill>
            </x14:dxf>
          </x14:cfRule>
          <xm:sqref>I4:J7 H2:J3 H8:J9</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tint="-9.9978637043366805E-2"/>
  </sheetPr>
  <dimension ref="A1:BI17"/>
  <sheetViews>
    <sheetView showGridLines="0" zoomScale="70" zoomScaleNormal="70" workbookViewId="0">
      <pane xSplit="6" ySplit="10" topLeftCell="G11" activePane="bottomRight" state="frozen"/>
      <selection activeCell="H11" sqref="H11"/>
      <selection pane="topRight" activeCell="H11" sqref="H11"/>
      <selection pane="bottomLeft" activeCell="H11" sqref="H11"/>
      <selection pane="bottomRight" activeCell="G17" sqref="G17"/>
    </sheetView>
  </sheetViews>
  <sheetFormatPr defaultColWidth="9.1328125" defaultRowHeight="14.25" x14ac:dyDescent="0.45"/>
  <cols>
    <col min="1" max="2" width="2.86328125" customWidth="1"/>
    <col min="3" max="3" width="67.1328125" customWidth="1"/>
    <col min="4" max="4" width="7.265625" customWidth="1"/>
    <col min="5" max="5" width="14" customWidth="1"/>
    <col min="6" max="6" width="12.86328125" bestFit="1" customWidth="1"/>
    <col min="7" max="7" width="20" bestFit="1" customWidth="1"/>
    <col min="8" max="8" width="120.73046875" customWidth="1"/>
  </cols>
  <sheetData>
    <row r="1" spans="1:61" s="2" customFormat="1" x14ac:dyDescent="0.45">
      <c r="A1" s="18" t="str">
        <f ca="1">RIGHT(CELL("filename",$A$1),LEN(CELL("filename",$A$1))-FIND("]",CELL("filename",$A$1)))</f>
        <v>Carbon Data</v>
      </c>
      <c r="E1" s="208">
        <f ca="1">'Capex Data'!E1</f>
        <v>16243658.526131678</v>
      </c>
      <c r="F1" s="208">
        <f ca="1">'Capex Data'!F1</f>
        <v>559751.44489366515</v>
      </c>
      <c r="J1" s="23"/>
      <c r="K1"/>
      <c r="L1"/>
      <c r="M1"/>
      <c r="N1" s="20">
        <v>2</v>
      </c>
      <c r="O1" s="20">
        <v>3</v>
      </c>
      <c r="P1" s="20">
        <v>4</v>
      </c>
      <c r="Q1" s="20">
        <v>5</v>
      </c>
      <c r="R1" s="20">
        <v>6</v>
      </c>
      <c r="S1" s="20">
        <v>7</v>
      </c>
      <c r="T1" s="20">
        <v>8</v>
      </c>
      <c r="U1" s="20">
        <v>9</v>
      </c>
      <c r="V1" s="20">
        <v>10</v>
      </c>
      <c r="W1" s="20">
        <v>11</v>
      </c>
      <c r="X1" s="20">
        <v>12</v>
      </c>
      <c r="Y1" s="20">
        <v>13</v>
      </c>
      <c r="Z1" s="20">
        <v>14</v>
      </c>
      <c r="AA1" s="20">
        <v>15</v>
      </c>
      <c r="AB1" s="20"/>
    </row>
    <row r="2" spans="1:61" s="2" customFormat="1" x14ac:dyDescent="0.45">
      <c r="E2" s="18"/>
      <c r="F2" s="18"/>
      <c r="G2" s="21"/>
      <c r="H2" s="21"/>
      <c r="L2" s="135"/>
    </row>
    <row r="3" spans="1:61" s="2" customFormat="1" x14ac:dyDescent="0.45">
      <c r="A3" s="4" t="s">
        <v>6</v>
      </c>
      <c r="R3" s="22"/>
    </row>
    <row r="4" spans="1:61" s="2" customFormat="1" x14ac:dyDescent="0.45">
      <c r="A4" s="5"/>
      <c r="B4" s="6" t="s">
        <v>7</v>
      </c>
      <c r="C4" s="118"/>
      <c r="D4" s="7"/>
    </row>
    <row r="5" spans="1:61" s="2" customFormat="1" x14ac:dyDescent="0.45">
      <c r="A5" s="8"/>
      <c r="B5" s="6" t="s">
        <v>8</v>
      </c>
      <c r="C5" s="118"/>
      <c r="D5" s="7"/>
    </row>
    <row r="6" spans="1:61" s="2" customFormat="1" x14ac:dyDescent="0.45">
      <c r="A6" s="9"/>
      <c r="B6" s="6" t="s">
        <v>9</v>
      </c>
      <c r="C6" s="118"/>
      <c r="D6" s="7"/>
    </row>
    <row r="7" spans="1:61" s="2" customFormat="1" x14ac:dyDescent="0.45">
      <c r="A7" s="10"/>
      <c r="B7" s="6" t="s">
        <v>10</v>
      </c>
      <c r="C7" s="118"/>
      <c r="D7" s="146"/>
    </row>
    <row r="8" spans="1:61" x14ac:dyDescent="0.45">
      <c r="E8" s="2"/>
      <c r="F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row>
    <row r="9" spans="1:61" s="2" customFormat="1" x14ac:dyDescent="0.45">
      <c r="J9" s="23"/>
      <c r="K9" s="23"/>
      <c r="M9" s="24"/>
      <c r="N9" s="24"/>
      <c r="O9" s="24"/>
      <c r="P9" s="24"/>
      <c r="Q9" s="24"/>
      <c r="R9" s="24"/>
      <c r="S9" s="24"/>
      <c r="T9" s="24"/>
      <c r="U9" s="24"/>
      <c r="V9" s="24"/>
      <c r="W9" s="24"/>
      <c r="X9" s="24"/>
      <c r="Y9" s="24"/>
      <c r="Z9" s="24"/>
      <c r="AA9" s="24"/>
    </row>
    <row r="10" spans="1:61" s="26" customFormat="1" x14ac:dyDescent="0.45">
      <c r="A10" s="2"/>
      <c r="B10" s="2"/>
      <c r="E10" s="198" t="s">
        <v>0</v>
      </c>
      <c r="F10" s="198"/>
      <c r="G10" s="198" t="s">
        <v>216</v>
      </c>
      <c r="H10" s="199" t="s">
        <v>217</v>
      </c>
      <c r="I10" s="184"/>
      <c r="J10" s="184"/>
      <c r="K10" s="184"/>
      <c r="L10" s="184"/>
      <c r="M10" s="174"/>
      <c r="N10" s="29"/>
      <c r="O10" s="29"/>
      <c r="P10" s="29"/>
      <c r="Q10" s="29"/>
      <c r="R10" s="29"/>
      <c r="S10" s="29"/>
      <c r="T10" s="29"/>
      <c r="U10" s="29"/>
      <c r="V10" s="29"/>
      <c r="W10" s="29"/>
      <c r="X10" s="29"/>
      <c r="Y10" s="29"/>
      <c r="Z10" s="29"/>
      <c r="AA10" s="29"/>
      <c r="AH10" s="120"/>
    </row>
    <row r="11" spans="1:61" x14ac:dyDescent="0.45">
      <c r="B11" s="181" t="s">
        <v>247</v>
      </c>
      <c r="D11" s="181"/>
    </row>
    <row r="12" spans="1:61" x14ac:dyDescent="0.45">
      <c r="C12" s="115" t="s">
        <v>248</v>
      </c>
      <c r="E12" s="176" t="s">
        <v>283</v>
      </c>
      <c r="F12" s="176"/>
      <c r="G12" s="195">
        <v>3750</v>
      </c>
      <c r="H12" s="115" t="s">
        <v>252</v>
      </c>
    </row>
    <row r="13" spans="1:61" x14ac:dyDescent="0.45">
      <c r="C13" s="170" t="s">
        <v>249</v>
      </c>
      <c r="E13" s="176" t="s">
        <v>283</v>
      </c>
      <c r="F13" s="176"/>
      <c r="G13" s="195">
        <v>2150</v>
      </c>
      <c r="H13" s="170" t="s">
        <v>253</v>
      </c>
    </row>
    <row r="14" spans="1:61" x14ac:dyDescent="0.45">
      <c r="C14" s="170" t="s">
        <v>250</v>
      </c>
      <c r="E14" s="176" t="s">
        <v>283</v>
      </c>
      <c r="F14" s="176"/>
      <c r="G14" s="195">
        <v>375</v>
      </c>
      <c r="H14" s="170" t="s">
        <v>254</v>
      </c>
    </row>
    <row r="15" spans="1:61" x14ac:dyDescent="0.45">
      <c r="C15" s="170" t="s">
        <v>251</v>
      </c>
      <c r="E15" s="176" t="s">
        <v>283</v>
      </c>
      <c r="F15" s="176"/>
      <c r="G15" s="212">
        <f>35000*5.3524/1000</f>
        <v>187.334</v>
      </c>
      <c r="H15" s="115" t="s">
        <v>280</v>
      </c>
    </row>
    <row r="16" spans="1:61" x14ac:dyDescent="0.45">
      <c r="G16" s="162" t="s">
        <v>22</v>
      </c>
    </row>
    <row r="17" spans="3:7" x14ac:dyDescent="0.45">
      <c r="C17" s="174" t="s">
        <v>231</v>
      </c>
      <c r="E17" s="176" t="s">
        <v>283</v>
      </c>
      <c r="G17" s="204">
        <f>SUM(G12:G15)</f>
        <v>6462.3339999999998</v>
      </c>
    </row>
  </sheetData>
  <conditionalFormatting sqref="A20:AA28 A19:F19 H19:AA19 A1:AA15 A17:AA18">
    <cfRule type="expression" dxfId="72" priority="2">
      <formula>_xlfn.ISFORMULA(A1)</formula>
    </cfRule>
  </conditionalFormatting>
  <conditionalFormatting sqref="G16">
    <cfRule type="expression" dxfId="71" priority="1">
      <formula>_xlfn.ISFORMULA(INDIRECT("rc",FALSE))</formula>
    </cfRule>
  </conditionalFormatting>
  <pageMargins left="0.7" right="0.7" top="0.75" bottom="0.75" header="0.3" footer="0.3"/>
  <pageSetup paperSize="9" orientation="portrait" horizontalDpi="1200" verticalDpi="1200" r:id="rId1"/>
  <extLst>
    <ext xmlns:x14="http://schemas.microsoft.com/office/spreadsheetml/2009/9/main" uri="{78C0D931-6437-407d-A8EE-F0AAD7539E65}">
      <x14:conditionalFormattings>
        <x14:conditionalFormatting xmlns:xm="http://schemas.microsoft.com/office/excel/2006/main">
          <x14:cfRule type="expression" priority="3" id="{CA91AAD2-65E0-4FFD-9FA2-5EFEFE25ABF6}">
            <xm:f>_xlfn.ISFORMULA(Assumptions!D1)</xm:f>
            <x14:dxf>
              <fill>
                <patternFill>
                  <bgColor theme="4" tint="0.59996337778862885"/>
                </patternFill>
              </fill>
            </x14:dxf>
          </x14:cfRule>
          <xm:sqref>N1:XFD1</xm:sqref>
        </x14:conditionalFormatting>
        <x14:conditionalFormatting xmlns:xm="http://schemas.microsoft.com/office/excel/2006/main">
          <x14:cfRule type="expression" priority="4" id="{AA073BF0-241C-46AE-BF4B-A02AD29489C7}">
            <xm:f>_xlfn.ISFORMULA(Assumptions!XFD2)</xm:f>
            <x14:dxf>
              <fill>
                <patternFill>
                  <bgColor theme="4" tint="0.59996337778862885"/>
                </patternFill>
              </fill>
            </x14:dxf>
          </x14:cfRule>
          <xm:sqref>J4:XFD7 I2:XFD3 I8:XFD9 N10:XFD10</xm:sqref>
        </x14:conditionalFormatting>
        <x14:conditionalFormatting xmlns:xm="http://schemas.microsoft.com/office/excel/2006/main">
          <x14:cfRule type="expression" priority="5" id="{D0EEB985-52D1-4DCF-9DC0-C0A22B73F17D}">
            <xm:f>_xlfn.ISFORMULA(Assumptions!B3)</xm:f>
            <x14:dxf>
              <fill>
                <patternFill>
                  <bgColor theme="4" tint="0.59996337778862885"/>
                </patternFill>
              </fill>
            </x14:dxf>
          </x14:cfRule>
          <xm:sqref>A4:D7 A3</xm:sqref>
        </x14:conditionalFormatting>
        <x14:conditionalFormatting xmlns:xm="http://schemas.microsoft.com/office/excel/2006/main">
          <x14:cfRule type="expression" priority="6" id="{241359B8-5DE9-4343-95C8-1E751F01793C}">
            <xm:f>_xlfn.ISFORMULA(Assumptions!C2)</xm:f>
            <x14:dxf>
              <fill>
                <patternFill>
                  <bgColor theme="4" tint="0.59996337778862885"/>
                </patternFill>
              </fill>
            </x14:dxf>
          </x14:cfRule>
          <xm:sqref>G2:G3 G8:G9</xm:sqref>
        </x14:conditionalFormatting>
        <x14:conditionalFormatting xmlns:xm="http://schemas.microsoft.com/office/excel/2006/main">
          <x14:cfRule type="expression" priority="8" id="{89C1E53D-8E5E-46F8-80D9-C2F8B2B1274A}">
            <xm:f>_xlfn.ISFORMULA(Assumptions!B1)</xm:f>
            <x14:dxf>
              <fill>
                <patternFill>
                  <bgColor theme="4" tint="0.59996337778862885"/>
                </patternFill>
              </fill>
            </x14:dxf>
          </x14:cfRule>
          <xm:sqref>E2 E8:E9 H1</xm:sqref>
        </x14:conditionalFormatting>
        <x14:conditionalFormatting xmlns:xm="http://schemas.microsoft.com/office/excel/2006/main">
          <x14:cfRule type="expression" priority="10" id="{9DB75D22-8201-44C8-8491-CE2462B6314C}">
            <xm:f>_xlfn.ISFORMULA(Assumptions!B1)</xm:f>
            <x14:dxf>
              <fill>
                <patternFill>
                  <bgColor theme="4" tint="0.59996337778862885"/>
                </patternFill>
              </fill>
            </x14:dxf>
          </x14:cfRule>
          <xm:sqref>I1:J1 G1</xm:sqref>
        </x14:conditionalFormatting>
        <x14:conditionalFormatting xmlns:xm="http://schemas.microsoft.com/office/excel/2006/main">
          <x14:cfRule type="expression" priority="385" id="{89C1E53D-8E5E-46F8-80D9-C2F8B2B1274A}">
            <xm:f>_xlfn.ISFORMULA(Assumptions!D2)</xm:f>
            <x14:dxf>
              <fill>
                <patternFill>
                  <bgColor theme="4" tint="0.59996337778862885"/>
                </patternFill>
              </fill>
            </x14:dxf>
          </x14:cfRule>
          <xm:sqref>H2:H3 H8:H9 F2 F8:F9</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pageSetUpPr autoPageBreaks="0"/>
  </sheetPr>
  <dimension ref="A1:H93"/>
  <sheetViews>
    <sheetView showGridLines="0" zoomScale="70" zoomScaleNormal="70" workbookViewId="0">
      <pane xSplit="6" ySplit="9" topLeftCell="G10" activePane="bottomRight" state="frozen"/>
      <selection pane="topRight"/>
      <selection pane="bottomLeft"/>
      <selection pane="bottomRight" activeCell="G10" sqref="G10"/>
    </sheetView>
  </sheetViews>
  <sheetFormatPr defaultColWidth="12.59765625" defaultRowHeight="14.25" x14ac:dyDescent="0.45"/>
  <cols>
    <col min="1" max="1" width="3.59765625" style="141" customWidth="1"/>
    <col min="2" max="2" width="19.59765625" style="141" customWidth="1"/>
    <col min="3" max="3" width="62.3984375" style="141" bestFit="1" customWidth="1"/>
    <col min="4" max="4" width="45.86328125" style="141" bestFit="1" customWidth="1"/>
    <col min="5" max="5" width="12.59765625" style="143"/>
    <col min="7" max="7" width="23.73046875" style="141" customWidth="1"/>
    <col min="8" max="16384" width="12.59765625" style="141"/>
  </cols>
  <sheetData>
    <row r="1" spans="1:8" x14ac:dyDescent="0.45">
      <c r="A1" s="147" t="s">
        <v>214</v>
      </c>
    </row>
    <row r="2" spans="1:8" x14ac:dyDescent="0.45">
      <c r="B2" s="143"/>
      <c r="C2" s="143"/>
      <c r="D2" s="143"/>
    </row>
    <row r="3" spans="1:8" x14ac:dyDescent="0.45">
      <c r="A3" s="4" t="s">
        <v>6</v>
      </c>
      <c r="B3" s="2"/>
      <c r="E3" s="2"/>
    </row>
    <row r="4" spans="1:8" x14ac:dyDescent="0.45">
      <c r="A4" s="5"/>
      <c r="B4" s="6" t="s">
        <v>7</v>
      </c>
      <c r="C4" s="146"/>
      <c r="D4" s="55"/>
      <c r="E4" s="141"/>
    </row>
    <row r="5" spans="1:8" x14ac:dyDescent="0.45">
      <c r="A5" s="8"/>
      <c r="B5" s="6" t="s">
        <v>8</v>
      </c>
      <c r="C5" s="146"/>
      <c r="D5" s="55"/>
      <c r="E5" s="141"/>
    </row>
    <row r="6" spans="1:8" x14ac:dyDescent="0.45">
      <c r="A6" s="9"/>
      <c r="B6" s="6" t="s">
        <v>9</v>
      </c>
      <c r="C6" s="146"/>
      <c r="D6" s="55"/>
      <c r="E6" s="141"/>
      <c r="G6" s="150"/>
    </row>
    <row r="7" spans="1:8" x14ac:dyDescent="0.45">
      <c r="A7" s="10"/>
      <c r="B7" s="6" t="s">
        <v>10</v>
      </c>
      <c r="C7" s="146"/>
      <c r="D7" s="55"/>
      <c r="E7" s="141"/>
    </row>
    <row r="8" spans="1:8" customFormat="1" x14ac:dyDescent="0.45"/>
    <row r="9" spans="1:8" s="142" customFormat="1" ht="26.25" customHeight="1" x14ac:dyDescent="0.45">
      <c r="B9" s="149" t="s">
        <v>205</v>
      </c>
      <c r="C9" s="149" t="s">
        <v>295</v>
      </c>
      <c r="D9" s="149" t="s">
        <v>159</v>
      </c>
      <c r="E9" s="144" t="s">
        <v>0</v>
      </c>
      <c r="F9"/>
      <c r="G9" s="165" t="s">
        <v>214</v>
      </c>
      <c r="H9" s="142" t="s">
        <v>217</v>
      </c>
    </row>
    <row r="10" spans="1:8" s="142" customFormat="1" x14ac:dyDescent="0.45">
      <c r="B10" s="144"/>
      <c r="C10" s="144"/>
      <c r="D10" s="144"/>
      <c r="E10" s="144"/>
      <c r="F10"/>
    </row>
    <row r="11" spans="1:8" x14ac:dyDescent="0.45">
      <c r="B11" s="181" t="s">
        <v>275</v>
      </c>
      <c r="E11" s="141"/>
      <c r="G11" s="164"/>
      <c r="H11" s="150"/>
    </row>
    <row r="12" spans="1:8" x14ac:dyDescent="0.45">
      <c r="B12" s="181"/>
      <c r="C12" s="150" t="s">
        <v>299</v>
      </c>
      <c r="D12" s="150" t="s">
        <v>327</v>
      </c>
      <c r="E12" s="145" t="s">
        <v>142</v>
      </c>
      <c r="G12" s="161">
        <v>25000</v>
      </c>
      <c r="H12" t="s">
        <v>369</v>
      </c>
    </row>
    <row r="13" spans="1:8" x14ac:dyDescent="0.45">
      <c r="B13" s="181"/>
      <c r="C13" s="150" t="s">
        <v>301</v>
      </c>
      <c r="D13" s="150" t="s">
        <v>327</v>
      </c>
      <c r="E13" s="145" t="s">
        <v>142</v>
      </c>
      <c r="G13" s="161">
        <v>20000</v>
      </c>
      <c r="H13" t="s">
        <v>334</v>
      </c>
    </row>
    <row r="14" spans="1:8" x14ac:dyDescent="0.45">
      <c r="B14" s="115"/>
      <c r="C14" s="150" t="s">
        <v>294</v>
      </c>
      <c r="D14" s="141" t="s">
        <v>158</v>
      </c>
      <c r="E14" s="145" t="s">
        <v>142</v>
      </c>
      <c r="G14" s="161">
        <v>10000</v>
      </c>
      <c r="H14" s="150" t="s">
        <v>358</v>
      </c>
    </row>
    <row r="15" spans="1:8" x14ac:dyDescent="0.45">
      <c r="B15" s="115"/>
      <c r="C15" s="150" t="s">
        <v>296</v>
      </c>
      <c r="D15" s="141" t="s">
        <v>158</v>
      </c>
      <c r="E15" s="145" t="s">
        <v>142</v>
      </c>
      <c r="G15" s="161">
        <v>5000</v>
      </c>
      <c r="H15" s="150" t="s">
        <v>359</v>
      </c>
    </row>
    <row r="16" spans="1:8" x14ac:dyDescent="0.45">
      <c r="B16" s="115"/>
      <c r="C16" s="150" t="s">
        <v>297</v>
      </c>
      <c r="D16" s="141" t="s">
        <v>158</v>
      </c>
      <c r="E16" s="145" t="s">
        <v>142</v>
      </c>
      <c r="G16" s="161">
        <v>25000</v>
      </c>
      <c r="H16" s="150" t="s">
        <v>360</v>
      </c>
    </row>
    <row r="17" spans="2:8" x14ac:dyDescent="0.45">
      <c r="B17" s="115"/>
      <c r="C17" s="150" t="s">
        <v>298</v>
      </c>
      <c r="D17" s="150" t="s">
        <v>326</v>
      </c>
      <c r="E17" s="145" t="s">
        <v>142</v>
      </c>
      <c r="G17" s="161">
        <v>20000</v>
      </c>
      <c r="H17" s="150" t="s">
        <v>333</v>
      </c>
    </row>
    <row r="18" spans="2:8" x14ac:dyDescent="0.45">
      <c r="B18" s="115"/>
      <c r="E18" s="145"/>
      <c r="G18" s="162" t="s">
        <v>22</v>
      </c>
      <c r="H18" s="150"/>
    </row>
    <row r="19" spans="2:8" s="142" customFormat="1" x14ac:dyDescent="0.45">
      <c r="B19" s="181"/>
      <c r="C19" s="142" t="s">
        <v>292</v>
      </c>
      <c r="E19" s="144" t="s">
        <v>142</v>
      </c>
      <c r="F19" s="1"/>
      <c r="G19" s="258">
        <f>SUM(G12:G18)</f>
        <v>105000</v>
      </c>
      <c r="H19" s="260" t="s">
        <v>372</v>
      </c>
    </row>
    <row r="20" spans="2:8" x14ac:dyDescent="0.45">
      <c r="B20" s="115"/>
      <c r="E20" s="145"/>
      <c r="G20" s="164"/>
      <c r="H20" s="150"/>
    </row>
    <row r="21" spans="2:8" ht="15" customHeight="1" x14ac:dyDescent="0.45">
      <c r="B21" s="181" t="s">
        <v>319</v>
      </c>
      <c r="E21" s="145"/>
      <c r="G21"/>
    </row>
    <row r="22" spans="2:8" x14ac:dyDescent="0.45">
      <c r="B22" s="115"/>
      <c r="C22" s="150" t="s">
        <v>322</v>
      </c>
      <c r="D22" s="141" t="s">
        <v>256</v>
      </c>
      <c r="E22" s="145" t="s">
        <v>142</v>
      </c>
      <c r="G22" s="161">
        <v>25000</v>
      </c>
      <c r="H22" t="s">
        <v>370</v>
      </c>
    </row>
    <row r="23" spans="2:8" x14ac:dyDescent="0.45">
      <c r="B23" s="115"/>
      <c r="C23" s="150" t="s">
        <v>361</v>
      </c>
      <c r="D23" s="141" t="s">
        <v>158</v>
      </c>
      <c r="E23" s="145" t="s">
        <v>142</v>
      </c>
      <c r="G23" s="161">
        <v>20000</v>
      </c>
      <c r="H23" t="s">
        <v>371</v>
      </c>
    </row>
    <row r="24" spans="2:8" x14ac:dyDescent="0.45">
      <c r="B24" s="115"/>
      <c r="C24" s="150" t="s">
        <v>321</v>
      </c>
      <c r="D24" s="141" t="s">
        <v>256</v>
      </c>
      <c r="E24" s="145" t="s">
        <v>142</v>
      </c>
      <c r="G24" s="161">
        <v>15000</v>
      </c>
      <c r="H24" s="150" t="s">
        <v>354</v>
      </c>
    </row>
    <row r="25" spans="2:8" x14ac:dyDescent="0.45">
      <c r="B25" s="181"/>
      <c r="C25" s="150" t="s">
        <v>300</v>
      </c>
      <c r="D25" s="150" t="s">
        <v>114</v>
      </c>
      <c r="E25" s="145" t="s">
        <v>142</v>
      </c>
      <c r="G25" s="161">
        <v>30000</v>
      </c>
      <c r="H25" t="s">
        <v>355</v>
      </c>
    </row>
    <row r="26" spans="2:8" x14ac:dyDescent="0.45">
      <c r="B26" s="115"/>
      <c r="E26" s="145"/>
      <c r="G26" s="162" t="s">
        <v>22</v>
      </c>
      <c r="H26" s="150"/>
    </row>
    <row r="27" spans="2:8" s="142" customFormat="1" x14ac:dyDescent="0.45">
      <c r="B27" s="181"/>
      <c r="C27" s="142" t="s">
        <v>292</v>
      </c>
      <c r="E27" s="144" t="s">
        <v>142</v>
      </c>
      <c r="F27" s="1"/>
      <c r="G27" s="258">
        <f>SUM(G22:G26)</f>
        <v>90000</v>
      </c>
      <c r="H27" s="260" t="s">
        <v>372</v>
      </c>
    </row>
    <row r="28" spans="2:8" s="142" customFormat="1" x14ac:dyDescent="0.45">
      <c r="B28" s="181"/>
      <c r="E28" s="144"/>
      <c r="F28" s="1"/>
      <c r="G28"/>
    </row>
    <row r="29" spans="2:8" x14ac:dyDescent="0.45">
      <c r="B29" s="181" t="s">
        <v>276</v>
      </c>
      <c r="E29" s="145"/>
      <c r="G29"/>
      <c r="H29"/>
    </row>
    <row r="30" spans="2:8" x14ac:dyDescent="0.45">
      <c r="B30" s="115"/>
      <c r="C30" s="150" t="s">
        <v>325</v>
      </c>
      <c r="D30" s="150" t="s">
        <v>337</v>
      </c>
      <c r="E30" s="145" t="s">
        <v>142</v>
      </c>
      <c r="G30" s="161">
        <v>100000</v>
      </c>
      <c r="H30" s="150" t="s">
        <v>362</v>
      </c>
    </row>
    <row r="31" spans="2:8" x14ac:dyDescent="0.45">
      <c r="B31" s="115"/>
      <c r="C31" s="150" t="s">
        <v>302</v>
      </c>
      <c r="D31" s="150" t="s">
        <v>329</v>
      </c>
      <c r="E31" s="145" t="s">
        <v>142</v>
      </c>
      <c r="G31" s="161">
        <v>10000</v>
      </c>
      <c r="H31" s="150" t="s">
        <v>336</v>
      </c>
    </row>
    <row r="32" spans="2:8" x14ac:dyDescent="0.45">
      <c r="B32" s="115"/>
      <c r="C32" s="150" t="s">
        <v>363</v>
      </c>
      <c r="D32" s="141" t="s">
        <v>157</v>
      </c>
      <c r="E32" s="145" t="s">
        <v>142</v>
      </c>
      <c r="G32" s="161">
        <v>20000</v>
      </c>
      <c r="H32" s="150" t="s">
        <v>364</v>
      </c>
    </row>
    <row r="33" spans="2:8" x14ac:dyDescent="0.45">
      <c r="B33" s="181"/>
      <c r="C33" s="150" t="s">
        <v>300</v>
      </c>
      <c r="D33" s="150" t="s">
        <v>114</v>
      </c>
      <c r="E33" s="145" t="s">
        <v>142</v>
      </c>
      <c r="G33" s="161">
        <v>10000</v>
      </c>
      <c r="H33" t="s">
        <v>335</v>
      </c>
    </row>
    <row r="34" spans="2:8" x14ac:dyDescent="0.45">
      <c r="B34" s="115"/>
      <c r="E34" s="145"/>
      <c r="G34" s="162" t="s">
        <v>22</v>
      </c>
      <c r="H34" s="150"/>
    </row>
    <row r="35" spans="2:8" s="142" customFormat="1" x14ac:dyDescent="0.45">
      <c r="B35" s="181"/>
      <c r="C35" s="142" t="s">
        <v>292</v>
      </c>
      <c r="E35" s="144" t="s">
        <v>142</v>
      </c>
      <c r="F35" s="1"/>
      <c r="G35" s="258">
        <f>SUM(G30:G34)</f>
        <v>140000</v>
      </c>
    </row>
    <row r="36" spans="2:8" x14ac:dyDescent="0.45">
      <c r="B36" s="115"/>
      <c r="E36" s="145"/>
      <c r="G36" s="164"/>
      <c r="H36" s="150"/>
    </row>
    <row r="37" spans="2:8" x14ac:dyDescent="0.45">
      <c r="B37" s="181" t="s">
        <v>304</v>
      </c>
      <c r="E37" s="145"/>
      <c r="G37"/>
      <c r="H37"/>
    </row>
    <row r="38" spans="2:8" ht="15.75" x14ac:dyDescent="0.45">
      <c r="B38" s="115"/>
      <c r="C38" s="150" t="s">
        <v>303</v>
      </c>
      <c r="D38" s="150" t="s">
        <v>328</v>
      </c>
      <c r="E38" s="145" t="s">
        <v>142</v>
      </c>
      <c r="G38" s="161">
        <v>150000</v>
      </c>
      <c r="H38" s="150" t="s">
        <v>374</v>
      </c>
    </row>
    <row r="39" spans="2:8" x14ac:dyDescent="0.45">
      <c r="B39" s="115"/>
      <c r="C39" s="150" t="s">
        <v>307</v>
      </c>
      <c r="D39" s="150" t="s">
        <v>328</v>
      </c>
      <c r="E39" s="145" t="s">
        <v>142</v>
      </c>
      <c r="G39" s="161">
        <v>200000</v>
      </c>
      <c r="H39" s="150" t="s">
        <v>365</v>
      </c>
    </row>
    <row r="40" spans="2:8" x14ac:dyDescent="0.45">
      <c r="B40" s="115"/>
      <c r="C40" s="150" t="s">
        <v>330</v>
      </c>
      <c r="D40" s="150" t="s">
        <v>329</v>
      </c>
      <c r="E40" s="145" t="s">
        <v>142</v>
      </c>
      <c r="G40" s="161">
        <v>100000</v>
      </c>
      <c r="H40" s="150" t="s">
        <v>338</v>
      </c>
    </row>
    <row r="41" spans="2:8" x14ac:dyDescent="0.45">
      <c r="B41" s="115"/>
      <c r="C41" s="150" t="s">
        <v>305</v>
      </c>
      <c r="D41" s="150" t="s">
        <v>328</v>
      </c>
      <c r="E41" s="145" t="s">
        <v>142</v>
      </c>
      <c r="G41" s="161">
        <v>75000</v>
      </c>
      <c r="H41" s="150" t="s">
        <v>356</v>
      </c>
    </row>
    <row r="42" spans="2:8" x14ac:dyDescent="0.45">
      <c r="B42" s="115"/>
      <c r="C42" s="150" t="s">
        <v>306</v>
      </c>
      <c r="D42" s="150" t="s">
        <v>328</v>
      </c>
      <c r="E42" s="145" t="s">
        <v>142</v>
      </c>
      <c r="G42" s="161">
        <v>75000</v>
      </c>
      <c r="H42" s="150" t="s">
        <v>366</v>
      </c>
    </row>
    <row r="43" spans="2:8" x14ac:dyDescent="0.45">
      <c r="B43" s="181"/>
      <c r="C43" s="150" t="s">
        <v>300</v>
      </c>
      <c r="D43" s="150" t="s">
        <v>114</v>
      </c>
      <c r="E43" s="145" t="s">
        <v>142</v>
      </c>
      <c r="G43" s="161">
        <v>40000</v>
      </c>
      <c r="H43" t="s">
        <v>339</v>
      </c>
    </row>
    <row r="44" spans="2:8" x14ac:dyDescent="0.45">
      <c r="B44" s="115"/>
      <c r="E44" s="145"/>
      <c r="G44" s="162" t="s">
        <v>22</v>
      </c>
      <c r="H44" s="150"/>
    </row>
    <row r="45" spans="2:8" s="142" customFormat="1" x14ac:dyDescent="0.45">
      <c r="B45" s="181"/>
      <c r="C45" s="142" t="s">
        <v>292</v>
      </c>
      <c r="E45" s="144" t="s">
        <v>142</v>
      </c>
      <c r="F45" s="1"/>
      <c r="G45" s="258">
        <f>SUM(G38:G44)</f>
        <v>640000</v>
      </c>
    </row>
    <row r="46" spans="2:8" x14ac:dyDescent="0.45">
      <c r="B46" s="115"/>
      <c r="E46" s="145"/>
      <c r="G46" s="164"/>
      <c r="H46" s="150"/>
    </row>
    <row r="47" spans="2:8" s="142" customFormat="1" ht="15" customHeight="1" x14ac:dyDescent="0.45">
      <c r="B47" s="181" t="s">
        <v>277</v>
      </c>
      <c r="E47" s="144"/>
      <c r="F47" s="1"/>
      <c r="G47" s="1"/>
      <c r="H47" s="1"/>
    </row>
    <row r="48" spans="2:8" x14ac:dyDescent="0.45">
      <c r="B48" s="115"/>
      <c r="C48" s="150" t="s">
        <v>308</v>
      </c>
      <c r="D48" s="150" t="s">
        <v>331</v>
      </c>
      <c r="E48" s="145" t="s">
        <v>142</v>
      </c>
      <c r="G48" s="161">
        <v>150000</v>
      </c>
      <c r="H48" s="150" t="s">
        <v>357</v>
      </c>
    </row>
    <row r="49" spans="2:8" x14ac:dyDescent="0.45">
      <c r="B49" s="115"/>
      <c r="C49" s="150" t="s">
        <v>309</v>
      </c>
      <c r="D49" s="150" t="s">
        <v>331</v>
      </c>
      <c r="E49" s="145" t="s">
        <v>142</v>
      </c>
      <c r="G49" s="161">
        <v>50000</v>
      </c>
      <c r="H49" s="150" t="s">
        <v>341</v>
      </c>
    </row>
    <row r="50" spans="2:8" x14ac:dyDescent="0.45">
      <c r="B50" s="181"/>
      <c r="C50" s="150" t="s">
        <v>300</v>
      </c>
      <c r="D50" s="150" t="s">
        <v>114</v>
      </c>
      <c r="E50" s="145" t="s">
        <v>142</v>
      </c>
      <c r="G50" s="161">
        <v>20000</v>
      </c>
      <c r="H50" t="s">
        <v>340</v>
      </c>
    </row>
    <row r="51" spans="2:8" x14ac:dyDescent="0.45">
      <c r="B51" s="115"/>
      <c r="E51" s="145"/>
      <c r="G51" s="162" t="s">
        <v>22</v>
      </c>
      <c r="H51" s="150"/>
    </row>
    <row r="52" spans="2:8" s="142" customFormat="1" x14ac:dyDescent="0.45">
      <c r="B52" s="181"/>
      <c r="C52" s="142" t="s">
        <v>292</v>
      </c>
      <c r="E52" s="144" t="s">
        <v>142</v>
      </c>
      <c r="F52" s="1"/>
      <c r="G52" s="258">
        <f>SUM(G48:G51)</f>
        <v>220000</v>
      </c>
    </row>
    <row r="53" spans="2:8" x14ac:dyDescent="0.45">
      <c r="B53" s="115"/>
      <c r="E53" s="145"/>
      <c r="G53" s="164"/>
      <c r="H53" s="150"/>
    </row>
    <row r="54" spans="2:8" ht="15" customHeight="1" x14ac:dyDescent="0.45">
      <c r="B54" s="181" t="s">
        <v>279</v>
      </c>
      <c r="E54" s="145"/>
      <c r="G54"/>
      <c r="H54"/>
    </row>
    <row r="55" spans="2:8" x14ac:dyDescent="0.45">
      <c r="B55" s="115"/>
      <c r="C55" s="150" t="s">
        <v>311</v>
      </c>
      <c r="D55" s="150" t="s">
        <v>331</v>
      </c>
      <c r="E55" s="145" t="s">
        <v>142</v>
      </c>
      <c r="G55" s="161">
        <v>30000</v>
      </c>
      <c r="H55" s="150" t="s">
        <v>342</v>
      </c>
    </row>
    <row r="56" spans="2:8" x14ac:dyDescent="0.45">
      <c r="B56" s="115"/>
      <c r="C56" s="150" t="s">
        <v>312</v>
      </c>
      <c r="D56" s="150" t="s">
        <v>343</v>
      </c>
      <c r="E56" s="145" t="s">
        <v>142</v>
      </c>
      <c r="G56" s="161">
        <v>10000</v>
      </c>
      <c r="H56" s="150" t="s">
        <v>344</v>
      </c>
    </row>
    <row r="57" spans="2:8" x14ac:dyDescent="0.45">
      <c r="B57" s="115"/>
      <c r="C57" s="150" t="s">
        <v>313</v>
      </c>
      <c r="D57" s="150" t="s">
        <v>328</v>
      </c>
      <c r="E57" s="145" t="s">
        <v>142</v>
      </c>
      <c r="G57" s="161">
        <v>20000</v>
      </c>
      <c r="H57" s="150" t="s">
        <v>345</v>
      </c>
    </row>
    <row r="58" spans="2:8" x14ac:dyDescent="0.45">
      <c r="B58" s="115"/>
      <c r="E58" s="145"/>
      <c r="G58" s="162" t="s">
        <v>22</v>
      </c>
      <c r="H58" s="150"/>
    </row>
    <row r="59" spans="2:8" s="142" customFormat="1" x14ac:dyDescent="0.45">
      <c r="B59" s="181"/>
      <c r="C59" s="142" t="s">
        <v>292</v>
      </c>
      <c r="E59" s="144" t="s">
        <v>142</v>
      </c>
      <c r="F59" s="1"/>
      <c r="G59" s="258">
        <f>SUM(G55:G58)</f>
        <v>60000</v>
      </c>
    </row>
    <row r="60" spans="2:8" x14ac:dyDescent="0.45">
      <c r="B60" s="115"/>
      <c r="E60" s="145"/>
      <c r="G60" s="164"/>
      <c r="H60" s="150"/>
    </row>
    <row r="61" spans="2:8" ht="15" customHeight="1" x14ac:dyDescent="0.45">
      <c r="B61" s="181" t="s">
        <v>278</v>
      </c>
      <c r="E61" s="141"/>
      <c r="G61"/>
      <c r="H61"/>
    </row>
    <row r="62" spans="2:8" x14ac:dyDescent="0.45">
      <c r="B62" s="115"/>
      <c r="C62" s="150" t="s">
        <v>314</v>
      </c>
      <c r="D62" s="150" t="s">
        <v>323</v>
      </c>
      <c r="E62" s="145" t="s">
        <v>142</v>
      </c>
      <c r="G62" s="161">
        <v>120000</v>
      </c>
      <c r="H62" s="150" t="s">
        <v>346</v>
      </c>
    </row>
    <row r="63" spans="2:8" x14ac:dyDescent="0.45">
      <c r="B63" s="115"/>
      <c r="C63" s="150" t="s">
        <v>305</v>
      </c>
      <c r="D63" s="150" t="s">
        <v>323</v>
      </c>
      <c r="E63" s="145" t="s">
        <v>142</v>
      </c>
      <c r="G63" s="161">
        <v>40000</v>
      </c>
      <c r="H63" s="150" t="s">
        <v>347</v>
      </c>
    </row>
    <row r="64" spans="2:8" x14ac:dyDescent="0.45">
      <c r="B64" s="115"/>
      <c r="C64" s="150" t="s">
        <v>315</v>
      </c>
      <c r="D64" s="150" t="s">
        <v>323</v>
      </c>
      <c r="E64" s="145" t="s">
        <v>142</v>
      </c>
      <c r="G64" s="161">
        <v>200000</v>
      </c>
      <c r="H64" s="150" t="s">
        <v>348</v>
      </c>
    </row>
    <row r="65" spans="2:8" x14ac:dyDescent="0.45">
      <c r="B65" s="181"/>
      <c r="C65" s="150" t="s">
        <v>300</v>
      </c>
      <c r="D65" s="150" t="s">
        <v>114</v>
      </c>
      <c r="E65" s="145" t="s">
        <v>142</v>
      </c>
      <c r="G65" s="161">
        <v>10000</v>
      </c>
      <c r="H65" t="s">
        <v>349</v>
      </c>
    </row>
    <row r="66" spans="2:8" x14ac:dyDescent="0.45">
      <c r="B66" s="115"/>
      <c r="E66" s="145"/>
      <c r="G66" s="162" t="s">
        <v>22</v>
      </c>
      <c r="H66" s="150"/>
    </row>
    <row r="67" spans="2:8" s="142" customFormat="1" x14ac:dyDescent="0.45">
      <c r="B67" s="181"/>
      <c r="C67" s="142" t="s">
        <v>292</v>
      </c>
      <c r="E67" s="144" t="s">
        <v>142</v>
      </c>
      <c r="F67" s="1"/>
      <c r="G67" s="258">
        <f>SUM(G62:G66)</f>
        <v>370000</v>
      </c>
      <c r="H67" s="260" t="s">
        <v>373</v>
      </c>
    </row>
    <row r="68" spans="2:8" x14ac:dyDescent="0.45">
      <c r="B68" s="115"/>
      <c r="E68" s="145"/>
      <c r="G68" s="164"/>
      <c r="H68" s="150"/>
    </row>
    <row r="69" spans="2:8" ht="15" customHeight="1" x14ac:dyDescent="0.45">
      <c r="B69" s="181" t="s">
        <v>310</v>
      </c>
      <c r="E69" s="145"/>
      <c r="G69"/>
      <c r="H69" s="150"/>
    </row>
    <row r="70" spans="2:8" x14ac:dyDescent="0.45">
      <c r="B70" s="115"/>
      <c r="C70" s="150" t="s">
        <v>316</v>
      </c>
      <c r="D70" s="150" t="s">
        <v>324</v>
      </c>
      <c r="E70" s="145" t="s">
        <v>142</v>
      </c>
      <c r="G70" s="161">
        <v>60000</v>
      </c>
      <c r="H70" s="150" t="s">
        <v>350</v>
      </c>
    </row>
    <row r="71" spans="2:8" x14ac:dyDescent="0.45">
      <c r="B71" s="115"/>
      <c r="C71" s="150" t="s">
        <v>305</v>
      </c>
      <c r="D71" s="150" t="s">
        <v>324</v>
      </c>
      <c r="E71" s="145" t="s">
        <v>142</v>
      </c>
      <c r="G71" s="161">
        <v>35000</v>
      </c>
      <c r="H71" s="150" t="s">
        <v>351</v>
      </c>
    </row>
    <row r="72" spans="2:8" x14ac:dyDescent="0.45">
      <c r="B72" s="181"/>
      <c r="C72" s="150" t="s">
        <v>300</v>
      </c>
      <c r="D72" s="150" t="s">
        <v>114</v>
      </c>
      <c r="E72" s="145" t="s">
        <v>142</v>
      </c>
      <c r="G72" s="161">
        <v>20000</v>
      </c>
      <c r="H72" t="s">
        <v>367</v>
      </c>
    </row>
    <row r="73" spans="2:8" x14ac:dyDescent="0.45">
      <c r="B73" s="115"/>
      <c r="E73" s="145"/>
      <c r="G73" s="162" t="s">
        <v>22</v>
      </c>
      <c r="H73" s="150"/>
    </row>
    <row r="74" spans="2:8" s="142" customFormat="1" x14ac:dyDescent="0.45">
      <c r="B74" s="181"/>
      <c r="C74" s="142" t="s">
        <v>292</v>
      </c>
      <c r="E74" s="144" t="s">
        <v>142</v>
      </c>
      <c r="F74" s="1"/>
      <c r="G74" s="258">
        <f>SUM(G70:G73)</f>
        <v>115000</v>
      </c>
      <c r="H74" s="260" t="s">
        <v>372</v>
      </c>
    </row>
    <row r="75" spans="2:8" x14ac:dyDescent="0.45">
      <c r="B75" s="115"/>
      <c r="E75" s="145"/>
      <c r="G75" s="164"/>
      <c r="H75" s="150"/>
    </row>
    <row r="76" spans="2:8" ht="15" customHeight="1" x14ac:dyDescent="0.45">
      <c r="B76" s="181" t="s">
        <v>320</v>
      </c>
      <c r="E76" s="145"/>
      <c r="G76"/>
    </row>
    <row r="77" spans="2:8" x14ac:dyDescent="0.45">
      <c r="B77" s="115"/>
      <c r="C77" s="150" t="s">
        <v>317</v>
      </c>
      <c r="D77" s="150" t="s">
        <v>114</v>
      </c>
      <c r="E77" s="145" t="s">
        <v>142</v>
      </c>
      <c r="G77" s="161">
        <v>250000</v>
      </c>
      <c r="H77" s="150" t="s">
        <v>368</v>
      </c>
    </row>
    <row r="78" spans="2:8" x14ac:dyDescent="0.45">
      <c r="B78" s="115"/>
      <c r="C78" s="150" t="s">
        <v>318</v>
      </c>
      <c r="D78" s="150" t="s">
        <v>332</v>
      </c>
      <c r="E78" s="145" t="s">
        <v>142</v>
      </c>
      <c r="G78" s="161">
        <v>100000</v>
      </c>
      <c r="H78" s="150" t="s">
        <v>352</v>
      </c>
    </row>
    <row r="79" spans="2:8" x14ac:dyDescent="0.45">
      <c r="B79" s="181"/>
      <c r="C79" s="150" t="s">
        <v>300</v>
      </c>
      <c r="D79" s="150" t="s">
        <v>114</v>
      </c>
      <c r="E79" s="145" t="s">
        <v>142</v>
      </c>
      <c r="G79" s="161">
        <v>30000</v>
      </c>
      <c r="H79" t="s">
        <v>353</v>
      </c>
    </row>
    <row r="80" spans="2:8" x14ac:dyDescent="0.45">
      <c r="B80" s="115"/>
      <c r="E80" s="145"/>
      <c r="G80" s="162" t="s">
        <v>22</v>
      </c>
      <c r="H80" s="150"/>
    </row>
    <row r="81" spans="2:8" s="142" customFormat="1" x14ac:dyDescent="0.45">
      <c r="B81" s="181"/>
      <c r="C81" s="142" t="s">
        <v>292</v>
      </c>
      <c r="E81" s="144" t="s">
        <v>142</v>
      </c>
      <c r="F81" s="1"/>
      <c r="G81" s="258">
        <f>SUM(G77:G80)</f>
        <v>380000</v>
      </c>
    </row>
    <row r="82" spans="2:8" x14ac:dyDescent="0.45">
      <c r="B82" s="115"/>
      <c r="E82" s="145"/>
      <c r="G82" s="164"/>
      <c r="H82" s="150"/>
    </row>
    <row r="83" spans="2:8" x14ac:dyDescent="0.45">
      <c r="B83" s="115"/>
      <c r="E83" s="145"/>
      <c r="G83" s="162" t="s">
        <v>22</v>
      </c>
      <c r="H83" s="150"/>
    </row>
    <row r="84" spans="2:8" ht="15" customHeight="1" x14ac:dyDescent="0.45">
      <c r="B84" s="115"/>
      <c r="C84" s="142" t="s">
        <v>293</v>
      </c>
      <c r="D84" s="142"/>
      <c r="E84" s="144" t="s">
        <v>142</v>
      </c>
      <c r="G84" s="258">
        <f>G27+G81+G74+G67+G59+G52+G45+G35+G19</f>
        <v>2120000</v>
      </c>
    </row>
    <row r="85" spans="2:8" ht="15" customHeight="1" x14ac:dyDescent="0.45">
      <c r="E85" s="144"/>
      <c r="G85" s="163"/>
    </row>
    <row r="88" spans="2:8" x14ac:dyDescent="0.45">
      <c r="D88" s="142"/>
    </row>
    <row r="89" spans="2:8" x14ac:dyDescent="0.45">
      <c r="D89" s="142"/>
    </row>
    <row r="90" spans="2:8" x14ac:dyDescent="0.45">
      <c r="D90" s="142"/>
    </row>
    <row r="91" spans="2:8" x14ac:dyDescent="0.45">
      <c r="D91" s="142"/>
    </row>
    <row r="92" spans="2:8" x14ac:dyDescent="0.45">
      <c r="D92" s="142"/>
    </row>
    <row r="93" spans="2:8" x14ac:dyDescent="0.45">
      <c r="C93" s="142"/>
      <c r="D93" s="142"/>
    </row>
  </sheetData>
  <conditionalFormatting sqref="A3:B6 E3 C4:D6">
    <cfRule type="expression" dxfId="63" priority="90">
      <formula>_xlfn.ISFORMULA(INDIRECT("rc",FALSE))</formula>
    </cfRule>
  </conditionalFormatting>
  <conditionalFormatting sqref="A7">
    <cfRule type="expression" dxfId="62" priority="89">
      <formula>_xlfn.ISFORMULA(INDIRECT("rc",FALSE))</formula>
    </cfRule>
  </conditionalFormatting>
  <conditionalFormatting sqref="B7">
    <cfRule type="expression" dxfId="61" priority="88">
      <formula>_xlfn.ISFORMULA(INDIRECT("rc",FALSE))</formula>
    </cfRule>
  </conditionalFormatting>
  <conditionalFormatting sqref="C7:D7">
    <cfRule type="expression" dxfId="60" priority="87">
      <formula>_xlfn.ISFORMULA(INDIRECT("rc",FALSE))</formula>
    </cfRule>
  </conditionalFormatting>
  <conditionalFormatting sqref="A1:N11 A14:G14 I14:N14 A28:F28 H28:N28 A15:N27 A29:N93">
    <cfRule type="expression" dxfId="59" priority="85">
      <formula>_xlfn.ISFORMULA(A1)</formula>
    </cfRule>
  </conditionalFormatting>
  <conditionalFormatting sqref="C20:D20">
    <cfRule type="expression" dxfId="58" priority="84">
      <formula>_xlfn.ISFORMULA(C20)</formula>
    </cfRule>
  </conditionalFormatting>
  <conditionalFormatting sqref="G18">
    <cfRule type="expression" dxfId="57" priority="83">
      <formula>_xlfn.ISFORMULA(INDIRECT("rc",FALSE))</formula>
    </cfRule>
  </conditionalFormatting>
  <conditionalFormatting sqref="C35:D35 C30:C32">
    <cfRule type="expression" dxfId="56" priority="79">
      <formula>_xlfn.ISFORMULA(C30)</formula>
    </cfRule>
  </conditionalFormatting>
  <conditionalFormatting sqref="C36:D36">
    <cfRule type="expression" dxfId="55" priority="78">
      <formula>_xlfn.ISFORMULA(C36)</formula>
    </cfRule>
  </conditionalFormatting>
  <conditionalFormatting sqref="G34">
    <cfRule type="expression" dxfId="54" priority="77">
      <formula>_xlfn.ISFORMULA(INDIRECT("rc",FALSE))</formula>
    </cfRule>
  </conditionalFormatting>
  <conditionalFormatting sqref="C45:D45 C41 C38:C39">
    <cfRule type="expression" dxfId="53" priority="76">
      <formula>_xlfn.ISFORMULA(C38)</formula>
    </cfRule>
  </conditionalFormatting>
  <conditionalFormatting sqref="C46:D46">
    <cfRule type="expression" dxfId="52" priority="75">
      <formula>_xlfn.ISFORMULA(C46)</formula>
    </cfRule>
  </conditionalFormatting>
  <conditionalFormatting sqref="G44">
    <cfRule type="expression" dxfId="51" priority="74">
      <formula>_xlfn.ISFORMULA(INDIRECT("rc",FALSE))</formula>
    </cfRule>
  </conditionalFormatting>
  <conditionalFormatting sqref="C52:D52">
    <cfRule type="expression" dxfId="50" priority="73">
      <formula>_xlfn.ISFORMULA(C52)</formula>
    </cfRule>
  </conditionalFormatting>
  <conditionalFormatting sqref="C53:D53">
    <cfRule type="expression" dxfId="49" priority="72">
      <formula>_xlfn.ISFORMULA(C53)</formula>
    </cfRule>
  </conditionalFormatting>
  <conditionalFormatting sqref="G51">
    <cfRule type="expression" dxfId="48" priority="71">
      <formula>_xlfn.ISFORMULA(INDIRECT("rc",FALSE))</formula>
    </cfRule>
  </conditionalFormatting>
  <conditionalFormatting sqref="C59:D59 C55:C57">
    <cfRule type="expression" dxfId="47" priority="70">
      <formula>_xlfn.ISFORMULA(C55)</formula>
    </cfRule>
  </conditionalFormatting>
  <conditionalFormatting sqref="C60:D60">
    <cfRule type="expression" dxfId="46" priority="69">
      <formula>_xlfn.ISFORMULA(C60)</formula>
    </cfRule>
  </conditionalFormatting>
  <conditionalFormatting sqref="G58">
    <cfRule type="expression" dxfId="45" priority="68">
      <formula>_xlfn.ISFORMULA(INDIRECT("rc",FALSE))</formula>
    </cfRule>
  </conditionalFormatting>
  <conditionalFormatting sqref="C67:D67 C62:C64">
    <cfRule type="expression" dxfId="44" priority="67">
      <formula>_xlfn.ISFORMULA(C62)</formula>
    </cfRule>
  </conditionalFormatting>
  <conditionalFormatting sqref="C68:D68">
    <cfRule type="expression" dxfId="43" priority="66">
      <formula>_xlfn.ISFORMULA(C68)</formula>
    </cfRule>
  </conditionalFormatting>
  <conditionalFormatting sqref="G66">
    <cfRule type="expression" dxfId="42" priority="65">
      <formula>_xlfn.ISFORMULA(INDIRECT("rc",FALSE))</formula>
    </cfRule>
  </conditionalFormatting>
  <conditionalFormatting sqref="C74:D74 C70">
    <cfRule type="expression" dxfId="41" priority="64">
      <formula>_xlfn.ISFORMULA(C70)</formula>
    </cfRule>
  </conditionalFormatting>
  <conditionalFormatting sqref="C75:D75">
    <cfRule type="expression" dxfId="40" priority="63">
      <formula>_xlfn.ISFORMULA(C75)</formula>
    </cfRule>
  </conditionalFormatting>
  <conditionalFormatting sqref="G73">
    <cfRule type="expression" dxfId="39" priority="62">
      <formula>_xlfn.ISFORMULA(INDIRECT("rc",FALSE))</formula>
    </cfRule>
  </conditionalFormatting>
  <conditionalFormatting sqref="C81:D81">
    <cfRule type="expression" dxfId="38" priority="61">
      <formula>_xlfn.ISFORMULA(C81)</formula>
    </cfRule>
  </conditionalFormatting>
  <conditionalFormatting sqref="C82:D82">
    <cfRule type="expression" dxfId="37" priority="60">
      <formula>_xlfn.ISFORMULA(C82)</formula>
    </cfRule>
  </conditionalFormatting>
  <conditionalFormatting sqref="G80">
    <cfRule type="expression" dxfId="36" priority="59">
      <formula>_xlfn.ISFORMULA(INDIRECT("rc",FALSE))</formula>
    </cfRule>
  </conditionalFormatting>
  <conditionalFormatting sqref="C27:D28">
    <cfRule type="expression" dxfId="35" priority="58">
      <formula>_xlfn.ISFORMULA(C27)</formula>
    </cfRule>
  </conditionalFormatting>
  <conditionalFormatting sqref="C83:D83">
    <cfRule type="expression" dxfId="34" priority="57">
      <formula>_xlfn.ISFORMULA(C83)</formula>
    </cfRule>
  </conditionalFormatting>
  <conditionalFormatting sqref="G26">
    <cfRule type="expression" dxfId="33" priority="56">
      <formula>_xlfn.ISFORMULA(INDIRECT("rc",FALSE))</formula>
    </cfRule>
  </conditionalFormatting>
  <conditionalFormatting sqref="G83">
    <cfRule type="expression" dxfId="32" priority="55">
      <formula>_xlfn.ISFORMULA(INDIRECT("rc",FALSE))</formula>
    </cfRule>
  </conditionalFormatting>
  <conditionalFormatting sqref="D32">
    <cfRule type="expression" dxfId="31" priority="47">
      <formula>_xlfn.ISFORMULA(D32)</formula>
    </cfRule>
  </conditionalFormatting>
  <conditionalFormatting sqref="C42">
    <cfRule type="expression" dxfId="30" priority="44">
      <formula>_xlfn.ISFORMULA(C42)</formula>
    </cfRule>
  </conditionalFormatting>
  <conditionalFormatting sqref="C40">
    <cfRule type="expression" dxfId="29" priority="43">
      <formula>_xlfn.ISFORMULA(C40)</formula>
    </cfRule>
  </conditionalFormatting>
  <conditionalFormatting sqref="C71">
    <cfRule type="expression" dxfId="28" priority="42">
      <formula>_xlfn.ISFORMULA(C71)</formula>
    </cfRule>
  </conditionalFormatting>
  <conditionalFormatting sqref="C87:C92">
    <cfRule type="expression" dxfId="27" priority="41">
      <formula>_xlfn.ISFORMULA(C87)</formula>
    </cfRule>
  </conditionalFormatting>
  <conditionalFormatting sqref="D33">
    <cfRule type="expression" dxfId="26" priority="40">
      <formula>_xlfn.ISFORMULA(D33)</formula>
    </cfRule>
  </conditionalFormatting>
  <conditionalFormatting sqref="D43">
    <cfRule type="expression" dxfId="25" priority="39">
      <formula>_xlfn.ISFORMULA(D43)</formula>
    </cfRule>
  </conditionalFormatting>
  <conditionalFormatting sqref="D50">
    <cfRule type="expression" dxfId="24" priority="38">
      <formula>_xlfn.ISFORMULA(D50)</formula>
    </cfRule>
  </conditionalFormatting>
  <conditionalFormatting sqref="D65">
    <cfRule type="expression" dxfId="23" priority="36">
      <formula>_xlfn.ISFORMULA(D65)</formula>
    </cfRule>
  </conditionalFormatting>
  <conditionalFormatting sqref="D55">
    <cfRule type="expression" dxfId="22" priority="22">
      <formula>_xlfn.ISFORMULA(D55)</formula>
    </cfRule>
  </conditionalFormatting>
  <conditionalFormatting sqref="D25">
    <cfRule type="expression" dxfId="21" priority="33">
      <formula>_xlfn.ISFORMULA(D25)</formula>
    </cfRule>
  </conditionalFormatting>
  <conditionalFormatting sqref="D22">
    <cfRule type="expression" dxfId="20" priority="32">
      <formula>_xlfn.ISFORMULA(D22)</formula>
    </cfRule>
  </conditionalFormatting>
  <conditionalFormatting sqref="D23">
    <cfRule type="expression" dxfId="19" priority="31">
      <formula>_xlfn.ISFORMULA(D23)</formula>
    </cfRule>
  </conditionalFormatting>
  <conditionalFormatting sqref="D24">
    <cfRule type="expression" dxfId="18" priority="30">
      <formula>_xlfn.ISFORMULA(D24)</formula>
    </cfRule>
  </conditionalFormatting>
  <conditionalFormatting sqref="D79">
    <cfRule type="expression" dxfId="17" priority="29">
      <formula>_xlfn.ISFORMULA(D79)</formula>
    </cfRule>
  </conditionalFormatting>
  <conditionalFormatting sqref="D77">
    <cfRule type="expression" dxfId="16" priority="28">
      <formula>_xlfn.ISFORMULA(D77)</formula>
    </cfRule>
  </conditionalFormatting>
  <conditionalFormatting sqref="D72">
    <cfRule type="expression" dxfId="15" priority="26">
      <formula>_xlfn.ISFORMULA(D72)</formula>
    </cfRule>
  </conditionalFormatting>
  <conditionalFormatting sqref="D70">
    <cfRule type="expression" dxfId="14" priority="25">
      <formula>_xlfn.ISFORMULA(D70)</formula>
    </cfRule>
  </conditionalFormatting>
  <conditionalFormatting sqref="D56">
    <cfRule type="expression" dxfId="13" priority="21">
      <formula>_xlfn.ISFORMULA(D56)</formula>
    </cfRule>
  </conditionalFormatting>
  <conditionalFormatting sqref="D57">
    <cfRule type="expression" dxfId="12" priority="20">
      <formula>_xlfn.ISFORMULA(D57)</formula>
    </cfRule>
  </conditionalFormatting>
  <conditionalFormatting sqref="D40">
    <cfRule type="expression" dxfId="11" priority="14">
      <formula>_xlfn.ISFORMULA(D40)</formula>
    </cfRule>
  </conditionalFormatting>
  <conditionalFormatting sqref="D38:D39 D41:D42">
    <cfRule type="expression" dxfId="10" priority="15">
      <formula>_xlfn.ISFORMULA(D38)</formula>
    </cfRule>
  </conditionalFormatting>
  <conditionalFormatting sqref="D62">
    <cfRule type="expression" dxfId="9" priority="13">
      <formula>_xlfn.ISFORMULA(D62)</formula>
    </cfRule>
  </conditionalFormatting>
  <conditionalFormatting sqref="D63">
    <cfRule type="expression" dxfId="8" priority="12">
      <formula>_xlfn.ISFORMULA(D63)</formula>
    </cfRule>
  </conditionalFormatting>
  <conditionalFormatting sqref="D64">
    <cfRule type="expression" dxfId="7" priority="11">
      <formula>_xlfn.ISFORMULA(D64)</formula>
    </cfRule>
  </conditionalFormatting>
  <conditionalFormatting sqref="D30">
    <cfRule type="expression" dxfId="6" priority="9">
      <formula>_xlfn.ISFORMULA(D30)</formula>
    </cfRule>
  </conditionalFormatting>
  <conditionalFormatting sqref="D31">
    <cfRule type="expression" dxfId="5" priority="8">
      <formula>_xlfn.ISFORMULA(D31)</formula>
    </cfRule>
  </conditionalFormatting>
  <conditionalFormatting sqref="D71">
    <cfRule type="expression" dxfId="4" priority="6">
      <formula>_xlfn.ISFORMULA(D71)</formula>
    </cfRule>
  </conditionalFormatting>
  <conditionalFormatting sqref="D78">
    <cfRule type="expression" dxfId="3" priority="5">
      <formula>_xlfn.ISFORMULA(D78)</formula>
    </cfRule>
  </conditionalFormatting>
  <conditionalFormatting sqref="H14">
    <cfRule type="expression" dxfId="2" priority="3">
      <formula>_xlfn.ISFORMULA(H14)</formula>
    </cfRule>
  </conditionalFormatting>
  <conditionalFormatting sqref="A12:N13">
    <cfRule type="expression" dxfId="1" priority="2">
      <formula>_xlfn.ISFORMULA(A12)</formula>
    </cfRule>
  </conditionalFormatting>
  <conditionalFormatting sqref="D12:D13">
    <cfRule type="expression" dxfId="0" priority="1">
      <formula>_xlfn.ISFORMULA(D12)</formula>
    </cfRule>
  </conditionalFormatting>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8</vt:i4>
      </vt:variant>
    </vt:vector>
  </HeadingPairs>
  <TitlesOfParts>
    <vt:vector size="25" baseType="lpstr">
      <vt:lpstr>Cover</vt:lpstr>
      <vt:lpstr>Assumptions</vt:lpstr>
      <vt:lpstr>AECF</vt:lpstr>
      <vt:lpstr>Extracts</vt:lpstr>
      <vt:lpstr>Financing Template</vt:lpstr>
      <vt:lpstr>Financial Overview</vt:lpstr>
      <vt:lpstr>Summary</vt:lpstr>
      <vt:lpstr>Capex Data</vt:lpstr>
      <vt:lpstr>Capex 1</vt:lpstr>
      <vt:lpstr>Capex 2</vt:lpstr>
      <vt:lpstr>Operational Costs</vt:lpstr>
      <vt:lpstr>Financial Extracts</vt:lpstr>
      <vt:lpstr>Implementation &amp; Management</vt:lpstr>
      <vt:lpstr>Supplementary Revenue Data</vt:lpstr>
      <vt:lpstr>Training Cost Data</vt:lpstr>
      <vt:lpstr>Carbon Data</vt:lpstr>
      <vt:lpstr>Readiness Funds</vt:lpstr>
      <vt:lpstr>Assumptions!Print_Area</vt:lpstr>
      <vt:lpstr>Extracts!Print_Area</vt:lpstr>
      <vt:lpstr>'Financial Extracts'!Print_Area</vt:lpstr>
      <vt:lpstr>'Financial Overview'!Print_Area</vt:lpstr>
      <vt:lpstr>Assumptions!Print_Titles</vt:lpstr>
      <vt:lpstr>Extracts!Print_Titles</vt:lpstr>
      <vt:lpstr>'Financial Overview'!Print_Titles</vt:lpstr>
      <vt:lpstr>'Financing Template'!Print_Titles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Lyon</dc:creator>
  <cp:lastModifiedBy>Alastair Woods</cp:lastModifiedBy>
  <cp:lastPrinted>2016-11-16T18:12:53Z</cp:lastPrinted>
  <dcterms:created xsi:type="dcterms:W3CDTF">2016-04-27T09:17:26Z</dcterms:created>
  <dcterms:modified xsi:type="dcterms:W3CDTF">2021-08-17T15:29:15Z</dcterms:modified>
</cp:coreProperties>
</file>