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<sst xmlns="http://schemas.openxmlformats.org/spreadsheetml/2006/main" count="98" uniqueCount="97">
  <si>
    <t xml:space="preserve">BENCHMARKS FOR ALL SUPPLY CHAINS?</t>
  </si>
  <si>
    <t xml:space="preserve">cTVF Analysis – what it means</t>
  </si>
  <si>
    <t xml:space="preserve">Cocoa Netherlands</t>
  </si>
  <si>
    <t xml:space="preserve">Av Balance </t>
  </si>
  <si>
    <t xml:space="preserve">Bottleneck </t>
  </si>
  <si>
    <t xml:space="preserve">Amst Grinding</t>
  </si>
  <si>
    <t xml:space="preserve">Chocolate</t>
  </si>
  <si>
    <t xml:space="preserve">Data</t>
  </si>
  <si>
    <t xml:space="preserve">Goal?</t>
  </si>
  <si>
    <t xml:space="preserve">Market%</t>
  </si>
  <si>
    <t xml:space="preserve">Phi = 1 value </t>
  </si>
  <si>
    <t xml:space="preserve">One over Phi </t>
  </si>
  <si>
    <t xml:space="preserve">Phi Difference </t>
  </si>
  <si>
    <t xml:space="preserve">Sq root 2</t>
  </si>
  <si>
    <t xml:space="preserve">Log 2 </t>
  </si>
  <si>
    <t xml:space="preserve">e financial</t>
  </si>
  <si>
    <t xml:space="preserve">Pi -operationalPi operational</t>
  </si>
  <si>
    <t xml:space="preserve">Pi operational </t>
  </si>
  <si>
    <t xml:space="preserve">high end </t>
  </si>
  <si>
    <t xml:space="preserve">Structural</t>
  </si>
  <si>
    <t xml:space="preserve">Growth </t>
  </si>
  <si>
    <t xml:space="preserve">CHOCOLATE</t>
  </si>
  <si>
    <t xml:space="preserve">?</t>
  </si>
  <si>
    <t xml:space="preserve">H High</t>
  </si>
  <si>
    <t xml:space="preserve">Tony's Chocolonely </t>
  </si>
  <si>
    <t xml:space="preserve">Q Why is the Phase Balance Pi not Phi?</t>
  </si>
  <si>
    <t xml:space="preserve">Metirc</t>
  </si>
  <si>
    <t xml:space="preserve">A?  Because  this is where new information is injected through the pi over four constant</t>
  </si>
  <si>
    <t xml:space="preserve">What are the upper and lower limits of the other constants to understand the figures, how do they relate to their convergence values and what does it mean</t>
  </si>
  <si>
    <t xml:space="preserve">Don’t sumarise H to High, it’s not necessary.</t>
  </si>
  <si>
    <t xml:space="preserve">SN Growth Value transformation capture. CBE manufacturing adds a new value layer. IOI single-actor concentration limits competitive upward pressure on this axis. </t>
  </si>
  <si>
    <t xml:space="preserve">SN Financial coupling. Stronger than global (58.3): EUDR compliance premium and Dutch Cocoa Agreement SLB structure create traceable financial signals. </t>
  </si>
  <si>
    <t xml:space="preserve">Phase Balance analysis is for pi over 4 expalin this and why</t>
  </si>
  <si>
    <t xml:space="preserve">PHASE BALANCE ANALYSIS STILL HAS A SUSTAINABILITY RATING THIS MEANS NOTHING TO ME TAKE IT OUT OF ALL ANALYSES The only sustainability scoring are related to Phi Coherent, Broken </t>
  </si>
  <si>
    <r>
      <rPr>
        <sz val="10"/>
        <rFont val="Times New Roman"/>
        <family val="1"/>
      </rPr>
      <t xml:space="preserve">here </t>
    </r>
    <r>
      <rPr>
        <sz val="10"/>
        <color rgb="FF0000FF"/>
        <rFont val="Times New Roman"/>
        <family val="1"/>
      </rPr>
      <t xml:space="preserve">https://tvf.tholonia.com/frontend/project/cocoa_netherlands/supply_chain/dashboard.html</t>
    </r>
  </si>
  <si>
    <t xml:space="preserve">SN e is financial for chocolate and trade for olive oil</t>
  </si>
  <si>
    <t xml:space="preserve">Tony Chocoloney independent benchmark. What is the potential market  % of high end chocolate for 1. Living Wage 2. High end quality</t>
  </si>
  <si>
    <t xml:space="preserve">Olive Oil Andalucia</t>
  </si>
  <si>
    <t xml:space="preserve">OLIVE OIL</t>
  </si>
  <si>
    <t xml:space="preserve">https://tvf.tholonia.com/frontend/project/olive_oil/supply_chain/recycling_analysis.html</t>
  </si>
  <si>
    <t xml:space="preserve">Thats not what the TVCPI does in full - use the definition on the front of the TVA website. Recycling/Added value from waste products is only part of wht the TVCPI is designed for e.g. living wage.</t>
  </si>
  <si>
    <t xml:space="preserve">Explain holon and B Chain  What is impact on R -P </t>
  </si>
  <si>
    <t xml:space="preserve">MUST HAVE CLIMATE FACTORS AS BOTTLENECK AT PRODUCTION,  droughts vs reduction in harvest, </t>
  </si>
  <si>
    <t xml:space="preserve">INCLUDE BENCHMARK HIGH END e.g. Las Valdesas Adalucia  (Sarah ordered an came direct from bodega in 10 days only packaged in Cardboard) and  </t>
  </si>
  <si>
    <t xml:space="preserve">https://www.aceitedelasvaldesas.com/?srsltid=AfmBOopxWJ91itjHSeG1xPKRfQgwhfry83JnjT1hptid-FibP-jDTQ6X</t>
  </si>
  <si>
    <t xml:space="preserve">Cocoa International </t>
  </si>
  <si>
    <t xml:space="preserve">COCOA INTERNATIONAL</t>
  </si>
  <si>
    <t xml:space="preserve">https://tvf.tholonia.com/frontend/project/cocoa_international/supply_chain/recycling_analysis.html</t>
  </si>
  <si>
    <t xml:space="preserve">TVPCI Primary Chain Forward supply chain: farm to retail. Balance 89.2%. Constraint dimension: institutional, regulatory, and custody gaps. </t>
  </si>
  <si>
    <t xml:space="preserve">The e-layer score of 58.3 (failure zone, threshold 61.8) indicates that financial instruments and market pricing mechanisms are only weakly coupled to the underlying supply chain performance in cocoa. Sustainability certifications trade</t>
  </si>
  <si>
    <t xml:space="preserve">SHEA</t>
  </si>
  <si>
    <t xml:space="preserve">IMPROVE COMMUNICATION OF: Reading this chart: This chart plots the balance score per phase on a 0–100% axis. The two coloured rings mark the φ-derived structural thresholds: 61.8% (φ⁻¹, the sustainability floor, D:C = φ) and 38.2% (1−φ⁻¹, the breakdown threshold, D:C = φ²). Above 61.8% is coherent; between 38.2% and 61.8% is failure; below 38.2% is breakdown. </t>
  </si>
  <si>
    <t xml:space="preserve">Balance SummaryChain avg: 81.9%Highest: 92.5% (Ph 3)Lowest: 64.0% (Ph 4)PHI Zone Key</t>
  </si>
  <si>
    <t xml:space="preserve">Zone</t>
  </si>
  <si>
    <t xml:space="preserve">Balance</t>
  </si>
  <si>
    <t xml:space="preserve">D/C</t>
  </si>
  <si>
    <t xml:space="preserve">This needs to be better explained. Can we check the maths of phi relative to percent points?</t>
  </si>
  <si>
    <t xml:space="preserve">C Coherent (7)</t>
  </si>
  <si>
    <t xml:space="preserve">≥ 61.8%</t>
  </si>
  <si>
    <t xml:space="preserve">D:C &lt; φ (1.618)</t>
  </si>
  <si>
    <t xml:space="preserve">E.g. Coherent, the greater the percentage above  61.8 the closer to  perfect D,C Balance </t>
  </si>
  <si>
    <t xml:space="preserve">Sistainability Floor</t>
  </si>
  <si>
    <t xml:space="preserve">F Failure (0)</t>
  </si>
  <si>
    <t xml:space="preserve">38.2–61.8%</t>
  </si>
  <si>
    <t xml:space="preserve">D:C φ to φ²</t>
  </si>
  <si>
    <t xml:space="preserve">Over constrained</t>
  </si>
  <si>
    <t xml:space="preserve">B Breakdown (0)</t>
  </si>
  <si>
    <t xml:space="preserve">&lt; 38.2%</t>
  </si>
  <si>
    <t xml:space="preserve">D:C &gt; φ² (2.618)</t>
  </si>
  <si>
    <t xml:space="preserve">Limitations Breakdown</t>
  </si>
  <si>
    <t xml:space="preserve">Polygon edge color follows each phase's zone. Rings mark PHI thresholds. </t>
  </si>
  <si>
    <t xml:space="preserve">SO between 0.618 and 1.618 is effectively a scale of 1.618-0.618 i.e. 1 or  Phi – 1/ Phi and between  0.382 and 0.618 is D;C phi to square of phi. Are we saying these systems are over  constrained?</t>
  </si>
  <si>
    <t xml:space="preserve">Can we work toward questioning these points for more clarification as an example:</t>
  </si>
  <si>
    <t xml:space="preserve">φ (Proportional 53.6): Moderate proportional stress. One or more phase transitions are disproportionate — value is not escalating naturally between phases. Look for boundary points where margins collapse or surge.</t>
  </si>
  <si>
    <t xml:space="preserve">√2 (Structural 38.1): Significant structural asymmetry. Transfer phases are functioning as extraction points rather than neutral boundaries. The overhead far exceeds the natural √2 cost of crossing a balanced boundary.</t>
  </si>
  <si>
    <t xml:space="preserve">ln(2) (Growth 39.4): Significant conduit capture. Processing and transformation phases have been converted from growth engines into rent-extraction bottlenecks. Each artificial constraint damps the natural doubling dynamic.</t>
  </si>
  <si>
    <t xml:space="preserve">e (Abstract 54.0): Moderate decoupling between abstract claims and physical holdings. Some financial instruments or certifications are outrunning the physical chain — monitor for rehypothecation or certification gap widening.</t>
  </si>
  <si>
    <t xml:space="preserve">Primary risk: The gap between the strongest axis (Operational, 81.6) and the weakest measured axis (Structural, 38.1) defines the chain's key vulnerability. Improvements to Structural will have the highest system-wide impact.</t>
  </si>
  <si>
    <t xml:space="preserve">GOLD</t>
  </si>
  <si>
    <t xml:space="preserve">SN Choose a layer: the Supply Chain models physical flow, custody, and constraints across 9 phases (Phase 0 → 8). The System Lifecycle models the physical maintenance, assurance, closure, and recycling loop. The Value Chain models costs, margins, and value-layer N-D-C — kept strictly separate from the physical layer. </t>
  </si>
  <si>
    <t xml:space="preserve">Chain-level D</t>
  </si>
  <si>
    <t xml:space="preserve">TVPCI</t>
  </si>
  <si>
    <t xml:space="preserve">Primary custody chain</t>
  </si>
  <si>
    <t xml:space="preserve">The bounding, defining forward structure. What was extracted, claimed, and commercialised.</t>
  </si>
  <si>
    <t xml:space="preserve">THIS IS NOT WHAT THE TVPCI is in full and confusing. See definition on front page of website. </t>
  </si>
  <si>
    <t xml:space="preserve">Again referes to Holon structure without explaining</t>
  </si>
  <si>
    <t xml:space="preserve">WHAT DO THE ADI and True Value % margins mean in the Financial Report e.g the True Value margin goes down with increased C price</t>
  </si>
  <si>
    <t xml:space="preserve">SN </t>
  </si>
  <si>
    <t xml:space="preserve">π (Operational 82.5): Phase-level D–C balance is strong. Operational constraints and integration capacity are well matched — phases are not over-constrained or under-integrated.</t>
  </si>
  <si>
    <t xml:space="preserve">φ (Proportional 49.5): Moderate proportional stress. One or more phase transitions are disproportionate — value is not escalating naturally between phases. Look for boundary points where margins collapse or surge.</t>
  </si>
  <si>
    <t xml:space="preserve">√2 (Structural 72.1): Custody-transfer and logistics phases are largely symmetric — what enters a transfer phase exits in equivalent form. Overhead is near the natural √2 minimum.</t>
  </si>
  <si>
    <t xml:space="preserve">ln(2) (Growth 40.4): Growth is partially constrained. Transformation phases are not doubling value at the natural rate — artificial barriers (cost, certification, buyer power) are dampening the oscillatory convergence.</t>
  </si>
  <si>
    <t xml:space="preserve">e (Abstract 37.0): Severe abstract decoupling. Paper claims significantly exceed what the physical chain supports. This is the most dangerous failure mode: the financial architecture appears healthy while the physical foundation erodes underneath it.</t>
  </si>
  <si>
    <t xml:space="preserve">PHOTOSYNTHESIS</t>
  </si>
  <si>
    <t xml:space="preserve">Each vertex represents a Tholonic model derived from a mathematical constant. The outer zone (70–100%) is coherent; the middle zone (40–70%) is stressed; the inner zone (&lt;40%) indicates systemic failure in that dimension. Note: the e (Abstract) axis is unmeasured (score 0) because photosynthesis has no financial abstraction layer. A score of 0 means unmeasured, not failed. </t>
  </si>
  <si>
    <t xml:space="preserve">This still has a 40%, 70% zoning, doesn’t it need  61.8etc </t>
  </si>
  <si>
    <t xml:space="preserve">Same with AUBEB, </t>
  </si>
</sst>
</file>

<file path=xl/styles.xml><?xml version="1.0" encoding="utf-8"?>
<styleSheet xmlns="http://schemas.openxmlformats.org/spreadsheetml/2006/main">
  <numFmts count="1">
    <numFmt numFmtId="164" formatCode="General"/>
  </numFmts>
  <fonts count="7">
    <font>
      <sz val="10"/>
      <name val="Arial"/>
      <family val="2"/>
    </font>
    <font>
      <sz val="10"/>
      <name val="Arial"/>
      <family val="0"/>
    </font>
    <font>
      <sz val="10"/>
      <name val="Arial"/>
      <family val="0"/>
    </font>
    <font>
      <sz val="10"/>
      <name val="Arial"/>
      <family val="0"/>
    </font>
    <font>
      <sz val="10"/>
      <name val="Times New Roman"/>
      <family val="1"/>
    </font>
    <font>
      <sz val="10"/>
      <color rgb="FF0000FF"/>
      <name val="Times New Roman"/>
      <family val="1"/>
    </font>
    <font>
      <b val="true"/>
      <sz val="10"/>
      <name val="Times New Roman"/>
      <family val="1"/>
    </font>
  </fonts>
  <fills count="4">
    <fill>
      <patternFill patternType="none"/>
    </fill>
    <fill>
      <patternFill patternType="gray125"/>
    </fill>
    <fill>
      <patternFill patternType="solid">
        <fgColor rgb="FFCCCCCC"/>
        <bgColor rgb="FFCCCCFF"/>
      </patternFill>
    </fill>
    <fill>
      <patternFill patternType="solid">
        <fgColor rgb="FFB2B2B2"/>
        <bgColor rgb="FFCC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2B2B2"/>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tvf.tholonia.com/frontend/project/cocoa_netherlands/supply_chain/dashboard.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75"/>
  <sheetViews>
    <sheetView showFormulas="false" showGridLines="true" showRowColHeaders="true" showZeros="true" rightToLeft="false" tabSelected="true" showOutlineSymbols="true" defaultGridColor="true" view="normal" topLeftCell="N1" colorId="64" zoomScale="100" zoomScaleNormal="100" zoomScalePageLayoutView="100" workbookViewId="0">
      <selection pane="topLeft" activeCell="Q22" activeCellId="0" sqref="Q22"/>
    </sheetView>
  </sheetViews>
  <sheetFormatPr defaultColWidth="11.53515625" defaultRowHeight="12.8" zeroHeight="false" outlineLevelRow="0" outlineLevelCol="0"/>
  <cols>
    <col collapsed="false" customWidth="false" hidden="false" outlineLevel="0" max="10" min="10" style="1" width="11.53"/>
  </cols>
  <sheetData>
    <row r="1" customFormat="false" ht="12.8" hidden="false" customHeight="false" outlineLevel="0" collapsed="false">
      <c r="Q1" s="0" t="s">
        <v>0</v>
      </c>
    </row>
    <row r="3" customFormat="false" ht="12.8" hidden="false" customHeight="false" outlineLevel="0" collapsed="false">
      <c r="B3" s="0" t="s">
        <v>1</v>
      </c>
    </row>
    <row r="5" customFormat="false" ht="12.8" hidden="false" customHeight="false" outlineLevel="0" collapsed="false">
      <c r="A5" s="1"/>
      <c r="B5" s="1" t="s">
        <v>2</v>
      </c>
      <c r="C5" s="1"/>
      <c r="D5" s="1"/>
      <c r="E5" s="1"/>
      <c r="F5" s="1"/>
      <c r="G5" s="1"/>
      <c r="H5" s="1"/>
      <c r="I5" s="1"/>
      <c r="K5" s="1"/>
      <c r="L5" s="1"/>
      <c r="M5" s="1"/>
      <c r="N5" s="1"/>
      <c r="O5" s="1"/>
      <c r="P5" s="1"/>
      <c r="Q5" s="1"/>
      <c r="R5" s="1"/>
      <c r="S5" s="1"/>
      <c r="T5" s="1"/>
      <c r="U5" s="1"/>
      <c r="V5" s="1"/>
      <c r="W5" s="1"/>
      <c r="X5" s="1"/>
      <c r="Y5" s="1"/>
      <c r="Z5" s="1"/>
      <c r="AA5" s="1"/>
      <c r="AB5" s="1"/>
      <c r="AC5" s="1"/>
      <c r="AD5" s="1"/>
      <c r="AE5" s="1"/>
      <c r="AF5" s="1"/>
    </row>
    <row r="6" customFormat="false" ht="12.8" hidden="false" customHeight="false" outlineLevel="0" collapsed="false">
      <c r="B6" s="0" t="s">
        <v>3</v>
      </c>
      <c r="C6" s="0" t="s">
        <v>4</v>
      </c>
      <c r="E6" s="0" t="s">
        <v>5</v>
      </c>
      <c r="F6" s="0" t="s">
        <v>6</v>
      </c>
      <c r="G6" s="0" t="s">
        <v>7</v>
      </c>
      <c r="H6" s="0" t="s">
        <v>8</v>
      </c>
      <c r="I6" s="0" t="s">
        <v>9</v>
      </c>
      <c r="J6" s="1" t="s">
        <v>10</v>
      </c>
      <c r="K6" s="0" t="s">
        <v>11</v>
      </c>
      <c r="L6" s="0" t="s">
        <v>12</v>
      </c>
      <c r="M6" s="0" t="s">
        <v>13</v>
      </c>
      <c r="N6" s="0" t="s">
        <v>14</v>
      </c>
      <c r="O6" s="0" t="s">
        <v>15</v>
      </c>
    </row>
    <row r="7" customFormat="false" ht="12.8" hidden="false" customHeight="false" outlineLevel="0" collapsed="false">
      <c r="B7" s="0" t="s">
        <v>16</v>
      </c>
      <c r="C7" s="0" t="s">
        <v>17</v>
      </c>
      <c r="I7" s="0" t="s">
        <v>18</v>
      </c>
      <c r="M7" s="0" t="s">
        <v>19</v>
      </c>
      <c r="N7" s="0" t="s">
        <v>20</v>
      </c>
      <c r="Q7" s="0" t="s">
        <v>21</v>
      </c>
    </row>
    <row r="8" customFormat="false" ht="12.8" hidden="false" customHeight="false" outlineLevel="0" collapsed="false">
      <c r="B8" s="0" t="n">
        <v>90.1</v>
      </c>
      <c r="C8" s="0" t="n">
        <v>80.1</v>
      </c>
      <c r="E8" s="0" t="n">
        <v>600</v>
      </c>
      <c r="F8" s="0" t="s">
        <v>22</v>
      </c>
      <c r="G8" s="0" t="s">
        <v>23</v>
      </c>
      <c r="H8" s="2" t="s">
        <v>24</v>
      </c>
      <c r="I8" s="2"/>
      <c r="J8" s="1" t="n">
        <v>78.2</v>
      </c>
      <c r="K8" s="0" t="n">
        <v>61.8</v>
      </c>
      <c r="L8" s="0" t="n">
        <f aca="false">J8-K8</f>
        <v>16.4</v>
      </c>
      <c r="M8" s="3" t="n">
        <v>86.5</v>
      </c>
      <c r="N8" s="3" t="n">
        <v>75.4</v>
      </c>
      <c r="O8" s="0" t="n">
        <v>64.2</v>
      </c>
      <c r="Q8" s="0" t="s">
        <v>25</v>
      </c>
    </row>
    <row r="9" customFormat="false" ht="12.8" hidden="false" customHeight="false" outlineLevel="0" collapsed="false">
      <c r="A9" s="0" t="s">
        <v>26</v>
      </c>
      <c r="Q9" s="0" t="s">
        <v>27</v>
      </c>
    </row>
    <row r="10" customFormat="false" ht="12.8" hidden="false" customHeight="false" outlineLevel="0" collapsed="false">
      <c r="Q10" s="0" t="s">
        <v>28</v>
      </c>
    </row>
    <row r="11" customFormat="false" ht="12.8" hidden="false" customHeight="false" outlineLevel="0" collapsed="false">
      <c r="Q11" s="0" t="s">
        <v>29</v>
      </c>
    </row>
    <row r="12" customFormat="false" ht="12.8" hidden="false" customHeight="false" outlineLevel="0" collapsed="false">
      <c r="Q12" s="2" t="s">
        <v>30</v>
      </c>
    </row>
    <row r="13" customFormat="false" ht="12.8" hidden="false" customHeight="false" outlineLevel="0" collapsed="false">
      <c r="Q13" s="2" t="s">
        <v>31</v>
      </c>
    </row>
    <row r="14" customFormat="false" ht="12.8" hidden="false" customHeight="false" outlineLevel="0" collapsed="false">
      <c r="Q14" s="2" t="s">
        <v>32</v>
      </c>
    </row>
    <row r="15" customFormat="false" ht="12.8" hidden="false" customHeight="false" outlineLevel="0" collapsed="false">
      <c r="Q15" s="2"/>
    </row>
    <row r="16" customFormat="false" ht="12.8" hidden="false" customHeight="false" outlineLevel="0" collapsed="false">
      <c r="Q16" s="2" t="s">
        <v>33</v>
      </c>
    </row>
    <row r="17" customFormat="false" ht="12.8" hidden="false" customHeight="false" outlineLevel="0" collapsed="false">
      <c r="Q17" s="2" t="s">
        <v>34</v>
      </c>
    </row>
    <row r="18" customFormat="false" ht="12.8" hidden="false" customHeight="false" outlineLevel="0" collapsed="false">
      <c r="Q18" s="2" t="s">
        <v>35</v>
      </c>
    </row>
    <row r="19" customFormat="false" ht="12.8" hidden="false" customHeight="false" outlineLevel="0" collapsed="false">
      <c r="Q19" s="0" t="s">
        <v>36</v>
      </c>
    </row>
    <row r="20" customFormat="false" ht="12.8" hidden="false" customHeight="false" outlineLevel="0" collapsed="false">
      <c r="A20" s="4"/>
      <c r="B20" s="4" t="s">
        <v>37</v>
      </c>
      <c r="C20" s="4"/>
      <c r="D20" s="4"/>
      <c r="E20" s="4"/>
      <c r="F20" s="4"/>
      <c r="G20" s="4"/>
      <c r="H20" s="4"/>
      <c r="I20" s="4"/>
      <c r="K20" s="4"/>
      <c r="L20" s="4"/>
      <c r="M20" s="4"/>
      <c r="N20" s="4"/>
      <c r="O20" s="4"/>
      <c r="P20" s="4"/>
      <c r="Q20" s="4" t="s">
        <v>38</v>
      </c>
      <c r="R20" s="4"/>
      <c r="S20" s="4"/>
      <c r="T20" s="4"/>
      <c r="U20" s="4"/>
      <c r="V20" s="4"/>
      <c r="W20" s="4"/>
      <c r="X20" s="4"/>
      <c r="Y20" s="4"/>
      <c r="Z20" s="4"/>
      <c r="AA20" s="4"/>
      <c r="AB20" s="4"/>
      <c r="AC20" s="4"/>
      <c r="AD20" s="4"/>
      <c r="AE20" s="4"/>
      <c r="AF20" s="4"/>
    </row>
    <row r="21" customFormat="false" ht="12.8" hidden="false" customHeight="false" outlineLevel="0" collapsed="false">
      <c r="B21" s="0" t="n">
        <v>89.1</v>
      </c>
      <c r="J21" s="1" t="n">
        <v>74.5</v>
      </c>
      <c r="K21" s="0" t="n">
        <v>61.8</v>
      </c>
      <c r="L21" s="0" t="n">
        <f aca="false">J21-K21</f>
        <v>12.7</v>
      </c>
      <c r="M21" s="0" t="n">
        <v>82</v>
      </c>
      <c r="N21" s="0" t="n">
        <v>71.5</v>
      </c>
      <c r="O21" s="0" t="n">
        <v>62</v>
      </c>
      <c r="Q21" s="0" t="s">
        <v>39</v>
      </c>
    </row>
    <row r="22" customFormat="false" ht="12.8" hidden="false" customHeight="false" outlineLevel="0" collapsed="false">
      <c r="Q22" s="0" t="s">
        <v>40</v>
      </c>
    </row>
    <row r="23" customFormat="false" ht="12.8" hidden="false" customHeight="false" outlineLevel="0" collapsed="false">
      <c r="Q23" s="0" t="s">
        <v>41</v>
      </c>
    </row>
    <row r="24" customFormat="false" ht="12.8" hidden="false" customHeight="false" outlineLevel="0" collapsed="false">
      <c r="Q24" s="2" t="s">
        <v>42</v>
      </c>
    </row>
    <row r="25" customFormat="false" ht="12.8" hidden="false" customHeight="false" outlineLevel="0" collapsed="false">
      <c r="Q25" s="3" t="s">
        <v>43</v>
      </c>
    </row>
    <row r="26" customFormat="false" ht="12.8" hidden="false" customHeight="false" outlineLevel="0" collapsed="false">
      <c r="Q26" s="3" t="s">
        <v>44</v>
      </c>
    </row>
    <row r="27" customFormat="false" ht="12.8" hidden="false" customHeight="false" outlineLevel="0" collapsed="false">
      <c r="A27" s="4"/>
      <c r="B27" s="4" t="s">
        <v>45</v>
      </c>
      <c r="C27" s="4"/>
      <c r="D27" s="4"/>
      <c r="E27" s="4"/>
      <c r="F27" s="4"/>
      <c r="G27" s="4"/>
      <c r="H27" s="4"/>
      <c r="I27" s="4"/>
      <c r="K27" s="4"/>
      <c r="L27" s="4"/>
      <c r="M27" s="4"/>
      <c r="N27" s="4"/>
      <c r="O27" s="4"/>
      <c r="P27" s="4"/>
      <c r="Q27" s="5" t="s">
        <v>46</v>
      </c>
      <c r="R27" s="4"/>
      <c r="S27" s="4"/>
      <c r="T27" s="4"/>
      <c r="U27" s="4"/>
      <c r="V27" s="4"/>
      <c r="W27" s="4"/>
      <c r="X27" s="4"/>
      <c r="Y27" s="4"/>
      <c r="Z27" s="4"/>
      <c r="AA27" s="4"/>
      <c r="AB27" s="4"/>
      <c r="AC27" s="4"/>
      <c r="AD27" s="4"/>
      <c r="AE27" s="4"/>
      <c r="AF27" s="4"/>
    </row>
    <row r="28" customFormat="false" ht="12.8" hidden="false" customHeight="false" outlineLevel="0" collapsed="false">
      <c r="B28" s="0" t="n">
        <v>89.2</v>
      </c>
      <c r="J28" s="1" t="n">
        <v>72.8</v>
      </c>
      <c r="K28" s="0" t="n">
        <v>61.8</v>
      </c>
      <c r="L28" s="0" t="n">
        <f aca="false">J28-K28</f>
        <v>11</v>
      </c>
      <c r="M28" s="0" t="n">
        <v>81.4</v>
      </c>
      <c r="N28" s="0" t="n">
        <v>58.5</v>
      </c>
      <c r="O28" s="0" t="n">
        <v>58.3</v>
      </c>
      <c r="Q28" s="6" t="s">
        <v>47</v>
      </c>
    </row>
    <row r="29" customFormat="false" ht="12.8" hidden="false" customHeight="false" outlineLevel="0" collapsed="false">
      <c r="Q29" s="2" t="s">
        <v>48</v>
      </c>
    </row>
    <row r="30" customFormat="false" ht="12.8" hidden="false" customHeight="false" outlineLevel="0" collapsed="false">
      <c r="Q30" s="2" t="s">
        <v>49</v>
      </c>
    </row>
    <row r="31" s="1" customFormat="true" ht="12.8" hidden="false" customHeight="false" outlineLevel="0" collapsed="false">
      <c r="B31" s="1" t="s">
        <v>50</v>
      </c>
      <c r="Q31" s="1" t="s">
        <v>50</v>
      </c>
    </row>
    <row r="32" customFormat="false" ht="12.8" hidden="false" customHeight="false" outlineLevel="0" collapsed="false">
      <c r="B32" s="0" t="n">
        <v>81.6</v>
      </c>
      <c r="J32" s="1" t="n">
        <v>53.6</v>
      </c>
      <c r="K32" s="0" t="n">
        <v>61.8</v>
      </c>
      <c r="L32" s="0" t="n">
        <f aca="false">J32-K32</f>
        <v>-8.2</v>
      </c>
      <c r="M32" s="0" t="n">
        <v>38.1</v>
      </c>
      <c r="N32" s="0" t="n">
        <v>39.4</v>
      </c>
      <c r="O32" s="0" t="n">
        <v>54</v>
      </c>
      <c r="Q32" s="0" t="s">
        <v>51</v>
      </c>
    </row>
    <row r="33" customFormat="false" ht="35.5" hidden="false" customHeight="true" outlineLevel="0" collapsed="false">
      <c r="Q33" s="7" t="s">
        <v>52</v>
      </c>
      <c r="R33" s="7"/>
      <c r="S33" s="7"/>
    </row>
    <row r="34" customFormat="false" ht="12.8" hidden="false" customHeight="false" outlineLevel="0" collapsed="false">
      <c r="Q34" s="8" t="s">
        <v>53</v>
      </c>
      <c r="R34" s="8" t="s">
        <v>54</v>
      </c>
      <c r="S34" s="8" t="s">
        <v>55</v>
      </c>
      <c r="T34" s="0" t="s">
        <v>56</v>
      </c>
    </row>
    <row r="35" customFormat="false" ht="24.05" hidden="false" customHeight="false" outlineLevel="0" collapsed="false">
      <c r="Q35" s="9" t="s">
        <v>57</v>
      </c>
      <c r="R35" s="7" t="s">
        <v>58</v>
      </c>
      <c r="S35" s="7" t="s">
        <v>59</v>
      </c>
      <c r="T35" s="0" t="s">
        <v>60</v>
      </c>
      <c r="Z35" s="0" t="s">
        <v>61</v>
      </c>
    </row>
    <row r="36" customFormat="false" ht="12.8" hidden="false" customHeight="false" outlineLevel="0" collapsed="false">
      <c r="Q36" s="9" t="s">
        <v>62</v>
      </c>
      <c r="R36" s="7" t="s">
        <v>63</v>
      </c>
      <c r="S36" s="7" t="s">
        <v>64</v>
      </c>
      <c r="T36" s="0" t="s">
        <v>65</v>
      </c>
    </row>
    <row r="37" customFormat="false" ht="24.05" hidden="false" customHeight="false" outlineLevel="0" collapsed="false">
      <c r="Q37" s="9" t="s">
        <v>66</v>
      </c>
      <c r="R37" s="7" t="s">
        <v>67</v>
      </c>
      <c r="S37" s="7" t="s">
        <v>68</v>
      </c>
      <c r="T37" s="0" t="s">
        <v>69</v>
      </c>
    </row>
    <row r="38" customFormat="false" ht="24.05" hidden="false" customHeight="true" outlineLevel="0" collapsed="false">
      <c r="Q38" s="7" t="s">
        <v>70</v>
      </c>
      <c r="R38" s="7"/>
      <c r="S38" s="7"/>
    </row>
    <row r="39" customFormat="false" ht="12.8" hidden="false" customHeight="false" outlineLevel="0" collapsed="false">
      <c r="Q39" s="0" t="s">
        <v>71</v>
      </c>
    </row>
    <row r="40" customFormat="false" ht="12.8" hidden="false" customHeight="false" outlineLevel="0" collapsed="false">
      <c r="Q40" s="0" t="s">
        <v>72</v>
      </c>
    </row>
    <row r="41" customFormat="false" ht="12.8" hidden="false" customHeight="false" outlineLevel="0" collapsed="false">
      <c r="Q41" s="0" t="s">
        <v>73</v>
      </c>
    </row>
    <row r="43" customFormat="false" ht="12.8" hidden="false" customHeight="false" outlineLevel="0" collapsed="false">
      <c r="Q43" s="0" t="s">
        <v>74</v>
      </c>
    </row>
    <row r="45" customFormat="false" ht="12.8" hidden="false" customHeight="false" outlineLevel="0" collapsed="false">
      <c r="Q45" s="0" t="s">
        <v>75</v>
      </c>
    </row>
    <row r="47" customFormat="false" ht="12.8" hidden="false" customHeight="false" outlineLevel="0" collapsed="false">
      <c r="Q47" s="0" t="s">
        <v>76</v>
      </c>
    </row>
    <row r="49" customFormat="false" ht="12.8" hidden="false" customHeight="false" outlineLevel="0" collapsed="false">
      <c r="Q49" s="0" t="s">
        <v>77</v>
      </c>
    </row>
    <row r="52" s="1" customFormat="true" ht="12.8" hidden="false" customHeight="false" outlineLevel="0" collapsed="false">
      <c r="B52" s="1" t="s">
        <v>78</v>
      </c>
    </row>
    <row r="53" customFormat="false" ht="12.8" hidden="false" customHeight="false" outlineLevel="0" collapsed="false">
      <c r="J53" s="1" t="n">
        <v>49.5</v>
      </c>
      <c r="K53" s="0" t="n">
        <v>61.8</v>
      </c>
      <c r="L53" s="0" t="n">
        <f aca="false">J53-K53</f>
        <v>-12.3</v>
      </c>
      <c r="M53" s="0" t="n">
        <v>72.1</v>
      </c>
      <c r="N53" s="0" t="n">
        <v>40.4</v>
      </c>
      <c r="O53" s="0" t="n">
        <v>37</v>
      </c>
      <c r="Q53" s="0" t="s">
        <v>79</v>
      </c>
    </row>
    <row r="54" customFormat="false" ht="12.8" hidden="false" customHeight="false" outlineLevel="0" collapsed="false">
      <c r="Q54" s="0" t="s">
        <v>80</v>
      </c>
    </row>
    <row r="55" customFormat="false" ht="12.8" hidden="false" customHeight="false" outlineLevel="0" collapsed="false">
      <c r="Q55" s="0" t="s">
        <v>81</v>
      </c>
    </row>
    <row r="56" customFormat="false" ht="12.8" hidden="false" customHeight="false" outlineLevel="0" collapsed="false">
      <c r="Q56" s="0" t="s">
        <v>82</v>
      </c>
    </row>
    <row r="57" customFormat="false" ht="12.8" hidden="false" customHeight="false" outlineLevel="0" collapsed="false">
      <c r="Q57" s="0" t="s">
        <v>83</v>
      </c>
    </row>
    <row r="58" customFormat="false" ht="12.8" hidden="false" customHeight="false" outlineLevel="0" collapsed="false">
      <c r="Q58" s="0" t="s">
        <v>84</v>
      </c>
    </row>
    <row r="59" customFormat="false" ht="12.8" hidden="false" customHeight="false" outlineLevel="0" collapsed="false">
      <c r="Q59" s="0" t="s">
        <v>85</v>
      </c>
    </row>
    <row r="60" customFormat="false" ht="12.8" hidden="false" customHeight="false" outlineLevel="0" collapsed="false">
      <c r="Q60" s="0" t="s">
        <v>86</v>
      </c>
    </row>
    <row r="61" customFormat="false" ht="12.8" hidden="false" customHeight="false" outlineLevel="0" collapsed="false">
      <c r="Q61" s="0" t="s">
        <v>87</v>
      </c>
    </row>
    <row r="62" customFormat="false" ht="12.8" hidden="false" customHeight="false" outlineLevel="0" collapsed="false">
      <c r="Q62" s="0" t="s">
        <v>88</v>
      </c>
    </row>
    <row r="64" customFormat="false" ht="12.8" hidden="false" customHeight="false" outlineLevel="0" collapsed="false">
      <c r="Q64" s="0" t="s">
        <v>89</v>
      </c>
    </row>
    <row r="66" customFormat="false" ht="12.8" hidden="false" customHeight="false" outlineLevel="0" collapsed="false">
      <c r="Q66" s="0" t="s">
        <v>90</v>
      </c>
    </row>
    <row r="68" customFormat="false" ht="12.8" hidden="false" customHeight="false" outlineLevel="0" collapsed="false">
      <c r="Q68" s="0" t="s">
        <v>91</v>
      </c>
    </row>
    <row r="70" customFormat="false" ht="12.8" hidden="false" customHeight="false" outlineLevel="0" collapsed="false">
      <c r="Q70" s="0" t="s">
        <v>92</v>
      </c>
    </row>
    <row r="72" s="4" customFormat="true" ht="12.8" hidden="false" customHeight="false" outlineLevel="0" collapsed="false">
      <c r="B72" s="4" t="s">
        <v>93</v>
      </c>
    </row>
    <row r="73" customFormat="false" ht="12.8" hidden="false" customHeight="false" outlineLevel="0" collapsed="false">
      <c r="Q73" s="0" t="s">
        <v>94</v>
      </c>
    </row>
    <row r="74" customFormat="false" ht="12.8" hidden="false" customHeight="false" outlineLevel="0" collapsed="false">
      <c r="Q74" s="0" t="s">
        <v>95</v>
      </c>
    </row>
    <row r="75" customFormat="false" ht="12.8" hidden="false" customHeight="false" outlineLevel="0" collapsed="false">
      <c r="Q75" s="0" t="s">
        <v>96</v>
      </c>
    </row>
  </sheetData>
  <mergeCells count="2">
    <mergeCell ref="Q33:S33"/>
    <mergeCell ref="Q38:S38"/>
  </mergeCells>
  <hyperlinks>
    <hyperlink ref="Q17" r:id="rId1" display="https://tvf.tholonia.com/frontend/project/cocoa_netherlands/supply_chain/dashboard.html"/>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17</TotalTime>
  <Application>LibreOffice/24.2.2.2$Windows_X86_64 LibreOffice_project/d56cc158d8a96260b836f100ef4b4ef25d6f1a01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2026-06-04T06:20:48Z</dcterms:created>
  <dc:creator/>
  <dc:description/>
  <dc:language>en-US</dc:language>
  <cp:lastModifiedBy/>
  <dcterms:modified xsi:type="dcterms:W3CDTF">2026-06-04T12:17:04Z</dcterms:modified>
  <cp:revision>4</cp:revision>
  <dc:subject/>
  <dc:title/>
</cp:coreProperties>
</file>