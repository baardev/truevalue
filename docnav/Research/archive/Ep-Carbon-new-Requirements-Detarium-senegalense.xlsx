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Sencer\Downloads\"/>
    </mc:Choice>
  </mc:AlternateContent>
  <xr:revisionPtr revIDLastSave="0" documentId="13_ncr:1_{200799AE-10E1-496A-9150-DF624292F9EF}" xr6:coauthVersionLast="47" xr6:coauthVersionMax="47" xr10:uidLastSave="{00000000-0000-0000-0000-000000000000}"/>
  <bookViews>
    <workbookView xWindow="-120" yWindow="-120" windowWidth="29040" windowHeight="15840" firstSheet="5" activeTab="9" xr2:uid="{59B398F5-DC9A-49E0-85DB-5C1732C4FE9A}"/>
  </bookViews>
  <sheets>
    <sheet name="Overview" sheetId="3" r:id="rId1"/>
    <sheet name="Tree Stratifaction" sheetId="5" r:id="rId2"/>
    <sheet name="Shape Files Details" sheetId="9" r:id="rId3"/>
    <sheet name="Planting Density " sheetId="7" r:id="rId4"/>
    <sheet name="Detailed Plantation Plan" sheetId="6" r:id="rId5"/>
    <sheet name=" Allometric Equations" sheetId="8" r:id="rId6"/>
    <sheet name="Main Plantation Plan" sheetId="4" r:id="rId7"/>
    <sheet name="Primary Zones Plantation Plan" sheetId="1" r:id="rId8"/>
    <sheet name="Secondary Zones Plantation Plan" sheetId="2" r:id="rId9"/>
    <sheet name=" Nursery requirements&amp;Capacity" sheetId="10" r:id="rId10"/>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40" i="6" l="1"/>
  <c r="R39" i="6"/>
  <c r="R38" i="6"/>
  <c r="R37" i="6"/>
  <c r="R36" i="6"/>
  <c r="R35" i="6"/>
  <c r="R34" i="6"/>
  <c r="R33" i="6"/>
  <c r="L40" i="6"/>
  <c r="M39" i="6"/>
  <c r="M38" i="6"/>
  <c r="M37" i="6"/>
  <c r="M36" i="6"/>
  <c r="M35" i="6"/>
  <c r="M34" i="6"/>
  <c r="M33" i="6"/>
  <c r="G40" i="6"/>
  <c r="H39" i="6"/>
  <c r="H38" i="6"/>
  <c r="H37" i="6"/>
  <c r="H36" i="6"/>
  <c r="H35" i="6"/>
  <c r="H34" i="6"/>
  <c r="H33" i="6"/>
  <c r="B40" i="6"/>
  <c r="B29" i="6" s="1"/>
  <c r="C39" i="6"/>
  <c r="C38" i="6"/>
  <c r="C37" i="6"/>
  <c r="C36" i="6"/>
  <c r="C35" i="6"/>
  <c r="C34" i="6"/>
  <c r="C33" i="6"/>
  <c r="L26" i="6"/>
  <c r="M25" i="6"/>
  <c r="M24" i="6"/>
  <c r="M23" i="6"/>
  <c r="M22" i="6"/>
  <c r="M21" i="6"/>
  <c r="M20" i="6"/>
  <c r="M19" i="6"/>
  <c r="G26" i="6"/>
  <c r="H25" i="6"/>
  <c r="H24" i="6"/>
  <c r="H23" i="6"/>
  <c r="H22" i="6"/>
  <c r="H21" i="6"/>
  <c r="H20" i="6"/>
  <c r="H19" i="6"/>
  <c r="B26" i="6"/>
  <c r="C25" i="6"/>
  <c r="C24" i="6"/>
  <c r="C23" i="6"/>
  <c r="C22" i="6"/>
  <c r="C21" i="6"/>
  <c r="C20" i="6"/>
  <c r="C19" i="6"/>
  <c r="G37" i="2"/>
  <c r="F24" i="2"/>
  <c r="F25" i="2"/>
  <c r="F26" i="2"/>
  <c r="F27" i="2"/>
  <c r="F28" i="2"/>
  <c r="F29" i="2"/>
  <c r="G29" i="2" s="1"/>
  <c r="F30" i="2"/>
  <c r="G30" i="2" s="1"/>
  <c r="F31" i="2"/>
  <c r="G31" i="2" s="1"/>
  <c r="F32" i="2"/>
  <c r="F33" i="2"/>
  <c r="F34" i="2"/>
  <c r="F23" i="2"/>
  <c r="F5" i="2"/>
  <c r="F6" i="2"/>
  <c r="F7" i="2"/>
  <c r="F8" i="2"/>
  <c r="F9" i="2"/>
  <c r="G9" i="2" s="1"/>
  <c r="F10" i="2"/>
  <c r="G10" i="2" s="1"/>
  <c r="F11" i="2"/>
  <c r="G11" i="2" s="1"/>
  <c r="F12" i="2"/>
  <c r="G12" i="2" s="1"/>
  <c r="F13" i="2"/>
  <c r="F14" i="2"/>
  <c r="F15" i="2"/>
  <c r="F16" i="2"/>
  <c r="F17" i="2"/>
  <c r="G17" i="2" s="1"/>
  <c r="F18" i="2"/>
  <c r="G18" i="2" s="1"/>
  <c r="F19" i="2"/>
  <c r="G19" i="2" s="1"/>
  <c r="F20" i="2"/>
  <c r="G20" i="2" s="1"/>
  <c r="F4" i="2"/>
  <c r="G4" i="2" s="1"/>
  <c r="C6" i="6"/>
  <c r="C7" i="6"/>
  <c r="C8" i="6"/>
  <c r="C9" i="6"/>
  <c r="C10" i="6"/>
  <c r="C11" i="6"/>
  <c r="C5" i="6"/>
  <c r="B12" i="6"/>
  <c r="B1" i="6" s="1"/>
  <c r="F35" i="2"/>
  <c r="G34" i="2"/>
  <c r="G33" i="2"/>
  <c r="G32" i="2"/>
  <c r="G28" i="2"/>
  <c r="G27" i="2"/>
  <c r="G26" i="2"/>
  <c r="G25" i="2"/>
  <c r="G24" i="2"/>
  <c r="G23" i="2"/>
  <c r="G22" i="2"/>
  <c r="G21" i="2"/>
  <c r="G16" i="2"/>
  <c r="G15" i="2"/>
  <c r="G14" i="2"/>
  <c r="G13" i="2"/>
  <c r="G8" i="2"/>
  <c r="G7" i="2"/>
  <c r="G6" i="2"/>
  <c r="G5" i="2"/>
  <c r="F22" i="2"/>
  <c r="F21" i="2"/>
  <c r="M36" i="2"/>
  <c r="L36" i="2"/>
  <c r="K36" i="2"/>
  <c r="J36" i="2"/>
  <c r="I36" i="2"/>
  <c r="E36" i="2"/>
  <c r="G22" i="1"/>
  <c r="G21" i="1"/>
  <c r="M36" i="1"/>
  <c r="L36" i="1"/>
  <c r="K36" i="1"/>
  <c r="J36" i="1"/>
  <c r="I36" i="1"/>
  <c r="H36" i="1"/>
  <c r="G5" i="1"/>
  <c r="G6" i="1"/>
  <c r="G7" i="1"/>
  <c r="G8" i="1"/>
  <c r="G9" i="1"/>
  <c r="G10" i="1"/>
  <c r="G11" i="1"/>
  <c r="G12" i="1"/>
  <c r="G13" i="1"/>
  <c r="G14" i="1"/>
  <c r="G15" i="1"/>
  <c r="G16" i="1"/>
  <c r="G17" i="1"/>
  <c r="G18" i="1"/>
  <c r="G19" i="1"/>
  <c r="G20" i="1"/>
  <c r="G23" i="1"/>
  <c r="G24" i="1"/>
  <c r="G25" i="1"/>
  <c r="G26" i="1"/>
  <c r="G27" i="1"/>
  <c r="G28" i="1"/>
  <c r="G29" i="1"/>
  <c r="G30" i="1"/>
  <c r="G31" i="1"/>
  <c r="G32" i="1"/>
  <c r="G33" i="1"/>
  <c r="G34" i="1"/>
  <c r="G4" i="1"/>
  <c r="E36" i="1"/>
  <c r="B15" i="6" l="1"/>
  <c r="G36" i="2"/>
  <c r="G36" i="1"/>
  <c r="G37" i="1" s="1"/>
</calcChain>
</file>

<file path=xl/sharedStrings.xml><?xml version="1.0" encoding="utf-8"?>
<sst xmlns="http://schemas.openxmlformats.org/spreadsheetml/2006/main" count="618" uniqueCount="206">
  <si>
    <t>Plantation Site List:</t>
  </si>
  <si>
    <t>Site Name</t>
  </si>
  <si>
    <t>Primary Area (Ha)</t>
  </si>
  <si>
    <t>Secondary Area (Ha)</t>
  </si>
  <si>
    <t>PAPSEN</t>
  </si>
  <si>
    <t xml:space="preserve">Ndiakhate Saer </t>
  </si>
  <si>
    <t>Nghass</t>
  </si>
  <si>
    <t>Darou Salam</t>
  </si>
  <si>
    <t>Mbodiene Ndiaye</t>
  </si>
  <si>
    <t>Darou Gaye</t>
  </si>
  <si>
    <t>Lamsing</t>
  </si>
  <si>
    <t>Keur Abdou Ndiaye</t>
  </si>
  <si>
    <t>Batal</t>
  </si>
  <si>
    <t>Sine Macoumba</t>
  </si>
  <si>
    <t>Bousra Leye</t>
  </si>
  <si>
    <t>Sao</t>
  </si>
  <si>
    <t>Nder Nar</t>
  </si>
  <si>
    <t>Goly</t>
  </si>
  <si>
    <t>Gade Niandoul</t>
  </si>
  <si>
    <t>Tieye Tieye</t>
  </si>
  <si>
    <t>Ndiarga</t>
  </si>
  <si>
    <t>Mbalene</t>
  </si>
  <si>
    <t>Tambacounda 1</t>
  </si>
  <si>
    <t>Tambacounda 2</t>
  </si>
  <si>
    <t>Belle</t>
  </si>
  <si>
    <t>Belle Nursery Zone</t>
  </si>
  <si>
    <t>Dialiguel</t>
  </si>
  <si>
    <t>Sarre</t>
  </si>
  <si>
    <t>Bema/Gouniag</t>
  </si>
  <si>
    <t>Bakel Nursery</t>
  </si>
  <si>
    <t>Fenaye Dieri</t>
  </si>
  <si>
    <t>Fenaye Dieri 2</t>
  </si>
  <si>
    <t>Loumbol</t>
  </si>
  <si>
    <t>Eco Village Makoumbel</t>
  </si>
  <si>
    <t>GGW Senegal</t>
  </si>
  <si>
    <t>TOTAL:</t>
  </si>
  <si>
    <t>Farmers</t>
  </si>
  <si>
    <t>Fatick</t>
  </si>
  <si>
    <t>Diourbel</t>
  </si>
  <si>
    <t>Shea Plantation Zone</t>
  </si>
  <si>
    <t>Community Land/Private Land Protected by the Ministry of Environment and Forestery</t>
  </si>
  <si>
    <t>Region</t>
  </si>
  <si>
    <t>Merina Dakhar</t>
  </si>
  <si>
    <t>Niakhane-Merina Dakhar</t>
  </si>
  <si>
    <t>https://www.google.com/maps/@15.09882,-16.37121,832m/data=!3m1!1e3</t>
  </si>
  <si>
    <t>https://www.google.com/maps/@15.04139,-16.5366,832m/data=!3m1!1e3</t>
  </si>
  <si>
    <t>https://www.google.com/maps?ll=15.09967,-16.42397&amp;z=17&amp;t=h</t>
  </si>
  <si>
    <t>https://www.google.com/maps?ll=15.24256,-16.48520&amp;z=17&amp;t=h</t>
  </si>
  <si>
    <t>https://www.google.com/maps/@15.0529791,-16.6592502,996m/data=!3m1!1e3</t>
  </si>
  <si>
    <t>https://www.google.com/maps?ll=15.13735,-16.38317&amp;z=17&amp;t=h</t>
  </si>
  <si>
    <t>https://www.google.com/maps?ll=15.08526,-16.56849&amp;z=17&amp;t=h</t>
  </si>
  <si>
    <t>https://www.google.com/maps?ll=15.03035,-16.49148&amp;z=17&amp;t=h</t>
  </si>
  <si>
    <t>https://www.google.com/maps?ll=15.00749,-16.49973&amp;z=17&amp;t=h</t>
  </si>
  <si>
    <t>https://www.google.com/maps/@15.06776,-16.53669,832m/data=!3m1!1e3</t>
  </si>
  <si>
    <t>https://www.google.com/maps?ll=15.02828,-16.55555&amp;z=17&amp;t=h</t>
  </si>
  <si>
    <t>https://www.google.com/maps?ll=15.07464,-16.43188&amp;z=17&amp;t=h</t>
  </si>
  <si>
    <t>https://www.google.com/maps?ll=15.01688,-16.59937&amp;z=17&amp;t=h</t>
  </si>
  <si>
    <t>https://www.google.com/maps?ll=15.11092,-16.52030&amp;z=17&amp;t=h</t>
  </si>
  <si>
    <t>https://www.google.com/maps?ll=15.14759,-16.49452&amp;z=17&amp;t=h</t>
  </si>
  <si>
    <t>https://www.google.com/maps/@15.12681,-16.60938,831m/data=!3m1!1e3</t>
  </si>
  <si>
    <t>https://www.google.com/maps/@15.04375,-16.57028,832m/data=!3m1!1e3</t>
  </si>
  <si>
    <t>Approximate Google Maps Location</t>
  </si>
  <si>
    <t>https://www.google.com/maps/@14.35981,-16.42674,6675m/data=!3m1!1e3</t>
  </si>
  <si>
    <t>https://www.google.com/maps/@14.6938,-16.24681,6665m/data=!3m1!1e3</t>
  </si>
  <si>
    <t>https://www.google.com/maps/@12.5683761,-12.2140105,10298m/data=!3m1!1e3</t>
  </si>
  <si>
    <t>Kedougou</t>
  </si>
  <si>
    <t>THIES</t>
  </si>
  <si>
    <t>Location</t>
  </si>
  <si>
    <t>https://www.google.com/maps/@13.80923,-13.58691,836m/data=!3m1!1e3</t>
  </si>
  <si>
    <t>Koussanar</t>
  </si>
  <si>
    <t>https://www.google.com/maps/@13.79847,-13.92024,836m/data=!3m1!1e3</t>
  </si>
  <si>
    <t>Tambacounda</t>
  </si>
  <si>
    <t>https://www.google.com/maps?ll=14.41221,-12.22018&amp;z=17&amp;t=h</t>
  </si>
  <si>
    <t>https://www.google.com/maps/@14.41537,-12.29177,417m/data=!3m1!1e3</t>
  </si>
  <si>
    <t>https://www.google.com/maps/@14.59114,-12.18672,3334m/data=!3m1!1e3</t>
  </si>
  <si>
    <t>https://www.google.com/maps/@14.68191,-12.36633,3333m/data=!3m1!1e3</t>
  </si>
  <si>
    <t>Mouderi</t>
  </si>
  <si>
    <t>https://www.google.com/maps/@14.83425,-12.42811,1665m/data=!3m1!1e3</t>
  </si>
  <si>
    <t>https://www.google.com/maps/@14.9118839,-12.45911,137m/data=!3m1!1e3</t>
  </si>
  <si>
    <t>https://www.google.com/maps/@16.50942,-15.25617,826m/data=!3m1!1e3</t>
  </si>
  <si>
    <t>https://www.google.com/maps/@16.4764002,-15.2741195,1379m/data=!3m1!1e3</t>
  </si>
  <si>
    <t>https://www.google.com/maps/@15.33654,-13.7447,831m/data=!3m1!1e3</t>
  </si>
  <si>
    <t>https://www.google.com/maps/@14.38097,-16.84144,834m/data=!3m1!1e3</t>
  </si>
  <si>
    <t>Sessene</t>
  </si>
  <si>
    <t>Bakel/Tambacounda</t>
  </si>
  <si>
    <t>Podor/Saint Louise</t>
  </si>
  <si>
    <t>Thille Boubakar</t>
  </si>
  <si>
    <t>Thies</t>
  </si>
  <si>
    <t>Perimeter (m)</t>
  </si>
  <si>
    <t>Accacia Mellifera (for fencing)</t>
  </si>
  <si>
    <t>Moringa(oil&amp;powder)</t>
  </si>
  <si>
    <t>Baobab</t>
  </si>
  <si>
    <t>Shea</t>
  </si>
  <si>
    <t>Tallow Tree</t>
  </si>
  <si>
    <t>Acacia Senegalese</t>
  </si>
  <si>
    <t>Balanites</t>
  </si>
  <si>
    <t>Ha Rates Moringa/Other</t>
  </si>
  <si>
    <t>Big Trees</t>
  </si>
  <si>
    <t>Medium Trees</t>
  </si>
  <si>
    <t>Small Trees</t>
  </si>
  <si>
    <t>Ha Rates Moringa</t>
  </si>
  <si>
    <t>Ha Rates Big-med-small trees</t>
  </si>
  <si>
    <t>Land Owner</t>
  </si>
  <si>
    <t>Shea sites:</t>
  </si>
  <si>
    <t>·      Planting rates (x hectares/year or /month)</t>
  </si>
  <si>
    <t>·      Planting density (x number of stems/hectare)</t>
  </si>
  <si>
    <t>·      Planting start dates</t>
  </si>
  <si>
    <t>·      Species</t>
  </si>
  <si>
    <t>·      Allometric equations or MAI values</t>
  </si>
  <si>
    <t>·      Nursery requirements</t>
  </si>
  <si>
    <t>·      Nursery capacity</t>
  </si>
  <si>
    <t>PAPSEN and GGW Sites</t>
  </si>
  <si>
    <t>·      Species stratification</t>
  </si>
  <si>
    <t>o   Shapefiles of which species go where</t>
  </si>
  <si>
    <t>·      Species mix</t>
  </si>
  <si>
    <t>o   List of species in addition to what percentage of each species per planting site</t>
  </si>
  <si>
    <t>·      Planting density per species</t>
  </si>
  <si>
    <t>·      Planting start dates per species strata</t>
  </si>
  <si>
    <t>·      Planting rates (x hectares/year or month)</t>
  </si>
  <si>
    <t>Phase 1</t>
  </si>
  <si>
    <t>Phase 2</t>
  </si>
  <si>
    <t>Phase 3</t>
  </si>
  <si>
    <t>YEAR</t>
  </si>
  <si>
    <t>Trees Will Be Produced in Nurseries</t>
  </si>
  <si>
    <t>Trees Will Be Planted on Plantation Sites</t>
  </si>
  <si>
    <t>Total Trees Planted on Plantation Sites</t>
  </si>
  <si>
    <t>Total:</t>
  </si>
  <si>
    <t>Common names: Ecology: Uses: Description: Propagation: Seed: treatment: storage: Management: Remarks: Ateso: Eregai Ateso T: Ebenyo English: Wait-a-bit thorn, hook thorn Lugishu: Magokwe. A low shrubby acacia with a natural range in North and East Africa. Widespread in dry scrub with trees and deciduous bushland. In Uganda it occurs around Nakasongola in Luwero District and in Soroti, Kumi, Moroto and Kotido Districts. Sometimes it is the main species in dry bushland. Firewood, utensils (pestles), medicine (bark), fodder (pods, twigs, leaves, flowers), bee forage, nitrogen fixation, soil conservation, live fence. A shrub or small tree up to 9 m. BARK: pale grey-brown, usually smooth. THORNS: distinctive, small hooked prickles, in pairs, grey with black tips. LEAVES: easy to recognize, unlike most other Acacia, usually 2-3 pairs of blue-green rounded leaflets each to 2 cm. FLOWERS: creamy spikes to 4 cm attracting bees. FRUIT: short, wide pods, tapering abruptly at both ends, flat papery, pale brown-yellow, rarely to 8 cm, veined, 3 seeds within. Direct sowing at site, seedlings. No. of seeds per kg: about 20,000. Seed germinate in 2-14 days and germination is 50-80% with good seed, soak in cold water for 12 hours or nick seed coat at cotyledon end of seed. can be stored for long periods if kept dry and insect free. Add ash to reduce insect damage. Coppicing. Slow growing. The flowers produce excellent-quality honey. The tree is heavily browsed by game and cattle where few trees grow. Can make impenetrable thickets.</t>
  </si>
  <si>
    <t>BOTANIC DESCRIPTION Adansonia digitata is a large, round canopied tree with a swollen trunk, about 10-25 m in height, often with a bole of 3-10 m (giant individuals attain a girth of up to 28 m); bark is soft, smooth, fibrous, reddish-brown, greyish-brown or purplish-grey; bark of leaf-bearing branches is normally ashy on the last node; a green layer below the outer, waxy layer of the bark, presumably to assist in photosynthesis when the tree has shed its leaves. The thick, fibrous bark is remarkably fire resistant, and even if the interior is completely burnt out, the tree continues to live. Regrowth after fire results in a thickened, uneven integument that gives the tree its gnarled appearance resembling an elephant’s skin but that serves as added protection against fire. Mature thick and extensive lateral roots anchor the tree on the ground and end in clusters of potatolike tubers; the thick, strong, prominent taproot at 6 months is 3 times the length of the seedling; roots grow fast but never penetrate far beyond a depth of 2 m, which explains why in old age they are often found toppled when the branches increase in weight. Leaves alternate, digitately 3- to 9-foliate; leaflets oblong to ovate, 5-15 x 3-7 cm, lower leaflets being the smallest and terminal leaflet the largest; leaflets dark green, with short, soft hairs; lateral veins looping; apex and base tapering; margin entire; petiolules absent or almost so; petiole up to 12 cm long. Flowers a waxy white, up to 20 cm in diameter, axillary, solitary, pendulous, bisexual; all floral parts in 5s; calyx deeply lobed, with white, silky hairs inside; large, crinkly, spreading petals; many stamens on a large central column that is shed with the petals; ovary superior, 5-10 chambered; petals bruise easily and become brown; flowers have an unpleasant scent. Fruit ovoid, 12 cm or more in length, with a hard, woody shell, covered with yellowish-grey velvety hairs, indehiscent; seeds smooth, embedded in a whitish powdery pulp, have little or no endosperm. The name commemorates the French botanist Michel Adanson (1727- 1806), who lived in Senegal for 6 years and wrote a work on that country’s natural history. Linneaus dedicated the genus and species to him; ‘digitata’ means hand shaped, referring to the shape of the leaf.</t>
  </si>
  <si>
    <t>BOTANIC DESCRIPTION Vitellaria paradoxa is a small to medium-sized tree (min. 7) 10-15 (max. 25) m high; much branched, dense, spreading, round to hemispherical crown. In mature trees the bole is short, usually 3-4 m but exceptionally 8 m, with a diameter ranging from 0.3 to 1 m, but most frequently 0.6 m. Bark conspicuously thick, corky, horizontally and longitudinally deeply fissured; protects older trees against bush fires. Slash pale pink, secreting white latex, as do broken twigs or petioles. Leaves in dense clusters, spirally arranged at the end of stout twigs. They are covered by thick bark showing numerous leaf scars. Petioles 5-15 cm long, leaves oblong. Juvenile leaves rust-red and pubescent, later coriaceous, glabrous and dark green, shining, 12-25 cm long and 4-7 cm wide, leaf margin wavy and bent. The flowers develop in the axils of scale leaves, at the extremities of dormant twigs, from buds formed 2 years previously. Inflorescence a dense fascicle 5-7.5 cm in diameter, at the end of a flowering twig, each usually containing 30-40 flowers, though 80-100 have been recorded. Individual flowers white or creamy-white, about 1.5 cm in diameter and subtended by scarious, brown, ovate or lanceolate bracteoles, which are abscised before flower opening. Fruit 5-8 cm long and 3-4 cm wide, elliptic, a yellow-green or yellow berry with thick butter-like, mucous pericarp; generally containing only 1 oval or round red-brown seed (the shea nut), surrounded by a fragile shining shell with a large, round, rough hilum on a broad base. The genus Vitellaria is considered by botanical authorities as monospecific, two subspecies are recognized ssp. paradoxa restricted to Western Africa and ssp. nilotica of Eastern Africa.</t>
  </si>
  <si>
    <t>BOTANIC DESCRIPTION Moringa oleifera is a small, graceful, deciduous tree with sparse foliage, often resembling a leguminous species at a distance, especially when in flower, but immediately recognized when in fruit. The tree grows to 8 m high and 60 cm dbh. Bole crooked, often forked from near the base. Bark smooth, dark grey; slash thin, yellowish. Twigs and shoots shortly but densely hairy. Crown wide, open, typically umbrella shaped and usually a single stem; often deep rooted. The wood is soft. Leaves alternate, the old ones soon falling off; each leaf large (up to about 90 cm long), with opposite pinnae, spaced about 5 cm apart up the central stalk, usually with a 2nd lot of pinnae, also opposite, bearing leaflets in opposite pairs, with a slightly larger terminal leaflet. Leaflets dark green above and pale on the under surface; variable in size and shape, but often rounded-elliptic, seldom as much as 2.5 cm long. Flowers produced throughout the year, in loose axillary panicles up to 15 cm long; individual flower stalks up to 12 mm long and very slender; 5 pale green sepals 12 mm long, finely hairy, 5 white petals, unequal, a little longer than the sepals; 5 stamens with anthers, 5 without; style slender, flowers very sweet smelling. Fruit large and distinctive, up to 90 cm long and 12 mm broad, slightly constricted at intervals, gradually tapering to a point, 3- (4-) angled, with 2 grooves on each face, light brown. It splits along each angle to expose the rows of rounded blackish oily seeds, each with 3 papery wings. The generic name comes from the Sinhalese name ‘morunga’.</t>
  </si>
  <si>
    <t>BOTANIC DESCRIPTION Acacia senegal is a deciduous shrub, growing to 15 m tall and usually branched from the ground. Branches fork repeatedly and in mature trees commonly form a rounded, flat-topped crown. The trunk may vary in diameter up to about 30 cm. The bark is greyish-white, although in old trees growing in the open it may be dark, scaly and thin, showing the bright green cambium layer just below the surface if scratched with a nail. The slash is mottled red. Powerful hooked thorns, 3-5 mm long, with enlarged bases appear at the nodes of the branches, usually in 3s. They are sharp, with some pointing forwards and others backwards. Leaves bipinnate, 3-8 pinnae (glands between uppermost and lowermost pinnae); rachis up to 2.5 cm long; pinnacles are pairs of 8-15, green; 2 stipular spines strongly recurved with a 3rd pseudo-stipular between them. Flowers yellowish-white and fragrant, in cylindrical, axillary pedunculate spikes, 5-10 cm long; calyx of each flower has 5 deep lobes, 5 petals and a mass of short stamens; pistil inconspicuous. The pods are straight, thin, flat, shortly stipitate and oblong (7.5 x 2 cm), green and pubescent when young, maturing to shiny bronze, often with dark patches and bearing prominent veins; seeds 3-6, smooth, flat, rather small, shiny, dark brown. Varietal differences in A. senegal are based on variation in natural distribution as well as differences in morphological characteristics such as the presence or absence of hair on the axis of the flower spike, colour of the axis, shape of pod tips, number of pinnae pairs, occurrence of a distinct trunk and shape of the crown. Four different varieties of Acacia senegal are recognized: var. senegal, var. kerensis Schweinf., var. rostrata Brenan and var. leiorhachis Brenan. The generic name ‘acacia’ comes from the Greek word ‘akis’, meaning a point or a barb.</t>
  </si>
  <si>
    <t>BOTANIC DESCRIPTION Balanites aegyptiaca is a multibranched, spiny shrub or tree up to l0 m high. Crown rounded, dense (but still seen through) with long stout branchlets. Trunk and bark grey, deeply fissured longitudinally. Leaves compound and spirally arranged on the shoots, dark green with 2 firm coriaceous leaflets; dimensions and shapes varying widely. Petiole canaliculate, from 5 mm to 20 mm with a short rachis. Most accounts indicate a maximum length of 8 mm for Uganda. Margin of each leaflet entire; lamina generally up to 6 cm long, 4 cm broad, although apparently smaller (1-3 x 0.3-1.5 cm) in the Sahara and in Palestine. Inflorescence a sessile or shortly pedunculate fascicle of a few flowers. Flower buds ovoid and tomentose. Individual flowers hermaphroditic, pentamerous an actinomorphic, 8-14 mm in diameter and generally greenish-yellow. Pedicels densely greyish, pubescent and rarely reaching 10 mm in length, although 15 mm is reported for Zambia and Zimbabwe. The usual length is about 8 mm. Fruit ellipsoid, up to 4 cm long, green. Ripe fruit brown or pale brown with a brittle coat enclosing a brown or brown-green sticky pulp and a hard stone seed. The name Balanites (from the Greek for acorn, referring to the fruit) was given in 1813 by Alire Delile and replaced Agialid (derived from the Arabic name for the tree, 'heglig').</t>
  </si>
  <si>
    <r>
      <t>Detarium senegalense grows to 131 feet (40 meters in the dry forest band from Senegal to Nigeria. Fruit of some trees is toxic, and the only way to tell is that fallen fruit under a toxic tree will not be eaten by birds or animals. Detarium senegalese</t>
    </r>
    <r>
      <rPr>
        <sz val="11"/>
        <rFont val="Calibri"/>
        <family val="2"/>
        <scheme val="minor"/>
      </rPr>
      <t> is a medium-sized tree that may grow up to 40 m tall.</t>
    </r>
    <r>
      <rPr>
        <vertAlign val="superscript"/>
        <sz val="8"/>
        <rFont val="Calibri"/>
        <family val="2"/>
        <scheme val="minor"/>
      </rPr>
      <t>[5]</t>
    </r>
    <r>
      <rPr>
        <sz val="11"/>
        <rFont val="Calibri"/>
        <family val="2"/>
        <scheme val="minor"/>
      </rPr>
      <t> Like many trees in the Detarioideae, they have thick, irregularly placed branches. The trunks of mature trees typically range from 60–100 cm in diameter.</t>
    </r>
    <r>
      <rPr>
        <vertAlign val="superscript"/>
        <sz val="8"/>
        <rFont val="Calibri"/>
        <family val="2"/>
        <scheme val="minor"/>
      </rPr>
      <t>[6]</t>
    </r>
    <r>
      <rPr>
        <sz val="11"/>
        <rFont val="Calibri"/>
        <family val="2"/>
        <scheme val="minor"/>
      </rPr>
      <t> The fruit is a globular, dark green drupe with fibrous pulp and a single seed.</t>
    </r>
    <r>
      <rPr>
        <vertAlign val="superscript"/>
        <sz val="8"/>
        <rFont val="Calibri"/>
        <family val="2"/>
        <scheme val="minor"/>
      </rPr>
      <t>[7]</t>
    </r>
    <r>
      <rPr>
        <sz val="11"/>
        <rFont val="Calibri"/>
        <family val="2"/>
        <scheme val="minor"/>
      </rPr>
      <t> They are similar to the fruits of the tamarind, which belongs to </t>
    </r>
    <r>
      <rPr>
        <i/>
        <sz val="11"/>
        <rFont val="Calibri"/>
        <family val="2"/>
        <scheme val="minor"/>
      </rPr>
      <t>Tamarindus</t>
    </r>
    <r>
      <rPr>
        <sz val="11"/>
        <rFont val="Calibri"/>
        <family val="2"/>
        <scheme val="minor"/>
      </rPr>
      <t>, another genus in the subfamily Detarioideae.</t>
    </r>
    <r>
      <rPr>
        <vertAlign val="superscript"/>
        <sz val="8"/>
        <rFont val="Calibri"/>
        <family val="2"/>
        <scheme val="minor"/>
      </rPr>
      <t>[8]</t>
    </r>
    <r>
      <rPr>
        <sz val="11"/>
        <rFont val="Calibri"/>
        <family val="2"/>
        <scheme val="minor"/>
      </rPr>
      <t> The sweet and sour flavour of the fruit is popular and the shelf life is good because of the hard shell and dry pulp.</t>
    </r>
    <r>
      <rPr>
        <vertAlign val="superscript"/>
        <sz val="8"/>
        <rFont val="Calibri"/>
        <family val="2"/>
        <scheme val="minor"/>
      </rPr>
      <t>[9]</t>
    </r>
    <r>
      <rPr>
        <sz val="11"/>
        <rFont val="Calibri"/>
        <family val="2"/>
        <scheme val="minor"/>
      </rPr>
      <t> To establish the tree more widely as an agricultural line, some genetic work is required; for example some of the trees produce toxic fruits and there is currently no method of differentiating them from trees that grow desirable fruit.</t>
    </r>
    <r>
      <rPr>
        <vertAlign val="superscript"/>
        <sz val="8"/>
        <rFont val="Calibri"/>
        <family val="2"/>
        <scheme val="minor"/>
      </rPr>
      <t>[10]</t>
    </r>
  </si>
  <si>
    <t>ok</t>
  </si>
  <si>
    <t>Species Type</t>
  </si>
  <si>
    <t>Tree Count</t>
  </si>
  <si>
    <t>0.75 to 1 cm. on the perimeter. With 3 lines of Trees</t>
  </si>
  <si>
    <t>3000 Stems Per Hectar</t>
  </si>
  <si>
    <t>Medium Tree</t>
  </si>
  <si>
    <t>Fencing</t>
  </si>
  <si>
    <t>Accacia Mellifera</t>
  </si>
  <si>
    <t>Oil&amp;Powder</t>
  </si>
  <si>
    <t>Moringa</t>
  </si>
  <si>
    <t>20 Stems Per Hectar</t>
  </si>
  <si>
    <t>10 Stems Per Hectar</t>
  </si>
  <si>
    <t>Details</t>
  </si>
  <si>
    <t>Tree Type</t>
  </si>
  <si>
    <t>Density</t>
  </si>
  <si>
    <t>Phase 1 will be starting in July 2023</t>
  </si>
  <si>
    <t>Planting Date</t>
  </si>
  <si>
    <t>May To December 2024</t>
  </si>
  <si>
    <t>Rate per Month</t>
  </si>
  <si>
    <t>Total Trees:</t>
  </si>
  <si>
    <t xml:space="preserve">Phase 2 </t>
  </si>
  <si>
    <t>May To December 2025</t>
  </si>
  <si>
    <t>May To December 2026</t>
  </si>
  <si>
    <t>May To December 2027</t>
  </si>
  <si>
    <t>File Name:</t>
  </si>
  <si>
    <t>File Folder:</t>
  </si>
  <si>
    <t>Allometric Equations of Acacia Mellifera.pdf</t>
  </si>
  <si>
    <t>Allometric Equations of Moringa.pdf</t>
  </si>
  <si>
    <t>Allometric Equations of Baobab.pdf</t>
  </si>
  <si>
    <t>Allometric Equations of Shea.pdf</t>
  </si>
  <si>
    <t>Allometric Equations of Balanites.pdf</t>
  </si>
  <si>
    <t>Allometric Equations of Acacia Senegal.pdf</t>
  </si>
  <si>
    <t>Allometric Equations of Detarium(Tallow Tree).pdf</t>
  </si>
  <si>
    <t>https://www.dropbox.com/scl/fo/tttyljteklfpgzd73roho/h?dl=0&amp;rlkey=mlknrf88y03c73rxfqcwpfutq</t>
  </si>
  <si>
    <t>In This Document You will find;</t>
  </si>
  <si>
    <t>Availability</t>
  </si>
  <si>
    <t>Shape Files of Plantation Sites with Species and Quantities.</t>
  </si>
  <si>
    <t>https://www.dropbox.com/scl/fo/84ofiw21v1mqd3zvp96oe/h?dl=0&amp;rlkey=7w4q65romw69n72gb7dykkfvs</t>
  </si>
  <si>
    <t>IN KMZ files, you can find specific tree species and quantities as shown below;</t>
  </si>
  <si>
    <t>May To December 2028</t>
  </si>
  <si>
    <t>May To December 2029</t>
  </si>
  <si>
    <t>May To December 2030</t>
  </si>
  <si>
    <t>May To December 2031</t>
  </si>
  <si>
    <t>Phase 2 Total Trees:</t>
  </si>
  <si>
    <t>Phase 3 Total Trees</t>
  </si>
  <si>
    <t>Phase 1 Total Trees</t>
  </si>
  <si>
    <t>Phase 1 Total HA</t>
  </si>
  <si>
    <t>Phase 2 Total HA</t>
  </si>
  <si>
    <t>Phase 3 Total HA</t>
  </si>
  <si>
    <t>HA Planted</t>
  </si>
  <si>
    <t>Nurseries will be established</t>
  </si>
  <si>
    <t>Total Nurseries</t>
  </si>
  <si>
    <t xml:space="preserve">Production Capacity per year </t>
  </si>
  <si>
    <t xml:space="preserve">Assumptions: </t>
  </si>
  <si>
    <t xml:space="preserve"> - 1 nursery requires 15 ha of land</t>
  </si>
  <si>
    <t>- Production capacity per nursery p.a. (seedlings):</t>
  </si>
  <si>
    <t>1,000,000</t>
  </si>
  <si>
    <t xml:space="preserve">- Nursery life 7 years </t>
  </si>
  <si>
    <t>Land acquisition</t>
  </si>
  <si>
    <t>Fence</t>
  </si>
  <si>
    <t>Shelters 40 000 SQM</t>
  </si>
  <si>
    <t>Wells</t>
  </si>
  <si>
    <t>Solar water pump</t>
  </si>
  <si>
    <t>Water storage 10m3</t>
  </si>
  <si>
    <t>Water tanks (800 L)</t>
  </si>
  <si>
    <t>Trailers for seedling transport</t>
  </si>
  <si>
    <t>Details of Nurseries:</t>
  </si>
  <si>
    <t>Tractor (solar)</t>
  </si>
  <si>
    <t>Pick-up truck (electricty)</t>
  </si>
  <si>
    <t>Nursery Locations:</t>
  </si>
  <si>
    <t>Shea Zone</t>
  </si>
  <si>
    <t>Diorbel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</si>
</sst>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14"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1"/>
      <color rgb="FFFF0000"/>
      <name val="Calibri"/>
      <family val="2"/>
      <scheme val="minor"/>
    </font>
    <font>
      <sz val="11"/>
      <color theme="1"/>
      <name val="Arial"/>
      <family val="2"/>
    </font>
    <font>
      <b/>
      <sz val="12"/>
      <color rgb="FF000000"/>
      <name val="Calibri"/>
      <family val="2"/>
      <scheme val="minor"/>
    </font>
    <font>
      <i/>
      <sz val="11"/>
      <name val="Calibri"/>
      <family val="2"/>
      <scheme val="minor"/>
    </font>
    <font>
      <sz val="11"/>
      <name val="Calibri"/>
      <family val="2"/>
      <scheme val="minor"/>
    </font>
    <font>
      <vertAlign val="superscript"/>
      <sz val="8"/>
      <name val="Calibri"/>
      <family val="2"/>
      <scheme val="minor"/>
    </font>
    <font>
      <b/>
      <sz val="14"/>
      <color theme="1"/>
      <name val="Calibri"/>
      <family val="2"/>
      <scheme val="minor"/>
    </font>
    <font>
      <sz val="8"/>
      <name val="Calibri"/>
      <family val="2"/>
      <scheme val="minor"/>
    </font>
    <font>
      <sz val="12"/>
      <color rgb="FF000000"/>
      <name val="Calibri"/>
      <family val="2"/>
      <scheme val="minor"/>
    </font>
    <font>
      <b/>
      <i/>
      <u/>
      <sz val="11"/>
      <color rgb="FF00000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DDEBF7"/>
        <bgColor rgb="FFDDEBF7"/>
      </patternFill>
    </fill>
    <fill>
      <patternFill patternType="solid">
        <fgColor theme="4" tint="0.59999389629810485"/>
        <bgColor indexed="64"/>
      </patternFill>
    </fill>
    <fill>
      <patternFill patternType="solid">
        <fgColor rgb="FFFFFFFF"/>
        <bgColor rgb="FF000000"/>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3" fontId="2" fillId="0" borderId="0" applyFont="0" applyFill="0" applyBorder="0" applyAlignment="0" applyProtection="0"/>
    <xf numFmtId="0" fontId="3" fillId="0" borderId="0" applyNumberFormat="0" applyFill="0" applyBorder="0" applyAlignment="0" applyProtection="0"/>
  </cellStyleXfs>
  <cellXfs count="115">
    <xf numFmtId="0" fontId="0" fillId="0" borderId="0" xfId="0"/>
    <xf numFmtId="0" fontId="1" fillId="2" borderId="1" xfId="0" applyFont="1" applyFill="1" applyBorder="1"/>
    <xf numFmtId="0" fontId="0" fillId="0" borderId="1" xfId="0" applyBorder="1"/>
    <xf numFmtId="0" fontId="1" fillId="0" borderId="1" xfId="0" applyFont="1" applyBorder="1"/>
    <xf numFmtId="164" fontId="0" fillId="0" borderId="1" xfId="1" applyNumberFormat="1" applyFont="1" applyBorder="1"/>
    <xf numFmtId="164" fontId="1" fillId="0" borderId="1" xfId="1" applyNumberFormat="1" applyFont="1" applyBorder="1"/>
    <xf numFmtId="0" fontId="3" fillId="0" borderId="1" xfId="2" applyBorder="1"/>
    <xf numFmtId="0" fontId="1" fillId="2" borderId="1" xfId="0" applyFont="1" applyFill="1" applyBorder="1" applyAlignment="1">
      <alignment wrapText="1"/>
    </xf>
    <xf numFmtId="0" fontId="0" fillId="0" borderId="1" xfId="0" applyBorder="1" applyAlignment="1">
      <alignment wrapText="1"/>
    </xf>
    <xf numFmtId="0" fontId="1" fillId="2" borderId="5" xfId="0" applyFont="1" applyFill="1" applyBorder="1"/>
    <xf numFmtId="0" fontId="1" fillId="2" borderId="6" xfId="0" applyFont="1" applyFill="1" applyBorder="1"/>
    <xf numFmtId="0" fontId="0" fillId="0" borderId="4" xfId="0" applyBorder="1"/>
    <xf numFmtId="0" fontId="0" fillId="0" borderId="10" xfId="0" applyBorder="1" applyAlignment="1">
      <alignment horizontal="center"/>
    </xf>
    <xf numFmtId="0" fontId="0" fillId="0" borderId="11" xfId="0" applyBorder="1" applyAlignment="1">
      <alignment horizontal="center"/>
    </xf>
    <xf numFmtId="0" fontId="0" fillId="0" borderId="0" xfId="0" applyAlignment="1">
      <alignment horizontal="center"/>
    </xf>
    <xf numFmtId="164" fontId="0" fillId="0" borderId="0" xfId="1" applyNumberFormat="1" applyFont="1"/>
    <xf numFmtId="0" fontId="4" fillId="0" borderId="1" xfId="0" applyFont="1" applyBorder="1"/>
    <xf numFmtId="0" fontId="0" fillId="0" borderId="14" xfId="0" applyBorder="1" applyAlignment="1">
      <alignment horizontal="center"/>
    </xf>
    <xf numFmtId="0" fontId="0" fillId="0" borderId="15" xfId="0" applyBorder="1" applyAlignment="1">
      <alignment horizontal="center"/>
    </xf>
    <xf numFmtId="0" fontId="0" fillId="0" borderId="1" xfId="0" applyBorder="1" applyAlignment="1">
      <alignment horizontal="center" vertical="center"/>
    </xf>
    <xf numFmtId="43" fontId="1" fillId="0" borderId="1" xfId="1" applyFont="1" applyBorder="1"/>
    <xf numFmtId="165" fontId="0" fillId="0" borderId="1" xfId="0" applyNumberFormat="1" applyBorder="1"/>
    <xf numFmtId="1" fontId="0" fillId="0" borderId="1" xfId="0" applyNumberFormat="1" applyBorder="1"/>
    <xf numFmtId="0" fontId="0" fillId="0" borderId="2" xfId="0" applyBorder="1" applyAlignment="1">
      <alignment vertical="center"/>
    </xf>
    <xf numFmtId="0" fontId="5" fillId="0" borderId="0" xfId="0" applyFont="1"/>
    <xf numFmtId="0" fontId="5" fillId="0" borderId="0" xfId="0" applyFont="1" applyAlignment="1">
      <alignment horizontal="left" vertical="center" indent="5"/>
    </xf>
    <xf numFmtId="0" fontId="5" fillId="0" borderId="0" xfId="0" applyFont="1" applyAlignment="1">
      <alignment horizontal="left" vertical="center" indent="10"/>
    </xf>
    <xf numFmtId="0" fontId="6" fillId="0" borderId="5" xfId="0" applyFont="1" applyBorder="1"/>
    <xf numFmtId="0" fontId="6" fillId="3" borderId="5" xfId="0" applyFont="1" applyFill="1" applyBorder="1"/>
    <xf numFmtId="0" fontId="6" fillId="0" borderId="21" xfId="0" applyFont="1" applyBorder="1"/>
    <xf numFmtId="0" fontId="6" fillId="0" borderId="22" xfId="0" applyFont="1" applyBorder="1"/>
    <xf numFmtId="0" fontId="6" fillId="0" borderId="1" xfId="0" applyFont="1" applyBorder="1"/>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1" xfId="0" applyFont="1" applyFill="1" applyBorder="1" applyAlignment="1">
      <alignment horizontal="center" vertical="center"/>
    </xf>
    <xf numFmtId="3" fontId="6" fillId="3" borderId="21" xfId="0" applyNumberFormat="1" applyFont="1" applyFill="1" applyBorder="1" applyAlignment="1">
      <alignment horizontal="center" vertical="center"/>
    </xf>
    <xf numFmtId="3" fontId="6" fillId="3" borderId="22" xfId="0" applyNumberFormat="1" applyFont="1" applyFill="1" applyBorder="1" applyAlignment="1">
      <alignment horizontal="center" vertical="center"/>
    </xf>
    <xf numFmtId="3" fontId="6" fillId="3" borderId="1" xfId="0" applyNumberFormat="1" applyFont="1" applyFill="1" applyBorder="1" applyAlignment="1">
      <alignment horizontal="center" vertical="center"/>
    </xf>
    <xf numFmtId="3" fontId="6" fillId="0" borderId="23" xfId="0" applyNumberFormat="1" applyFont="1" applyBorder="1" applyAlignment="1">
      <alignment horizontal="center" vertical="center"/>
    </xf>
    <xf numFmtId="3" fontId="6" fillId="0" borderId="24" xfId="0" applyNumberFormat="1" applyFont="1" applyBorder="1" applyAlignment="1">
      <alignment horizontal="center" vertical="center"/>
    </xf>
    <xf numFmtId="3" fontId="6" fillId="0" borderId="25" xfId="0" applyNumberFormat="1" applyFont="1" applyBorder="1" applyAlignment="1">
      <alignment horizontal="center" vertical="center"/>
    </xf>
    <xf numFmtId="0" fontId="7" fillId="0" borderId="1" xfId="0" applyFont="1" applyBorder="1" applyAlignment="1">
      <alignment wrapText="1"/>
    </xf>
    <xf numFmtId="0" fontId="10" fillId="0" borderId="1" xfId="0" applyFont="1" applyBorder="1"/>
    <xf numFmtId="0" fontId="10" fillId="0" borderId="0" xfId="0" applyFont="1"/>
    <xf numFmtId="0" fontId="0" fillId="2" borderId="1" xfId="0" applyFill="1" applyBorder="1"/>
    <xf numFmtId="0" fontId="1" fillId="4" borderId="1" xfId="0" applyFont="1" applyFill="1" applyBorder="1"/>
    <xf numFmtId="0" fontId="0" fillId="0" borderId="17" xfId="0" applyBorder="1"/>
    <xf numFmtId="0" fontId="0" fillId="0" borderId="22" xfId="0" applyBorder="1"/>
    <xf numFmtId="0" fontId="0" fillId="0" borderId="24" xfId="0" applyBorder="1"/>
    <xf numFmtId="0" fontId="0" fillId="0" borderId="26" xfId="0" applyBorder="1" applyAlignment="1">
      <alignment vertical="center"/>
    </xf>
    <xf numFmtId="0" fontId="0" fillId="0" borderId="27" xfId="0" applyBorder="1"/>
    <xf numFmtId="0" fontId="0" fillId="0" borderId="28" xfId="0" applyBorder="1"/>
    <xf numFmtId="0" fontId="0" fillId="0" borderId="27" xfId="0" applyBorder="1" applyAlignment="1">
      <alignment horizontal="left" vertical="center"/>
    </xf>
    <xf numFmtId="0" fontId="0" fillId="0" borderId="31" xfId="0" applyBorder="1" applyAlignment="1">
      <alignment horizontal="left" vertical="center"/>
    </xf>
    <xf numFmtId="0" fontId="0" fillId="0" borderId="26" xfId="0" applyBorder="1"/>
    <xf numFmtId="0" fontId="0" fillId="2" borderId="26" xfId="0" applyFill="1" applyBorder="1"/>
    <xf numFmtId="0" fontId="0" fillId="2" borderId="28" xfId="0" applyFill="1" applyBorder="1"/>
    <xf numFmtId="0" fontId="0" fillId="2" borderId="27" xfId="0" applyFill="1" applyBorder="1"/>
    <xf numFmtId="17" fontId="0" fillId="2" borderId="1" xfId="0" applyNumberFormat="1" applyFill="1" applyBorder="1"/>
    <xf numFmtId="164" fontId="1" fillId="0" borderId="1" xfId="0" applyNumberFormat="1" applyFont="1" applyBorder="1"/>
    <xf numFmtId="0" fontId="1" fillId="2" borderId="0" xfId="0" applyFont="1" applyFill="1"/>
    <xf numFmtId="164" fontId="1" fillId="2" borderId="0" xfId="0" applyNumberFormat="1" applyFont="1" applyFill="1"/>
    <xf numFmtId="0" fontId="1" fillId="2" borderId="34" xfId="0" applyFont="1" applyFill="1" applyBorder="1"/>
    <xf numFmtId="164" fontId="1" fillId="2" borderId="34" xfId="0" applyNumberFormat="1" applyFont="1" applyFill="1" applyBorder="1"/>
    <xf numFmtId="17" fontId="0" fillId="0" borderId="0" xfId="0" applyNumberFormat="1"/>
    <xf numFmtId="0" fontId="1" fillId="0" borderId="0" xfId="0" applyFont="1"/>
    <xf numFmtId="17" fontId="0" fillId="2" borderId="4" xfId="0" applyNumberFormat="1" applyFill="1" applyBorder="1"/>
    <xf numFmtId="43" fontId="1" fillId="2" borderId="1" xfId="1" applyFont="1" applyFill="1" applyBorder="1"/>
    <xf numFmtId="43" fontId="0" fillId="0" borderId="0" xfId="1" applyFont="1"/>
    <xf numFmtId="0" fontId="0" fillId="0" borderId="21" xfId="0" applyBorder="1"/>
    <xf numFmtId="0" fontId="6" fillId="3" borderId="29" xfId="0" applyFont="1" applyFill="1" applyBorder="1" applyAlignment="1">
      <alignment horizontal="center" vertical="center"/>
    </xf>
    <xf numFmtId="0" fontId="6" fillId="3" borderId="30" xfId="0" applyFont="1" applyFill="1" applyBorder="1" applyAlignment="1">
      <alignment horizontal="center" vertical="center"/>
    </xf>
    <xf numFmtId="0" fontId="6" fillId="3" borderId="2" xfId="0" applyFont="1" applyFill="1" applyBorder="1" applyAlignment="1">
      <alignment horizontal="center" vertical="center"/>
    </xf>
    <xf numFmtId="3" fontId="6" fillId="0" borderId="1" xfId="0" applyNumberFormat="1" applyFont="1" applyBorder="1"/>
    <xf numFmtId="0" fontId="13" fillId="5" borderId="10" xfId="0" applyFont="1" applyFill="1" applyBorder="1"/>
    <xf numFmtId="0" fontId="13" fillId="5" borderId="38" xfId="0" applyFont="1" applyFill="1" applyBorder="1"/>
    <xf numFmtId="0" fontId="12" fillId="5" borderId="14" xfId="0" applyFont="1" applyFill="1" applyBorder="1"/>
    <xf numFmtId="0" fontId="12" fillId="5" borderId="39" xfId="0" applyFont="1" applyFill="1" applyBorder="1"/>
    <xf numFmtId="0" fontId="12" fillId="5" borderId="0" xfId="0" applyFont="1" applyFill="1"/>
    <xf numFmtId="0" fontId="12" fillId="5" borderId="40" xfId="0" applyFont="1" applyFill="1" applyBorder="1"/>
    <xf numFmtId="0" fontId="8" fillId="5" borderId="40" xfId="0" applyFont="1" applyFill="1" applyBorder="1"/>
    <xf numFmtId="0" fontId="12" fillId="5" borderId="37" xfId="0" applyFont="1" applyFill="1" applyBorder="1"/>
    <xf numFmtId="0" fontId="12" fillId="5" borderId="41" xfId="0" applyFont="1" applyFill="1" applyBorder="1"/>
    <xf numFmtId="0" fontId="8" fillId="5" borderId="42" xfId="0" applyFont="1" applyFill="1" applyBorder="1"/>
    <xf numFmtId="0" fontId="8" fillId="5" borderId="0" xfId="0" applyFont="1" applyFill="1"/>
    <xf numFmtId="0" fontId="12" fillId="5" borderId="44" xfId="0" applyFont="1" applyFill="1" applyBorder="1"/>
    <xf numFmtId="0" fontId="12" fillId="5" borderId="45" xfId="0" applyFont="1" applyFill="1" applyBorder="1"/>
    <xf numFmtId="0" fontId="6" fillId="5" borderId="43" xfId="0" applyFont="1" applyFill="1" applyBorder="1"/>
    <xf numFmtId="0" fontId="0" fillId="0" borderId="0" xfId="0" applyAlignment="1">
      <alignment horizontal="right"/>
    </xf>
    <xf numFmtId="0" fontId="6" fillId="3" borderId="16"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17" xfId="0" applyFont="1" applyFill="1" applyBorder="1" applyAlignment="1">
      <alignment horizontal="center" vertical="center"/>
    </xf>
    <xf numFmtId="0" fontId="0" fillId="0" borderId="23" xfId="0" applyBorder="1"/>
    <xf numFmtId="0" fontId="0" fillId="0" borderId="25" xfId="0" applyBorder="1"/>
    <xf numFmtId="0" fontId="0" fillId="0" borderId="16" xfId="0" applyBorder="1" applyAlignment="1">
      <alignment vertical="center"/>
    </xf>
    <xf numFmtId="0" fontId="0" fillId="0" borderId="21" xfId="0" applyBorder="1" applyAlignment="1">
      <alignment vertical="center"/>
    </xf>
    <xf numFmtId="0" fontId="0" fillId="0" borderId="23" xfId="0" applyBorder="1" applyAlignment="1">
      <alignment vertical="center"/>
    </xf>
    <xf numFmtId="0" fontId="0" fillId="0" borderId="20"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43" fontId="0" fillId="0" borderId="35" xfId="1" applyFont="1" applyFill="1" applyBorder="1" applyAlignment="1">
      <alignment horizontal="center" vertical="center"/>
    </xf>
    <xf numFmtId="43" fontId="0" fillId="0" borderId="13" xfId="1" applyFont="1" applyFill="1" applyBorder="1" applyAlignment="1">
      <alignment horizontal="center" vertical="center"/>
    </xf>
    <xf numFmtId="0" fontId="0" fillId="0" borderId="1" xfId="0" applyBorder="1" applyAlignment="1">
      <alignment horizontal="center" vertical="center" wrapText="1"/>
    </xf>
    <xf numFmtId="0" fontId="6" fillId="0" borderId="16" xfId="0" applyFont="1" applyBorder="1" applyAlignment="1">
      <alignment horizontal="center"/>
    </xf>
    <xf numFmtId="0" fontId="6" fillId="0" borderId="17" xfId="0" applyFont="1" applyBorder="1" applyAlignment="1">
      <alignment horizontal="center"/>
    </xf>
    <xf numFmtId="0" fontId="6" fillId="0" borderId="18" xfId="0" applyFont="1" applyBorder="1" applyAlignment="1">
      <alignment horizontal="center"/>
    </xf>
    <xf numFmtId="0" fontId="6" fillId="0" borderId="19" xfId="0" applyFont="1" applyBorder="1" applyAlignment="1">
      <alignment horizontal="center"/>
    </xf>
    <xf numFmtId="0" fontId="6" fillId="0" borderId="20" xfId="0" applyFont="1" applyBorder="1" applyAlignment="1">
      <alignment horizontal="center"/>
    </xf>
    <xf numFmtId="0" fontId="0" fillId="0" borderId="12" xfId="0" applyBorder="1" applyAlignment="1">
      <alignment horizontal="center"/>
    </xf>
    <xf numFmtId="0" fontId="0" fillId="0" borderId="3" xfId="0" applyBorder="1" applyAlignment="1">
      <alignment horizontal="center"/>
    </xf>
    <xf numFmtId="0" fontId="0" fillId="0" borderId="13" xfId="0" applyBorder="1" applyAlignment="1">
      <alignment horizontal="center"/>
    </xf>
    <xf numFmtId="0" fontId="0" fillId="0" borderId="1" xfId="0"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8</xdr:row>
      <xdr:rowOff>95250</xdr:rowOff>
    </xdr:from>
    <xdr:to>
      <xdr:col>5</xdr:col>
      <xdr:colOff>476249</xdr:colOff>
      <xdr:row>37</xdr:row>
      <xdr:rowOff>114300</xdr:rowOff>
    </xdr:to>
    <xdr:pic>
      <xdr:nvPicPr>
        <xdr:cNvPr id="3" name="Picture 2">
          <a:extLst>
            <a:ext uri="{FF2B5EF4-FFF2-40B4-BE49-F238E27FC236}">
              <a16:creationId xmlns:a16="http://schemas.microsoft.com/office/drawing/2014/main" id="{12AE1FC1-32CF-4D1B-855D-E8E1B7AD64A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492" t="6161" b="9100"/>
        <a:stretch/>
      </xdr:blipFill>
      <xdr:spPr>
        <a:xfrm>
          <a:off x="38100" y="1619250"/>
          <a:ext cx="9363074" cy="5543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3" Type="http://schemas.openxmlformats.org/officeDocument/2006/relationships/hyperlink" Target="https://www.google.com/maps/@15.0529791,-16.6592502,996m/data=!3m1!1e3" TargetMode="External"/><Relationship Id="rId18" Type="http://schemas.openxmlformats.org/officeDocument/2006/relationships/hyperlink" Target="https://www.google.com/maps/@14.35981,-16.42674,6675m/data=!3m1!1e3" TargetMode="External"/><Relationship Id="rId26" Type="http://schemas.openxmlformats.org/officeDocument/2006/relationships/hyperlink" Target="https://www.google.com/maps/@14.68191,-12.36633,3333m/data=!3m1!1e3" TargetMode="External"/><Relationship Id="rId3" Type="http://schemas.openxmlformats.org/officeDocument/2006/relationships/hyperlink" Target="https://www.google.com/maps?ll=15.14759,-16.49452&amp;z=17&amp;t=h" TargetMode="External"/><Relationship Id="rId21" Type="http://schemas.openxmlformats.org/officeDocument/2006/relationships/hyperlink" Target="https://www.google.com/maps/@13.80923,-13.58691,836m/data=!3m1!1e3" TargetMode="External"/><Relationship Id="rId7" Type="http://schemas.openxmlformats.org/officeDocument/2006/relationships/hyperlink" Target="https://www.google.com/maps?ll=15.02828,-16.55555&amp;z=17&amp;t=h" TargetMode="External"/><Relationship Id="rId12" Type="http://schemas.openxmlformats.org/officeDocument/2006/relationships/hyperlink" Target="https://www.google.com/maps?ll=15.08526,-16.56849&amp;z=17&amp;t=h" TargetMode="External"/><Relationship Id="rId17" Type="http://schemas.openxmlformats.org/officeDocument/2006/relationships/hyperlink" Target="https://www.google.com/maps/@15.04139,-16.5366,832m/data=!3m1!1e3" TargetMode="External"/><Relationship Id="rId25" Type="http://schemas.openxmlformats.org/officeDocument/2006/relationships/hyperlink" Target="https://www.google.com/maps/@14.59114,-12.18672,3334m/data=!3m1!1e3" TargetMode="External"/><Relationship Id="rId33" Type="http://schemas.openxmlformats.org/officeDocument/2006/relationships/printerSettings" Target="../printerSettings/printerSettings1.bin"/><Relationship Id="rId2" Type="http://schemas.openxmlformats.org/officeDocument/2006/relationships/hyperlink" Target="https://www.google.com/maps/@15.12681,-16.60938,831m/data=!3m1!1e3" TargetMode="External"/><Relationship Id="rId16" Type="http://schemas.openxmlformats.org/officeDocument/2006/relationships/hyperlink" Target="https://www.google.com/maps/@15.09882,-16.37121,832m/data=!3m1!1e3" TargetMode="External"/><Relationship Id="rId20" Type="http://schemas.openxmlformats.org/officeDocument/2006/relationships/hyperlink" Target="https://www.google.com/maps/@12.5683761,-12.2140105,10298m/data=!3m1!1e3" TargetMode="External"/><Relationship Id="rId29" Type="http://schemas.openxmlformats.org/officeDocument/2006/relationships/hyperlink" Target="https://www.google.com/maps/@16.50942,-15.25617,826m/data=!3m1!1e3" TargetMode="External"/><Relationship Id="rId1" Type="http://schemas.openxmlformats.org/officeDocument/2006/relationships/hyperlink" Target="https://www.google.com/maps/@15.04375,-16.57028,832m/data=!3m1!1e3" TargetMode="External"/><Relationship Id="rId6" Type="http://schemas.openxmlformats.org/officeDocument/2006/relationships/hyperlink" Target="https://www.google.com/maps?ll=15.07464,-16.43188&amp;z=17&amp;t=h" TargetMode="External"/><Relationship Id="rId11" Type="http://schemas.openxmlformats.org/officeDocument/2006/relationships/hyperlink" Target="https://www.google.com/maps?ll=15.13735,-16.38317&amp;z=17&amp;t=h" TargetMode="External"/><Relationship Id="rId24" Type="http://schemas.openxmlformats.org/officeDocument/2006/relationships/hyperlink" Target="https://www.google.com/maps/@14.41537,-12.29177,417m/data=!3m1!1e3" TargetMode="External"/><Relationship Id="rId32" Type="http://schemas.openxmlformats.org/officeDocument/2006/relationships/hyperlink" Target="https://www.google.com/maps/@14.38097,-16.84144,834m/data=!3m1!1e3" TargetMode="External"/><Relationship Id="rId5" Type="http://schemas.openxmlformats.org/officeDocument/2006/relationships/hyperlink" Target="https://www.google.com/maps?ll=15.01688,-16.59937&amp;z=17&amp;t=h" TargetMode="External"/><Relationship Id="rId15" Type="http://schemas.openxmlformats.org/officeDocument/2006/relationships/hyperlink" Target="https://www.google.com/maps?ll=15.09967,-16.42397&amp;z=17&amp;t=h" TargetMode="External"/><Relationship Id="rId23" Type="http://schemas.openxmlformats.org/officeDocument/2006/relationships/hyperlink" Target="https://www.google.com/maps?ll=14.41221,-12.22018&amp;z=17&amp;t=h" TargetMode="External"/><Relationship Id="rId28" Type="http://schemas.openxmlformats.org/officeDocument/2006/relationships/hyperlink" Target="https://www.google.com/maps/@14.9118839,-12.45911,137m/data=!3m1!1e3" TargetMode="External"/><Relationship Id="rId10" Type="http://schemas.openxmlformats.org/officeDocument/2006/relationships/hyperlink" Target="https://www.google.com/maps?ll=15.03035,-16.49148&amp;z=17&amp;t=h" TargetMode="External"/><Relationship Id="rId19" Type="http://schemas.openxmlformats.org/officeDocument/2006/relationships/hyperlink" Target="https://www.google.com/maps/@14.6938,-16.24681,6665m/data=!3m1!1e3" TargetMode="External"/><Relationship Id="rId31" Type="http://schemas.openxmlformats.org/officeDocument/2006/relationships/hyperlink" Target="https://www.google.com/maps/@15.33654,-13.7447,831m/data=!3m1!1e3" TargetMode="External"/><Relationship Id="rId4" Type="http://schemas.openxmlformats.org/officeDocument/2006/relationships/hyperlink" Target="https://www.google.com/maps?ll=15.11092,-16.52030&amp;z=17&amp;t=h" TargetMode="External"/><Relationship Id="rId9" Type="http://schemas.openxmlformats.org/officeDocument/2006/relationships/hyperlink" Target="https://www.google.com/maps?ll=15.00749,-16.49973&amp;z=17&amp;t=h" TargetMode="External"/><Relationship Id="rId14" Type="http://schemas.openxmlformats.org/officeDocument/2006/relationships/hyperlink" Target="https://www.google.com/maps?ll=15.24256,-16.48520&amp;z=17&amp;t=h" TargetMode="External"/><Relationship Id="rId22" Type="http://schemas.openxmlformats.org/officeDocument/2006/relationships/hyperlink" Target="https://www.google.com/maps/@13.79847,-13.92024,836m/data=!3m1!1e3" TargetMode="External"/><Relationship Id="rId27" Type="http://schemas.openxmlformats.org/officeDocument/2006/relationships/hyperlink" Target="https://www.google.com/maps/@14.83425,-12.42811,1665m/data=!3m1!1e3" TargetMode="External"/><Relationship Id="rId30" Type="http://schemas.openxmlformats.org/officeDocument/2006/relationships/hyperlink" Target="https://www.google.com/maps/@16.4764002,-15.2741195,1379m/data=!3m1!1e3" TargetMode="External"/><Relationship Id="rId8" Type="http://schemas.openxmlformats.org/officeDocument/2006/relationships/hyperlink" Target="https://www.google.com/maps/@15.06776,-16.53669,832m/data=!3m1!1e3"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google.com/maps/@15.06776,-16.53669,832m/data=!3m1!1e3" TargetMode="External"/><Relationship Id="rId13" Type="http://schemas.openxmlformats.org/officeDocument/2006/relationships/hyperlink" Target="https://www.google.com/maps/@15.0529791,-16.6592502,996m/data=!3m1!1e3" TargetMode="External"/><Relationship Id="rId18" Type="http://schemas.openxmlformats.org/officeDocument/2006/relationships/hyperlink" Target="https://www.google.com/maps/@14.35981,-16.42674,6675m/data=!3m1!1e3" TargetMode="External"/><Relationship Id="rId26" Type="http://schemas.openxmlformats.org/officeDocument/2006/relationships/hyperlink" Target="https://www.google.com/maps/@14.68191,-12.36633,3333m/data=!3m1!1e3" TargetMode="External"/><Relationship Id="rId3" Type="http://schemas.openxmlformats.org/officeDocument/2006/relationships/hyperlink" Target="https://www.google.com/maps?ll=15.14759,-16.49452&amp;z=17&amp;t=h" TargetMode="External"/><Relationship Id="rId21" Type="http://schemas.openxmlformats.org/officeDocument/2006/relationships/hyperlink" Target="https://www.google.com/maps/@13.80923,-13.58691,836m/data=!3m1!1e3" TargetMode="External"/><Relationship Id="rId7" Type="http://schemas.openxmlformats.org/officeDocument/2006/relationships/hyperlink" Target="https://www.google.com/maps?ll=15.02828,-16.55555&amp;z=17&amp;t=h" TargetMode="External"/><Relationship Id="rId12" Type="http://schemas.openxmlformats.org/officeDocument/2006/relationships/hyperlink" Target="https://www.google.com/maps?ll=15.08526,-16.56849&amp;z=17&amp;t=h" TargetMode="External"/><Relationship Id="rId17" Type="http://schemas.openxmlformats.org/officeDocument/2006/relationships/hyperlink" Target="https://www.google.com/maps/@15.04139,-16.5366,832m/data=!3m1!1e3" TargetMode="External"/><Relationship Id="rId25" Type="http://schemas.openxmlformats.org/officeDocument/2006/relationships/hyperlink" Target="https://www.google.com/maps/@14.59114,-12.18672,3334m/data=!3m1!1e3" TargetMode="External"/><Relationship Id="rId2" Type="http://schemas.openxmlformats.org/officeDocument/2006/relationships/hyperlink" Target="https://www.google.com/maps/@15.12681,-16.60938,831m/data=!3m1!1e3" TargetMode="External"/><Relationship Id="rId16" Type="http://schemas.openxmlformats.org/officeDocument/2006/relationships/hyperlink" Target="https://www.google.com/maps/@15.09882,-16.37121,832m/data=!3m1!1e3" TargetMode="External"/><Relationship Id="rId20" Type="http://schemas.openxmlformats.org/officeDocument/2006/relationships/hyperlink" Target="https://www.google.com/maps/@12.5683761,-12.2140105,10298m/data=!3m1!1e3" TargetMode="External"/><Relationship Id="rId29" Type="http://schemas.openxmlformats.org/officeDocument/2006/relationships/hyperlink" Target="https://www.google.com/maps/@16.50942,-15.25617,826m/data=!3m1!1e3" TargetMode="External"/><Relationship Id="rId1" Type="http://schemas.openxmlformats.org/officeDocument/2006/relationships/hyperlink" Target="https://www.google.com/maps/@15.04375,-16.57028,832m/data=!3m1!1e3" TargetMode="External"/><Relationship Id="rId6" Type="http://schemas.openxmlformats.org/officeDocument/2006/relationships/hyperlink" Target="https://www.google.com/maps?ll=15.07464,-16.43188&amp;z=17&amp;t=h" TargetMode="External"/><Relationship Id="rId11" Type="http://schemas.openxmlformats.org/officeDocument/2006/relationships/hyperlink" Target="https://www.google.com/maps?ll=15.13735,-16.38317&amp;z=17&amp;t=h" TargetMode="External"/><Relationship Id="rId24" Type="http://schemas.openxmlformats.org/officeDocument/2006/relationships/hyperlink" Target="https://www.google.com/maps/@14.41537,-12.29177,417m/data=!3m1!1e3" TargetMode="External"/><Relationship Id="rId32" Type="http://schemas.openxmlformats.org/officeDocument/2006/relationships/hyperlink" Target="https://www.google.com/maps/@14.38097,-16.84144,834m/data=!3m1!1e3" TargetMode="External"/><Relationship Id="rId5" Type="http://schemas.openxmlformats.org/officeDocument/2006/relationships/hyperlink" Target="https://www.google.com/maps?ll=15.01688,-16.59937&amp;z=17&amp;t=h" TargetMode="External"/><Relationship Id="rId15" Type="http://schemas.openxmlformats.org/officeDocument/2006/relationships/hyperlink" Target="https://www.google.com/maps?ll=15.09967,-16.42397&amp;z=17&amp;t=h" TargetMode="External"/><Relationship Id="rId23" Type="http://schemas.openxmlformats.org/officeDocument/2006/relationships/hyperlink" Target="https://www.google.com/maps?ll=14.41221,-12.22018&amp;z=17&amp;t=h" TargetMode="External"/><Relationship Id="rId28" Type="http://schemas.openxmlformats.org/officeDocument/2006/relationships/hyperlink" Target="https://www.google.com/maps/@14.9118839,-12.45911,137m/data=!3m1!1e3" TargetMode="External"/><Relationship Id="rId10" Type="http://schemas.openxmlformats.org/officeDocument/2006/relationships/hyperlink" Target="https://www.google.com/maps?ll=15.03035,-16.49148&amp;z=17&amp;t=h" TargetMode="External"/><Relationship Id="rId19" Type="http://schemas.openxmlformats.org/officeDocument/2006/relationships/hyperlink" Target="https://www.google.com/maps/@14.6938,-16.24681,6665m/data=!3m1!1e3" TargetMode="External"/><Relationship Id="rId31" Type="http://schemas.openxmlformats.org/officeDocument/2006/relationships/hyperlink" Target="https://www.google.com/maps/@15.33654,-13.7447,831m/data=!3m1!1e3" TargetMode="External"/><Relationship Id="rId4" Type="http://schemas.openxmlformats.org/officeDocument/2006/relationships/hyperlink" Target="https://www.google.com/maps?ll=15.11092,-16.52030&amp;z=17&amp;t=h" TargetMode="External"/><Relationship Id="rId9" Type="http://schemas.openxmlformats.org/officeDocument/2006/relationships/hyperlink" Target="https://www.google.com/maps?ll=15.00749,-16.49973&amp;z=17&amp;t=h" TargetMode="External"/><Relationship Id="rId14" Type="http://schemas.openxmlformats.org/officeDocument/2006/relationships/hyperlink" Target="https://www.google.com/maps?ll=15.24256,-16.48520&amp;z=17&amp;t=h" TargetMode="External"/><Relationship Id="rId22" Type="http://schemas.openxmlformats.org/officeDocument/2006/relationships/hyperlink" Target="https://www.google.com/maps/@13.79847,-13.92024,836m/data=!3m1!1e3" TargetMode="External"/><Relationship Id="rId27" Type="http://schemas.openxmlformats.org/officeDocument/2006/relationships/hyperlink" Target="https://www.google.com/maps/@14.83425,-12.42811,1665m/data=!3m1!1e3" TargetMode="External"/><Relationship Id="rId30" Type="http://schemas.openxmlformats.org/officeDocument/2006/relationships/hyperlink" Target="https://www.google.com/maps/@16.4764002,-15.2741195,1379m/data=!3m1!1e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4039-E0E6-421E-891C-0C872AE601D9}">
  <dimension ref="A2:B28"/>
  <sheetViews>
    <sheetView workbookViewId="0">
      <selection activeCell="A8" sqref="A8"/>
    </sheetView>
  </sheetViews>
  <sheetFormatPr defaultRowHeight="15" x14ac:dyDescent="0.25"/>
  <cols>
    <col min="1" max="1" width="91.42578125" bestFit="1" customWidth="1"/>
  </cols>
  <sheetData>
    <row r="2" spans="1:2" x14ac:dyDescent="0.25">
      <c r="A2" t="s">
        <v>168</v>
      </c>
    </row>
    <row r="9" spans="1:2" x14ac:dyDescent="0.25">
      <c r="A9" s="24" t="s">
        <v>146</v>
      </c>
      <c r="B9" t="s">
        <v>169</v>
      </c>
    </row>
    <row r="10" spans="1:2" x14ac:dyDescent="0.25">
      <c r="A10" s="24" t="s">
        <v>111</v>
      </c>
      <c r="B10" t="s">
        <v>134</v>
      </c>
    </row>
    <row r="11" spans="1:2" x14ac:dyDescent="0.25">
      <c r="A11" s="25" t="s">
        <v>112</v>
      </c>
      <c r="B11" t="s">
        <v>134</v>
      </c>
    </row>
    <row r="12" spans="1:2" x14ac:dyDescent="0.25">
      <c r="A12" s="26" t="s">
        <v>113</v>
      </c>
      <c r="B12" t="s">
        <v>134</v>
      </c>
    </row>
    <row r="13" spans="1:2" x14ac:dyDescent="0.25">
      <c r="A13" s="25" t="s">
        <v>114</v>
      </c>
      <c r="B13" t="s">
        <v>134</v>
      </c>
    </row>
    <row r="14" spans="1:2" x14ac:dyDescent="0.25">
      <c r="A14" s="26" t="s">
        <v>115</v>
      </c>
      <c r="B14" t="s">
        <v>134</v>
      </c>
    </row>
    <row r="15" spans="1:2" x14ac:dyDescent="0.25">
      <c r="A15" s="25" t="s">
        <v>116</v>
      </c>
      <c r="B15" t="s">
        <v>134</v>
      </c>
    </row>
    <row r="16" spans="1:2" x14ac:dyDescent="0.25">
      <c r="A16" s="25" t="s">
        <v>117</v>
      </c>
      <c r="B16" t="s">
        <v>134</v>
      </c>
    </row>
    <row r="17" spans="1:2" x14ac:dyDescent="0.25">
      <c r="A17" s="25" t="s">
        <v>118</v>
      </c>
      <c r="B17" t="s">
        <v>134</v>
      </c>
    </row>
    <row r="18" spans="1:2" x14ac:dyDescent="0.25">
      <c r="A18" s="25" t="s">
        <v>108</v>
      </c>
      <c r="B18" t="s">
        <v>134</v>
      </c>
    </row>
    <row r="19" spans="1:2" x14ac:dyDescent="0.25">
      <c r="A19" s="25" t="s">
        <v>109</v>
      </c>
      <c r="B19" t="s">
        <v>134</v>
      </c>
    </row>
    <row r="20" spans="1:2" x14ac:dyDescent="0.25">
      <c r="A20" s="25" t="s">
        <v>110</v>
      </c>
      <c r="B20" t="s">
        <v>134</v>
      </c>
    </row>
    <row r="21" spans="1:2" x14ac:dyDescent="0.25">
      <c r="A21" s="24" t="s">
        <v>103</v>
      </c>
    </row>
    <row r="22" spans="1:2" x14ac:dyDescent="0.25">
      <c r="A22" s="25" t="s">
        <v>104</v>
      </c>
      <c r="B22" t="s">
        <v>134</v>
      </c>
    </row>
    <row r="23" spans="1:2" x14ac:dyDescent="0.25">
      <c r="A23" s="25" t="s">
        <v>105</v>
      </c>
      <c r="B23" t="s">
        <v>134</v>
      </c>
    </row>
    <row r="24" spans="1:2" x14ac:dyDescent="0.25">
      <c r="A24" s="25" t="s">
        <v>106</v>
      </c>
      <c r="B24" t="s">
        <v>134</v>
      </c>
    </row>
    <row r="25" spans="1:2" x14ac:dyDescent="0.25">
      <c r="A25" s="25" t="s">
        <v>107</v>
      </c>
      <c r="B25" t="s">
        <v>134</v>
      </c>
    </row>
    <row r="26" spans="1:2" x14ac:dyDescent="0.25">
      <c r="A26" s="25" t="s">
        <v>108</v>
      </c>
      <c r="B26" t="s">
        <v>134</v>
      </c>
    </row>
    <row r="27" spans="1:2" x14ac:dyDescent="0.25">
      <c r="A27" s="25" t="s">
        <v>109</v>
      </c>
      <c r="B27" t="s">
        <v>134</v>
      </c>
    </row>
    <row r="28" spans="1:2" x14ac:dyDescent="0.25">
      <c r="A28" s="25" t="s">
        <v>110</v>
      </c>
      <c r="B28"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DCA10-1351-48C4-8A67-38619815B1EB}">
  <dimension ref="A3:G4"/>
  <sheetViews>
    <sheetView zoomScaleNormal="100" workbookViewId="0">
      <selection activeCell="A2" sqref="A2"/>
    </sheetView>
  </sheetViews>
  <sheetFormatPr defaultRowHeight="15" x14ac:dyDescent="0.25"/>
  <cols>
    <col min="1" max="1" width="53.5703125" customWidth="1"/>
    <col min="2" max="2" width="56.85546875" customWidth="1"/>
    <col min="3" max="3" width="78.28515625" customWidth="1"/>
    <col min="4" max="4" width="62.85546875" customWidth="1"/>
    <col min="5" max="5" width="39.140625" customWidth="1"/>
    <col min="6" max="6" width="66.85546875" customWidth="1"/>
    <col min="7" max="7" width="51.42578125" customWidth="1"/>
  </cols>
  <sheetData>
    <row r="3" spans="1:7" s="43" customFormat="1" ht="18.75" x14ac:dyDescent="0.3">
      <c r="A3" s="42" t="s">
        <v>89</v>
      </c>
      <c r="B3" s="42" t="s">
        <v>90</v>
      </c>
      <c r="C3" s="42" t="s">
        <v>91</v>
      </c>
      <c r="D3" s="42" t="s">
        <v>92</v>
      </c>
      <c r="E3" s="42" t="s">
        <v>93</v>
      </c>
      <c r="F3" s="42" t="s">
        <v>94</v>
      </c>
      <c r="G3" s="42" t="s">
        <v>95</v>
      </c>
    </row>
    <row r="4" spans="1:7" ht="409.5" x14ac:dyDescent="0.25">
      <c r="A4" s="8" t="s">
        <v>127</v>
      </c>
      <c r="B4" s="8" t="s">
        <v>130</v>
      </c>
      <c r="C4" s="8" t="s">
        <v>128</v>
      </c>
      <c r="D4" s="8" t="s">
        <v>129</v>
      </c>
      <c r="E4" s="41" t="s">
        <v>133</v>
      </c>
      <c r="F4" s="8" t="s">
        <v>131</v>
      </c>
      <c r="G4" s="8"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F3DD8-B48B-44B1-B5AD-104550FEEDB4}">
  <dimension ref="A1:A4"/>
  <sheetViews>
    <sheetView workbookViewId="0">
      <selection activeCell="A6" sqref="A6"/>
    </sheetView>
  </sheetViews>
  <sheetFormatPr defaultRowHeight="15" x14ac:dyDescent="0.25"/>
  <cols>
    <col min="1" max="1" width="97.28515625" bestFit="1" customWidth="1"/>
  </cols>
  <sheetData>
    <row r="1" spans="1:1" x14ac:dyDescent="0.25">
      <c r="A1" s="60" t="s">
        <v>170</v>
      </c>
    </row>
    <row r="2" spans="1:1" x14ac:dyDescent="0.25">
      <c r="A2" t="s">
        <v>171</v>
      </c>
    </row>
    <row r="4" spans="1:1" x14ac:dyDescent="0.25">
      <c r="A4" t="s">
        <v>172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A9CB-D15E-44C3-AAA5-E47FC746788A}">
  <dimension ref="A1:C9"/>
  <sheetViews>
    <sheetView zoomScale="115" zoomScaleNormal="115" workbookViewId="0">
      <selection activeCell="C26" sqref="C26"/>
    </sheetView>
  </sheetViews>
  <sheetFormatPr defaultRowHeight="15" x14ac:dyDescent="0.25"/>
  <cols>
    <col min="1" max="1" width="12.85546875" bestFit="1" customWidth="1"/>
    <col min="2" max="2" width="28" bestFit="1" customWidth="1"/>
    <col min="3" max="3" width="47.7109375" bestFit="1" customWidth="1"/>
  </cols>
  <sheetData>
    <row r="1" spans="1:3" ht="15.75" thickBot="1" x14ac:dyDescent="0.3"/>
    <row r="2" spans="1:3" ht="15.75" thickBot="1" x14ac:dyDescent="0.3">
      <c r="A2" s="55" t="s">
        <v>146</v>
      </c>
      <c r="B2" s="56" t="s">
        <v>147</v>
      </c>
      <c r="C2" s="57" t="s">
        <v>148</v>
      </c>
    </row>
    <row r="3" spans="1:3" ht="15.75" thickBot="1" x14ac:dyDescent="0.3">
      <c r="A3" s="54" t="s">
        <v>140</v>
      </c>
      <c r="B3" s="51" t="s">
        <v>141</v>
      </c>
      <c r="C3" s="50" t="s">
        <v>137</v>
      </c>
    </row>
    <row r="4" spans="1:3" ht="15.75" thickBot="1" x14ac:dyDescent="0.3">
      <c r="A4" s="54" t="s">
        <v>142</v>
      </c>
      <c r="B4" s="51" t="s">
        <v>143</v>
      </c>
      <c r="C4" s="50" t="s">
        <v>138</v>
      </c>
    </row>
    <row r="5" spans="1:3" x14ac:dyDescent="0.25">
      <c r="A5" s="94" t="s">
        <v>97</v>
      </c>
      <c r="B5" s="46" t="s">
        <v>91</v>
      </c>
      <c r="C5" s="97" t="s">
        <v>144</v>
      </c>
    </row>
    <row r="6" spans="1:3" x14ac:dyDescent="0.25">
      <c r="A6" s="95"/>
      <c r="B6" s="47" t="s">
        <v>92</v>
      </c>
      <c r="C6" s="98"/>
    </row>
    <row r="7" spans="1:3" ht="15.75" thickBot="1" x14ac:dyDescent="0.3">
      <c r="A7" s="96"/>
      <c r="B7" s="48" t="s">
        <v>93</v>
      </c>
      <c r="C7" s="99"/>
    </row>
    <row r="8" spans="1:3" ht="15.75" thickBot="1" x14ac:dyDescent="0.3">
      <c r="A8" s="49" t="s">
        <v>139</v>
      </c>
      <c r="B8" s="50" t="s">
        <v>94</v>
      </c>
      <c r="C8" s="53" t="s">
        <v>145</v>
      </c>
    </row>
    <row r="9" spans="1:3" ht="15.75" thickBot="1" x14ac:dyDescent="0.3">
      <c r="A9" s="49" t="s">
        <v>99</v>
      </c>
      <c r="B9" s="51" t="s">
        <v>95</v>
      </c>
      <c r="C9" s="52" t="s">
        <v>144</v>
      </c>
    </row>
  </sheetData>
  <mergeCells count="2">
    <mergeCell ref="A5:A7"/>
    <mergeCell ref="C5: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0ACA-055B-475B-89BE-8D08307B8365}">
  <dimension ref="A1:S40"/>
  <sheetViews>
    <sheetView topLeftCell="A4" workbookViewId="0">
      <selection activeCell="J11" sqref="J11"/>
    </sheetView>
  </sheetViews>
  <sheetFormatPr defaultRowHeight="15" x14ac:dyDescent="0.25"/>
  <cols>
    <col min="1" max="1" width="28" bestFit="1" customWidth="1"/>
    <col min="2" max="2" width="21.7109375" bestFit="1" customWidth="1"/>
    <col min="3" max="3" width="15.7109375" bestFit="1" customWidth="1"/>
    <col min="4" max="4" width="15.7109375" customWidth="1"/>
    <col min="6" max="6" width="28" bestFit="1" customWidth="1"/>
    <col min="7" max="7" width="21.7109375" bestFit="1" customWidth="1"/>
    <col min="8" max="8" width="15" bestFit="1" customWidth="1"/>
    <col min="9" max="9" width="15" customWidth="1"/>
    <col min="11" max="11" width="28" bestFit="1" customWidth="1"/>
    <col min="12" max="12" width="21.7109375" bestFit="1" customWidth="1"/>
    <col min="13" max="13" width="15" bestFit="1" customWidth="1"/>
    <col min="14" max="14" width="15" customWidth="1"/>
    <col min="16" max="16" width="28" bestFit="1" customWidth="1"/>
    <col min="17" max="17" width="21.7109375" bestFit="1" customWidth="1"/>
    <col min="18" max="19" width="15" bestFit="1" customWidth="1"/>
  </cols>
  <sheetData>
    <row r="1" spans="1:4" x14ac:dyDescent="0.25">
      <c r="A1" s="62" t="s">
        <v>179</v>
      </c>
      <c r="B1" s="63">
        <f>+B12</f>
        <v>2123186</v>
      </c>
    </row>
    <row r="2" spans="1:4" x14ac:dyDescent="0.25">
      <c r="A2" s="1" t="s">
        <v>180</v>
      </c>
      <c r="B2" s="1">
        <v>708.09</v>
      </c>
    </row>
    <row r="3" spans="1:4" x14ac:dyDescent="0.25">
      <c r="A3" s="44" t="s">
        <v>150</v>
      </c>
      <c r="B3" s="58" t="s">
        <v>151</v>
      </c>
      <c r="C3" s="66" t="s">
        <v>119</v>
      </c>
      <c r="D3" s="64"/>
    </row>
    <row r="4" spans="1:4" x14ac:dyDescent="0.25">
      <c r="A4" s="45" t="s">
        <v>135</v>
      </c>
      <c r="B4" s="45" t="s">
        <v>136</v>
      </c>
      <c r="C4" s="45" t="s">
        <v>152</v>
      </c>
      <c r="D4" s="65"/>
    </row>
    <row r="5" spans="1:4" x14ac:dyDescent="0.25">
      <c r="A5" s="2" t="s">
        <v>89</v>
      </c>
      <c r="B5" s="2">
        <v>1138036</v>
      </c>
      <c r="C5" s="2">
        <f>+B5/8</f>
        <v>142254.5</v>
      </c>
    </row>
    <row r="6" spans="1:4" x14ac:dyDescent="0.25">
      <c r="A6" s="2" t="s">
        <v>90</v>
      </c>
      <c r="B6" s="2">
        <v>969000</v>
      </c>
      <c r="C6" s="2">
        <f t="shared" ref="C6:C11" si="0">+B6/8</f>
        <v>121125</v>
      </c>
    </row>
    <row r="7" spans="1:4" x14ac:dyDescent="0.25">
      <c r="A7" s="2" t="s">
        <v>91</v>
      </c>
      <c r="B7" s="2">
        <v>3230</v>
      </c>
      <c r="C7" s="2">
        <f t="shared" si="0"/>
        <v>403.75</v>
      </c>
    </row>
    <row r="8" spans="1:4" x14ac:dyDescent="0.25">
      <c r="A8" s="2" t="s">
        <v>92</v>
      </c>
      <c r="B8" s="2"/>
      <c r="C8" s="2">
        <f t="shared" si="0"/>
        <v>0</v>
      </c>
    </row>
    <row r="9" spans="1:4" x14ac:dyDescent="0.25">
      <c r="A9" s="2" t="s">
        <v>93</v>
      </c>
      <c r="B9" s="2">
        <v>3230</v>
      </c>
      <c r="C9" s="2">
        <f t="shared" si="0"/>
        <v>403.75</v>
      </c>
    </row>
    <row r="10" spans="1:4" x14ac:dyDescent="0.25">
      <c r="A10" s="2" t="s">
        <v>94</v>
      </c>
      <c r="B10" s="2">
        <v>3230</v>
      </c>
      <c r="C10" s="2">
        <f t="shared" si="0"/>
        <v>403.75</v>
      </c>
    </row>
    <row r="11" spans="1:4" x14ac:dyDescent="0.25">
      <c r="A11" s="2" t="s">
        <v>95</v>
      </c>
      <c r="B11" s="2">
        <v>6460</v>
      </c>
      <c r="C11" s="2">
        <f t="shared" si="0"/>
        <v>807.5</v>
      </c>
    </row>
    <row r="12" spans="1:4" x14ac:dyDescent="0.25">
      <c r="A12" s="2" t="s">
        <v>126</v>
      </c>
      <c r="B12" s="4">
        <f>SUM(B5:B11)</f>
        <v>2123186</v>
      </c>
      <c r="C12" s="2"/>
    </row>
    <row r="15" spans="1:4" x14ac:dyDescent="0.25">
      <c r="A15" s="60" t="s">
        <v>177</v>
      </c>
      <c r="B15" s="61">
        <f>+B26+G26+L26</f>
        <v>11959300</v>
      </c>
    </row>
    <row r="16" spans="1:4" x14ac:dyDescent="0.25">
      <c r="A16" s="1" t="s">
        <v>181</v>
      </c>
      <c r="B16" s="67">
        <v>452234.66666666669</v>
      </c>
    </row>
    <row r="17" spans="1:19" x14ac:dyDescent="0.25">
      <c r="A17" s="44" t="s">
        <v>150</v>
      </c>
      <c r="B17" s="58" t="s">
        <v>155</v>
      </c>
      <c r="C17" s="58" t="s">
        <v>120</v>
      </c>
      <c r="D17" s="68"/>
      <c r="F17" s="44" t="s">
        <v>150</v>
      </c>
      <c r="G17" s="58" t="s">
        <v>156</v>
      </c>
      <c r="H17" s="58" t="s">
        <v>154</v>
      </c>
      <c r="I17" s="64"/>
      <c r="K17" s="44" t="s">
        <v>150</v>
      </c>
      <c r="L17" s="58" t="s">
        <v>157</v>
      </c>
      <c r="M17" s="58" t="s">
        <v>154</v>
      </c>
      <c r="N17" s="64"/>
    </row>
    <row r="18" spans="1:19" x14ac:dyDescent="0.25">
      <c r="A18" s="45" t="s">
        <v>135</v>
      </c>
      <c r="B18" s="45" t="s">
        <v>136</v>
      </c>
      <c r="C18" s="45" t="s">
        <v>152</v>
      </c>
      <c r="D18" s="45" t="s">
        <v>183</v>
      </c>
      <c r="F18" s="45" t="s">
        <v>135</v>
      </c>
      <c r="G18" s="45" t="s">
        <v>136</v>
      </c>
      <c r="H18" s="45" t="s">
        <v>152</v>
      </c>
      <c r="I18" s="45" t="s">
        <v>183</v>
      </c>
      <c r="K18" s="45" t="s">
        <v>135</v>
      </c>
      <c r="L18" s="45" t="s">
        <v>136</v>
      </c>
      <c r="M18" s="45" t="s">
        <v>152</v>
      </c>
      <c r="N18" s="45" t="s">
        <v>183</v>
      </c>
    </row>
    <row r="19" spans="1:19" x14ac:dyDescent="0.25">
      <c r="A19" s="2" t="s">
        <v>89</v>
      </c>
      <c r="B19" s="22">
        <v>2835911.1111111115</v>
      </c>
      <c r="C19" s="21">
        <f>+B19/8</f>
        <v>354488.88888888893</v>
      </c>
      <c r="D19" s="100">
        <v>150744.88888888899</v>
      </c>
      <c r="F19" s="2" t="s">
        <v>89</v>
      </c>
      <c r="G19" s="22">
        <v>2835911.1111111115</v>
      </c>
      <c r="H19" s="21">
        <f>+G19/8</f>
        <v>354488.88888888893</v>
      </c>
      <c r="I19" s="100">
        <v>150744.88888888899</v>
      </c>
      <c r="K19" s="2" t="s">
        <v>89</v>
      </c>
      <c r="L19" s="22">
        <v>2835911.1111111115</v>
      </c>
      <c r="M19" s="21">
        <f>+L19/8</f>
        <v>354488.88888888893</v>
      </c>
      <c r="N19" s="100">
        <v>150744.88888888899</v>
      </c>
    </row>
    <row r="20" spans="1:19" x14ac:dyDescent="0.25">
      <c r="A20" s="2" t="s">
        <v>90</v>
      </c>
      <c r="B20" s="22">
        <v>0</v>
      </c>
      <c r="C20" s="21">
        <f t="shared" ref="C20:C25" si="1">+B20/8</f>
        <v>0</v>
      </c>
      <c r="D20" s="101"/>
      <c r="F20" s="2" t="s">
        <v>90</v>
      </c>
      <c r="G20" s="22">
        <v>0</v>
      </c>
      <c r="H20" s="21">
        <f t="shared" ref="H20:H25" si="2">+G20/8</f>
        <v>0</v>
      </c>
      <c r="I20" s="101"/>
      <c r="K20" s="2" t="s">
        <v>90</v>
      </c>
      <c r="L20" s="22">
        <v>0</v>
      </c>
      <c r="M20" s="21">
        <f t="shared" ref="M20:M25" si="3">+L20/8</f>
        <v>0</v>
      </c>
      <c r="N20" s="101"/>
    </row>
    <row r="21" spans="1:19" x14ac:dyDescent="0.25">
      <c r="A21" s="2" t="s">
        <v>91</v>
      </c>
      <c r="B21" s="22">
        <v>5882.2222222222226</v>
      </c>
      <c r="C21" s="21">
        <f t="shared" si="1"/>
        <v>735.27777777777783</v>
      </c>
      <c r="D21" s="101"/>
      <c r="F21" s="2" t="s">
        <v>91</v>
      </c>
      <c r="G21" s="22">
        <v>5882.2222222222226</v>
      </c>
      <c r="H21" s="21">
        <f t="shared" si="2"/>
        <v>735.27777777777783</v>
      </c>
      <c r="I21" s="101"/>
      <c r="K21" s="2" t="s">
        <v>91</v>
      </c>
      <c r="L21" s="22">
        <v>5882.2222222222226</v>
      </c>
      <c r="M21" s="21">
        <f t="shared" si="3"/>
        <v>735.27777777777783</v>
      </c>
      <c r="N21" s="101"/>
    </row>
    <row r="22" spans="1:19" x14ac:dyDescent="0.25">
      <c r="A22" s="2" t="s">
        <v>92</v>
      </c>
      <c r="B22" s="22">
        <v>1111111.1111111112</v>
      </c>
      <c r="C22" s="21">
        <f t="shared" si="1"/>
        <v>138888.88888888891</v>
      </c>
      <c r="D22" s="101"/>
      <c r="F22" s="2" t="s">
        <v>92</v>
      </c>
      <c r="G22" s="22">
        <v>1111111.1111111112</v>
      </c>
      <c r="H22" s="21">
        <f t="shared" si="2"/>
        <v>138888.88888888891</v>
      </c>
      <c r="I22" s="101"/>
      <c r="K22" s="2" t="s">
        <v>92</v>
      </c>
      <c r="L22" s="22">
        <v>1111111.1111111112</v>
      </c>
      <c r="M22" s="21">
        <f t="shared" si="3"/>
        <v>138888.88888888891</v>
      </c>
      <c r="N22" s="101"/>
    </row>
    <row r="23" spans="1:19" x14ac:dyDescent="0.25">
      <c r="A23" s="2" t="s">
        <v>93</v>
      </c>
      <c r="B23" s="22">
        <v>5882.2222222222226</v>
      </c>
      <c r="C23" s="21">
        <f t="shared" si="1"/>
        <v>735.27777777777783</v>
      </c>
      <c r="D23" s="101"/>
      <c r="F23" s="2" t="s">
        <v>93</v>
      </c>
      <c r="G23" s="22">
        <v>5882.2222222222226</v>
      </c>
      <c r="H23" s="21">
        <f t="shared" si="2"/>
        <v>735.27777777777783</v>
      </c>
      <c r="I23" s="101"/>
      <c r="K23" s="2" t="s">
        <v>93</v>
      </c>
      <c r="L23" s="22">
        <v>5882.2222222222226</v>
      </c>
      <c r="M23" s="21">
        <f t="shared" si="3"/>
        <v>735.27777777777783</v>
      </c>
      <c r="N23" s="101"/>
    </row>
    <row r="24" spans="1:19" x14ac:dyDescent="0.25">
      <c r="A24" s="2" t="s">
        <v>94</v>
      </c>
      <c r="B24" s="22">
        <v>9215.5555555555566</v>
      </c>
      <c r="C24" s="21">
        <f t="shared" si="1"/>
        <v>1151.9444444444446</v>
      </c>
      <c r="D24" s="101"/>
      <c r="F24" s="2" t="s">
        <v>94</v>
      </c>
      <c r="G24" s="22">
        <v>9215.5555555555566</v>
      </c>
      <c r="H24" s="21">
        <f t="shared" si="2"/>
        <v>1151.9444444444446</v>
      </c>
      <c r="I24" s="101"/>
      <c r="K24" s="2" t="s">
        <v>94</v>
      </c>
      <c r="L24" s="22">
        <v>9215.5555555555566</v>
      </c>
      <c r="M24" s="21">
        <f t="shared" si="3"/>
        <v>1151.9444444444446</v>
      </c>
      <c r="N24" s="101"/>
    </row>
    <row r="25" spans="1:19" x14ac:dyDescent="0.25">
      <c r="A25" s="2" t="s">
        <v>95</v>
      </c>
      <c r="B25" s="22">
        <v>18431.111111111113</v>
      </c>
      <c r="C25" s="21">
        <f t="shared" si="1"/>
        <v>2303.8888888888891</v>
      </c>
      <c r="D25" s="101"/>
      <c r="F25" s="2" t="s">
        <v>95</v>
      </c>
      <c r="G25" s="22">
        <v>18431.111111111113</v>
      </c>
      <c r="H25" s="21">
        <f t="shared" si="2"/>
        <v>2303.8888888888891</v>
      </c>
      <c r="I25" s="101"/>
      <c r="K25" s="2" t="s">
        <v>95</v>
      </c>
      <c r="L25" s="22">
        <v>18431.111111111113</v>
      </c>
      <c r="M25" s="21">
        <f t="shared" si="3"/>
        <v>2303.8888888888891</v>
      </c>
      <c r="N25" s="101"/>
    </row>
    <row r="26" spans="1:19" x14ac:dyDescent="0.25">
      <c r="A26" s="2" t="s">
        <v>126</v>
      </c>
      <c r="B26" s="4">
        <f>SUM(B19:B25)</f>
        <v>3986433.3333333335</v>
      </c>
      <c r="C26" s="2"/>
      <c r="D26" s="101"/>
      <c r="F26" s="2" t="s">
        <v>126</v>
      </c>
      <c r="G26" s="4">
        <f>SUM(G19:G25)</f>
        <v>3986433.3333333335</v>
      </c>
      <c r="H26" s="2"/>
      <c r="I26" s="101"/>
      <c r="K26" s="2" t="s">
        <v>126</v>
      </c>
      <c r="L26" s="4">
        <f>SUM(L19:L25)</f>
        <v>3986433.3333333335</v>
      </c>
      <c r="M26" s="2"/>
      <c r="N26" s="101"/>
    </row>
    <row r="29" spans="1:19" x14ac:dyDescent="0.25">
      <c r="A29" s="60" t="s">
        <v>178</v>
      </c>
      <c r="B29" s="61">
        <f>+B40+G40+L40+Q40</f>
        <v>23918599.999999996</v>
      </c>
    </row>
    <row r="30" spans="1:19" x14ac:dyDescent="0.25">
      <c r="A30" s="1" t="s">
        <v>182</v>
      </c>
      <c r="B30" s="67">
        <v>904469.33333333326</v>
      </c>
    </row>
    <row r="31" spans="1:19" x14ac:dyDescent="0.25">
      <c r="A31" s="44" t="s">
        <v>150</v>
      </c>
      <c r="B31" s="58" t="s">
        <v>173</v>
      </c>
      <c r="C31" s="58" t="s">
        <v>121</v>
      </c>
      <c r="D31" s="64"/>
      <c r="F31" s="44" t="s">
        <v>150</v>
      </c>
      <c r="G31" s="58" t="s">
        <v>174</v>
      </c>
      <c r="H31" s="58" t="s">
        <v>121</v>
      </c>
      <c r="I31" s="64"/>
      <c r="K31" s="44" t="s">
        <v>150</v>
      </c>
      <c r="L31" s="58" t="s">
        <v>175</v>
      </c>
      <c r="M31" s="58" t="s">
        <v>121</v>
      </c>
      <c r="N31" s="64"/>
      <c r="P31" s="44" t="s">
        <v>150</v>
      </c>
      <c r="Q31" s="58" t="s">
        <v>176</v>
      </c>
      <c r="R31" s="58" t="s">
        <v>121</v>
      </c>
    </row>
    <row r="32" spans="1:19" x14ac:dyDescent="0.25">
      <c r="A32" s="45" t="s">
        <v>135</v>
      </c>
      <c r="B32" s="45" t="s">
        <v>136</v>
      </c>
      <c r="C32" s="45" t="s">
        <v>152</v>
      </c>
      <c r="D32" s="45" t="s">
        <v>183</v>
      </c>
      <c r="F32" s="45" t="s">
        <v>135</v>
      </c>
      <c r="G32" s="45" t="s">
        <v>136</v>
      </c>
      <c r="H32" s="45" t="s">
        <v>152</v>
      </c>
      <c r="I32" s="45" t="s">
        <v>183</v>
      </c>
      <c r="K32" s="45" t="s">
        <v>135</v>
      </c>
      <c r="L32" s="45" t="s">
        <v>136</v>
      </c>
      <c r="M32" s="45" t="s">
        <v>152</v>
      </c>
      <c r="N32" s="45" t="s">
        <v>183</v>
      </c>
      <c r="P32" s="45" t="s">
        <v>135</v>
      </c>
      <c r="Q32" s="45" t="s">
        <v>136</v>
      </c>
      <c r="R32" s="45" t="s">
        <v>152</v>
      </c>
      <c r="S32" s="45" t="s">
        <v>183</v>
      </c>
    </row>
    <row r="33" spans="1:19" x14ac:dyDescent="0.25">
      <c r="A33" s="2" t="s">
        <v>89</v>
      </c>
      <c r="B33" s="22">
        <v>4253866.666666666</v>
      </c>
      <c r="C33" s="21">
        <f>+B33/8</f>
        <v>531733.33333333326</v>
      </c>
      <c r="D33" s="100">
        <v>226117.33333333331</v>
      </c>
      <c r="F33" s="2" t="s">
        <v>89</v>
      </c>
      <c r="G33" s="22">
        <v>4253866.666666666</v>
      </c>
      <c r="H33" s="21">
        <f>+G33/8</f>
        <v>531733.33333333326</v>
      </c>
      <c r="I33" s="100">
        <v>226117.33333333331</v>
      </c>
      <c r="K33" s="2" t="s">
        <v>89</v>
      </c>
      <c r="L33" s="22">
        <v>4253866.666666666</v>
      </c>
      <c r="M33" s="21">
        <f>+L33/8</f>
        <v>531733.33333333326</v>
      </c>
      <c r="N33" s="100">
        <v>226117.33333333331</v>
      </c>
      <c r="P33" s="2" t="s">
        <v>89</v>
      </c>
      <c r="Q33" s="22">
        <v>4253866.666666666</v>
      </c>
      <c r="R33" s="21">
        <f>+Q33/8</f>
        <v>531733.33333333326</v>
      </c>
      <c r="S33" s="100">
        <v>226117.33333333331</v>
      </c>
    </row>
    <row r="34" spans="1:19" x14ac:dyDescent="0.25">
      <c r="A34" s="2" t="s">
        <v>90</v>
      </c>
      <c r="B34" s="22">
        <v>0</v>
      </c>
      <c r="C34" s="21">
        <f t="shared" ref="C34:C39" si="4">+B34/8</f>
        <v>0</v>
      </c>
      <c r="D34" s="101"/>
      <c r="F34" s="2" t="s">
        <v>90</v>
      </c>
      <c r="G34" s="22">
        <v>0</v>
      </c>
      <c r="H34" s="21">
        <f t="shared" ref="H34:H39" si="5">+G34/8</f>
        <v>0</v>
      </c>
      <c r="I34" s="101"/>
      <c r="K34" s="2" t="s">
        <v>90</v>
      </c>
      <c r="L34" s="22">
        <v>0</v>
      </c>
      <c r="M34" s="21">
        <f t="shared" ref="M34:M39" si="6">+L34/8</f>
        <v>0</v>
      </c>
      <c r="N34" s="101"/>
      <c r="P34" s="2" t="s">
        <v>90</v>
      </c>
      <c r="Q34" s="22">
        <v>0</v>
      </c>
      <c r="R34" s="21">
        <f t="shared" ref="R34:R39" si="7">+Q34/8</f>
        <v>0</v>
      </c>
      <c r="S34" s="101"/>
    </row>
    <row r="35" spans="1:19" x14ac:dyDescent="0.25">
      <c r="A35" s="2" t="s">
        <v>91</v>
      </c>
      <c r="B35" s="22">
        <v>8823.3333333333321</v>
      </c>
      <c r="C35" s="21">
        <f t="shared" si="4"/>
        <v>1102.9166666666665</v>
      </c>
      <c r="D35" s="101"/>
      <c r="F35" s="2" t="s">
        <v>91</v>
      </c>
      <c r="G35" s="22">
        <v>8823.3333333333321</v>
      </c>
      <c r="H35" s="21">
        <f t="shared" si="5"/>
        <v>1102.9166666666665</v>
      </c>
      <c r="I35" s="101"/>
      <c r="K35" s="2" t="s">
        <v>91</v>
      </c>
      <c r="L35" s="22">
        <v>8823.3333333333321</v>
      </c>
      <c r="M35" s="21">
        <f t="shared" si="6"/>
        <v>1102.9166666666665</v>
      </c>
      <c r="N35" s="101"/>
      <c r="P35" s="2" t="s">
        <v>91</v>
      </c>
      <c r="Q35" s="22">
        <v>8823.3333333333321</v>
      </c>
      <c r="R35" s="21">
        <f t="shared" si="7"/>
        <v>1102.9166666666665</v>
      </c>
      <c r="S35" s="101"/>
    </row>
    <row r="36" spans="1:19" x14ac:dyDescent="0.25">
      <c r="A36" s="2" t="s">
        <v>92</v>
      </c>
      <c r="B36" s="22">
        <v>1666666.6666666665</v>
      </c>
      <c r="C36" s="21">
        <f t="shared" si="4"/>
        <v>208333.33333333331</v>
      </c>
      <c r="D36" s="101"/>
      <c r="F36" s="2" t="s">
        <v>92</v>
      </c>
      <c r="G36" s="22">
        <v>1666666.6666666665</v>
      </c>
      <c r="H36" s="21">
        <f t="shared" si="5"/>
        <v>208333.33333333331</v>
      </c>
      <c r="I36" s="101"/>
      <c r="K36" s="2" t="s">
        <v>92</v>
      </c>
      <c r="L36" s="22">
        <v>1666666.6666666665</v>
      </c>
      <c r="M36" s="21">
        <f t="shared" si="6"/>
        <v>208333.33333333331</v>
      </c>
      <c r="N36" s="101"/>
      <c r="P36" s="2" t="s">
        <v>92</v>
      </c>
      <c r="Q36" s="22">
        <v>1666666.6666666665</v>
      </c>
      <c r="R36" s="21">
        <f t="shared" si="7"/>
        <v>208333.33333333331</v>
      </c>
      <c r="S36" s="101"/>
    </row>
    <row r="37" spans="1:19" x14ac:dyDescent="0.25">
      <c r="A37" s="2" t="s">
        <v>93</v>
      </c>
      <c r="B37" s="22">
        <v>8823.3333333333321</v>
      </c>
      <c r="C37" s="21">
        <f t="shared" si="4"/>
        <v>1102.9166666666665</v>
      </c>
      <c r="D37" s="101"/>
      <c r="F37" s="2" t="s">
        <v>93</v>
      </c>
      <c r="G37" s="22">
        <v>8823.3333333333321</v>
      </c>
      <c r="H37" s="21">
        <f t="shared" si="5"/>
        <v>1102.9166666666665</v>
      </c>
      <c r="I37" s="101"/>
      <c r="K37" s="2" t="s">
        <v>93</v>
      </c>
      <c r="L37" s="22">
        <v>8823.3333333333321</v>
      </c>
      <c r="M37" s="21">
        <f t="shared" si="6"/>
        <v>1102.9166666666665</v>
      </c>
      <c r="N37" s="101"/>
      <c r="P37" s="2" t="s">
        <v>93</v>
      </c>
      <c r="Q37" s="22">
        <v>8823.3333333333321</v>
      </c>
      <c r="R37" s="21">
        <f t="shared" si="7"/>
        <v>1102.9166666666665</v>
      </c>
      <c r="S37" s="101"/>
    </row>
    <row r="38" spans="1:19" x14ac:dyDescent="0.25">
      <c r="A38" s="2" t="s">
        <v>94</v>
      </c>
      <c r="B38" s="22">
        <v>13823.333333333332</v>
      </c>
      <c r="C38" s="21">
        <f t="shared" si="4"/>
        <v>1727.9166666666665</v>
      </c>
      <c r="D38" s="101"/>
      <c r="F38" s="2" t="s">
        <v>94</v>
      </c>
      <c r="G38" s="22">
        <v>13823.333333333332</v>
      </c>
      <c r="H38" s="21">
        <f t="shared" si="5"/>
        <v>1727.9166666666665</v>
      </c>
      <c r="I38" s="101"/>
      <c r="K38" s="2" t="s">
        <v>94</v>
      </c>
      <c r="L38" s="22">
        <v>13823.333333333332</v>
      </c>
      <c r="M38" s="21">
        <f t="shared" si="6"/>
        <v>1727.9166666666665</v>
      </c>
      <c r="N38" s="101"/>
      <c r="P38" s="2" t="s">
        <v>94</v>
      </c>
      <c r="Q38" s="22">
        <v>13823.333333333332</v>
      </c>
      <c r="R38" s="21">
        <f t="shared" si="7"/>
        <v>1727.9166666666665</v>
      </c>
      <c r="S38" s="101"/>
    </row>
    <row r="39" spans="1:19" x14ac:dyDescent="0.25">
      <c r="A39" s="2" t="s">
        <v>95</v>
      </c>
      <c r="B39" s="22">
        <v>27646.666666666664</v>
      </c>
      <c r="C39" s="21">
        <f t="shared" si="4"/>
        <v>3455.833333333333</v>
      </c>
      <c r="D39" s="101"/>
      <c r="F39" s="2" t="s">
        <v>95</v>
      </c>
      <c r="G39" s="22">
        <v>27646.666666666664</v>
      </c>
      <c r="H39" s="21">
        <f t="shared" si="5"/>
        <v>3455.833333333333</v>
      </c>
      <c r="I39" s="101"/>
      <c r="K39" s="2" t="s">
        <v>95</v>
      </c>
      <c r="L39" s="22">
        <v>27646.666666666664</v>
      </c>
      <c r="M39" s="21">
        <f t="shared" si="6"/>
        <v>3455.833333333333</v>
      </c>
      <c r="N39" s="101"/>
      <c r="P39" s="2" t="s">
        <v>95</v>
      </c>
      <c r="Q39" s="22">
        <v>27646.666666666664</v>
      </c>
      <c r="R39" s="21">
        <f t="shared" si="7"/>
        <v>3455.833333333333</v>
      </c>
      <c r="S39" s="101"/>
    </row>
    <row r="40" spans="1:19" x14ac:dyDescent="0.25">
      <c r="A40" s="2" t="s">
        <v>126</v>
      </c>
      <c r="B40" s="4">
        <f>SUM(B33:B39)</f>
        <v>5979649.9999999991</v>
      </c>
      <c r="C40" s="2"/>
      <c r="D40" s="101"/>
      <c r="F40" s="2" t="s">
        <v>126</v>
      </c>
      <c r="G40" s="4">
        <f>SUM(G33:G39)</f>
        <v>5979649.9999999991</v>
      </c>
      <c r="H40" s="2"/>
      <c r="I40" s="101"/>
      <c r="K40" s="2" t="s">
        <v>126</v>
      </c>
      <c r="L40" s="4">
        <f>SUM(L33:L39)</f>
        <v>5979649.9999999991</v>
      </c>
      <c r="M40" s="2"/>
      <c r="N40" s="101"/>
      <c r="P40" s="2" t="s">
        <v>126</v>
      </c>
      <c r="Q40" s="4">
        <f>SUM(Q33:Q39)</f>
        <v>5979649.9999999991</v>
      </c>
      <c r="R40" s="2"/>
      <c r="S40" s="101"/>
    </row>
  </sheetData>
  <mergeCells count="7">
    <mergeCell ref="N19:N26"/>
    <mergeCell ref="N33:N40"/>
    <mergeCell ref="S33:S40"/>
    <mergeCell ref="D19:D26"/>
    <mergeCell ref="D33:D40"/>
    <mergeCell ref="I19:I26"/>
    <mergeCell ref="I33:I40"/>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125A-59B5-42EA-99A4-A013567F9202}">
  <dimension ref="A5:C12"/>
  <sheetViews>
    <sheetView workbookViewId="0">
      <selection activeCell="C15" sqref="C15"/>
    </sheetView>
  </sheetViews>
  <sheetFormatPr defaultRowHeight="15" x14ac:dyDescent="0.25"/>
  <cols>
    <col min="1" max="1" width="17.42578125" bestFit="1" customWidth="1"/>
    <col min="2" max="2" width="40.85546875" bestFit="1" customWidth="1"/>
    <col min="3" max="3" width="59.7109375" customWidth="1"/>
  </cols>
  <sheetData>
    <row r="5" spans="1:3" x14ac:dyDescent="0.25">
      <c r="A5" s="1" t="s">
        <v>147</v>
      </c>
      <c r="B5" s="1" t="s">
        <v>158</v>
      </c>
      <c r="C5" s="1" t="s">
        <v>159</v>
      </c>
    </row>
    <row r="6" spans="1:3" x14ac:dyDescent="0.25">
      <c r="A6" s="2" t="s">
        <v>141</v>
      </c>
      <c r="B6" s="2" t="s">
        <v>160</v>
      </c>
      <c r="C6" s="102" t="s">
        <v>167</v>
      </c>
    </row>
    <row r="7" spans="1:3" x14ac:dyDescent="0.25">
      <c r="A7" s="2" t="s">
        <v>143</v>
      </c>
      <c r="B7" s="2" t="s">
        <v>161</v>
      </c>
      <c r="C7" s="102"/>
    </row>
    <row r="8" spans="1:3" x14ac:dyDescent="0.25">
      <c r="A8" s="2" t="s">
        <v>91</v>
      </c>
      <c r="B8" s="2" t="s">
        <v>162</v>
      </c>
      <c r="C8" s="102"/>
    </row>
    <row r="9" spans="1:3" x14ac:dyDescent="0.25">
      <c r="A9" s="2" t="s">
        <v>92</v>
      </c>
      <c r="B9" s="2" t="s">
        <v>163</v>
      </c>
      <c r="C9" s="102"/>
    </row>
    <row r="10" spans="1:3" x14ac:dyDescent="0.25">
      <c r="A10" s="2" t="s">
        <v>93</v>
      </c>
      <c r="B10" s="2" t="s">
        <v>166</v>
      </c>
      <c r="C10" s="102"/>
    </row>
    <row r="11" spans="1:3" x14ac:dyDescent="0.25">
      <c r="A11" s="2" t="s">
        <v>94</v>
      </c>
      <c r="B11" s="2" t="s">
        <v>165</v>
      </c>
      <c r="C11" s="102"/>
    </row>
    <row r="12" spans="1:3" x14ac:dyDescent="0.25">
      <c r="A12" s="2" t="s">
        <v>95</v>
      </c>
      <c r="B12" s="2" t="s">
        <v>164</v>
      </c>
      <c r="C12" s="102"/>
    </row>
  </sheetData>
  <mergeCells count="1">
    <mergeCell ref="C6:C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E9E0-BDDC-44AF-8DC0-5EB411BF994C}">
  <dimension ref="A1:L10"/>
  <sheetViews>
    <sheetView workbookViewId="0">
      <selection activeCell="A2" sqref="A2:L6"/>
    </sheetView>
  </sheetViews>
  <sheetFormatPr defaultRowHeight="15" x14ac:dyDescent="0.25"/>
  <cols>
    <col min="1" max="1" width="41.85546875" bestFit="1" customWidth="1"/>
    <col min="2" max="4" width="10.140625" bestFit="1" customWidth="1"/>
    <col min="5" max="12" width="11.28515625" bestFit="1" customWidth="1"/>
  </cols>
  <sheetData>
    <row r="1" spans="1:12" ht="15.75" thickBot="1" x14ac:dyDescent="0.3"/>
    <row r="2" spans="1:12" ht="15.75" x14ac:dyDescent="0.25">
      <c r="A2" s="27"/>
      <c r="B2" s="103" t="s">
        <v>119</v>
      </c>
      <c r="C2" s="104"/>
      <c r="D2" s="105" t="s">
        <v>120</v>
      </c>
      <c r="E2" s="106"/>
      <c r="F2" s="107"/>
      <c r="G2" s="105" t="s">
        <v>121</v>
      </c>
      <c r="H2" s="106"/>
      <c r="I2" s="106"/>
      <c r="J2" s="106"/>
      <c r="K2" s="106"/>
      <c r="L2" s="107"/>
    </row>
    <row r="3" spans="1:12" ht="15.75" x14ac:dyDescent="0.25">
      <c r="A3" s="28" t="s">
        <v>122</v>
      </c>
      <c r="B3" s="32">
        <v>2023</v>
      </c>
      <c r="C3" s="33">
        <v>2024</v>
      </c>
      <c r="D3" s="32">
        <v>2025</v>
      </c>
      <c r="E3" s="34">
        <v>2026</v>
      </c>
      <c r="F3" s="33">
        <v>2027</v>
      </c>
      <c r="G3" s="32">
        <v>2028</v>
      </c>
      <c r="H3" s="34">
        <v>2029</v>
      </c>
      <c r="I3" s="34">
        <v>2030</v>
      </c>
      <c r="J3" s="34">
        <v>2031</v>
      </c>
      <c r="K3" s="34">
        <v>2032</v>
      </c>
      <c r="L3" s="33">
        <v>2033</v>
      </c>
    </row>
    <row r="4" spans="1:12" ht="15.75" x14ac:dyDescent="0.25">
      <c r="A4" s="28" t="s">
        <v>123</v>
      </c>
      <c r="B4" s="35">
        <v>2000000</v>
      </c>
      <c r="C4" s="36">
        <v>3000000</v>
      </c>
      <c r="D4" s="35">
        <v>4000000</v>
      </c>
      <c r="E4" s="37">
        <v>5000000</v>
      </c>
      <c r="F4" s="36">
        <v>5000000</v>
      </c>
      <c r="G4" s="35">
        <v>5000000</v>
      </c>
      <c r="H4" s="37">
        <v>5000000</v>
      </c>
      <c r="I4" s="37">
        <v>5000000</v>
      </c>
      <c r="J4" s="34"/>
      <c r="K4" s="34"/>
      <c r="L4" s="33"/>
    </row>
    <row r="5" spans="1:12" ht="15.75" x14ac:dyDescent="0.25">
      <c r="A5" s="28" t="s">
        <v>124</v>
      </c>
      <c r="B5" s="35"/>
      <c r="C5" s="35">
        <v>2000000</v>
      </c>
      <c r="D5" s="36">
        <v>3000000</v>
      </c>
      <c r="E5" s="35">
        <v>4000000</v>
      </c>
      <c r="F5" s="37">
        <v>5000000</v>
      </c>
      <c r="G5" s="36">
        <v>5000000</v>
      </c>
      <c r="H5" s="35">
        <v>5000000</v>
      </c>
      <c r="I5" s="37">
        <v>5000000</v>
      </c>
      <c r="J5" s="37">
        <v>5000000</v>
      </c>
      <c r="K5" s="34"/>
      <c r="L5" s="33"/>
    </row>
    <row r="6" spans="1:12" ht="16.5" thickBot="1" x14ac:dyDescent="0.3">
      <c r="A6" s="27" t="s">
        <v>125</v>
      </c>
      <c r="B6" s="38"/>
      <c r="C6" s="38">
        <v>2000000</v>
      </c>
      <c r="D6" s="39">
        <v>5000000</v>
      </c>
      <c r="E6" s="38">
        <v>9000000</v>
      </c>
      <c r="F6" s="40">
        <v>14000000</v>
      </c>
      <c r="G6" s="39">
        <v>19000000</v>
      </c>
      <c r="H6" s="38">
        <v>24000000</v>
      </c>
      <c r="I6" s="40">
        <v>29000000</v>
      </c>
      <c r="J6" s="40">
        <v>34000000</v>
      </c>
      <c r="K6" s="40">
        <v>34000000</v>
      </c>
      <c r="L6" s="40">
        <v>34000000</v>
      </c>
    </row>
    <row r="10" spans="1:12" x14ac:dyDescent="0.25">
      <c r="A10" t="s">
        <v>149</v>
      </c>
    </row>
  </sheetData>
  <mergeCells count="3">
    <mergeCell ref="B2:C2"/>
    <mergeCell ref="D2:F2"/>
    <mergeCell ref="G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E00F-1133-407A-8EB4-A8D6CE1F802A}">
  <dimension ref="A1:P37"/>
  <sheetViews>
    <sheetView zoomScale="85" zoomScaleNormal="85" workbookViewId="0">
      <pane ySplit="3" topLeftCell="A4" activePane="bottomLeft" state="frozen"/>
      <selection activeCell="D1" sqref="D1"/>
      <selection pane="bottomLeft" activeCell="E4" sqref="E4:E34"/>
    </sheetView>
  </sheetViews>
  <sheetFormatPr defaultRowHeight="15" x14ac:dyDescent="0.25"/>
  <cols>
    <col min="1" max="1" width="23.140625" bestFit="1" customWidth="1"/>
    <col min="2" max="2" width="24.85546875" bestFit="1" customWidth="1"/>
    <col min="3" max="3" width="20.42578125" bestFit="1" customWidth="1"/>
    <col min="4" max="4" width="76.5703125" bestFit="1" customWidth="1"/>
    <col min="5" max="5" width="16.7109375" bestFit="1" customWidth="1"/>
    <col min="6" max="6" width="13.7109375" bestFit="1" customWidth="1"/>
    <col min="7" max="7" width="28.140625" customWidth="1"/>
    <col min="8" max="8" width="20.85546875" customWidth="1"/>
    <col min="9" max="9" width="7.5703125" bestFit="1" customWidth="1"/>
    <col min="10" max="10" width="5.28515625" bestFit="1" customWidth="1"/>
    <col min="11" max="11" width="11.28515625" bestFit="1" customWidth="1"/>
    <col min="12" max="12" width="17.42578125" customWidth="1"/>
    <col min="13" max="13" width="11.85546875" bestFit="1" customWidth="1"/>
    <col min="14" max="14" width="16.5703125" bestFit="1" customWidth="1"/>
    <col min="15" max="15" width="27.42578125" bestFit="1" customWidth="1"/>
    <col min="16" max="16" width="13.7109375" bestFit="1" customWidth="1"/>
  </cols>
  <sheetData>
    <row r="1" spans="1:16" x14ac:dyDescent="0.25">
      <c r="A1" t="s">
        <v>0</v>
      </c>
      <c r="H1" s="14">
        <v>3000</v>
      </c>
      <c r="I1" s="111">
        <v>20</v>
      </c>
      <c r="J1" s="111"/>
      <c r="K1" s="111"/>
      <c r="L1" s="19">
        <v>10</v>
      </c>
      <c r="M1" s="19">
        <v>20</v>
      </c>
    </row>
    <row r="2" spans="1:16" x14ac:dyDescent="0.25">
      <c r="I2" s="108" t="s">
        <v>97</v>
      </c>
      <c r="J2" s="109"/>
      <c r="K2" s="110"/>
      <c r="L2" s="17" t="s">
        <v>98</v>
      </c>
      <c r="M2" s="18" t="s">
        <v>99</v>
      </c>
      <c r="N2" s="14"/>
      <c r="O2" s="14"/>
    </row>
    <row r="3" spans="1:16" x14ac:dyDescent="0.25">
      <c r="A3" s="1" t="s">
        <v>1</v>
      </c>
      <c r="B3" s="1" t="s">
        <v>67</v>
      </c>
      <c r="C3" s="1" t="s">
        <v>41</v>
      </c>
      <c r="D3" s="1" t="s">
        <v>61</v>
      </c>
      <c r="E3" s="1" t="s">
        <v>2</v>
      </c>
      <c r="F3" s="1" t="s">
        <v>88</v>
      </c>
      <c r="G3" s="1" t="s">
        <v>89</v>
      </c>
      <c r="H3" s="1" t="s">
        <v>90</v>
      </c>
      <c r="I3" s="1" t="s">
        <v>91</v>
      </c>
      <c r="J3" s="1" t="s">
        <v>92</v>
      </c>
      <c r="K3" s="1" t="s">
        <v>93</v>
      </c>
      <c r="L3" s="1" t="s">
        <v>94</v>
      </c>
      <c r="M3" s="1" t="s">
        <v>95</v>
      </c>
      <c r="N3" s="10" t="s">
        <v>100</v>
      </c>
      <c r="O3" s="10" t="s">
        <v>101</v>
      </c>
      <c r="P3" s="7" t="s">
        <v>102</v>
      </c>
    </row>
    <row r="4" spans="1:16" x14ac:dyDescent="0.25">
      <c r="A4" s="2" t="s">
        <v>5</v>
      </c>
      <c r="B4" s="2" t="s">
        <v>42</v>
      </c>
      <c r="C4" s="23" t="s">
        <v>66</v>
      </c>
      <c r="D4" s="6" t="s">
        <v>60</v>
      </c>
      <c r="E4" s="2">
        <v>8.15</v>
      </c>
      <c r="F4" s="2">
        <v>3260</v>
      </c>
      <c r="G4" s="2">
        <f>+F4/0.75*3</f>
        <v>13040</v>
      </c>
      <c r="H4" s="2">
        <v>12000</v>
      </c>
      <c r="I4" s="2">
        <v>40</v>
      </c>
      <c r="J4" s="2">
        <v>0</v>
      </c>
      <c r="K4" s="2">
        <v>40</v>
      </c>
      <c r="L4" s="2">
        <v>40</v>
      </c>
      <c r="M4" s="2">
        <v>80</v>
      </c>
      <c r="N4" s="2">
        <v>4</v>
      </c>
      <c r="O4" s="2">
        <v>4.1500000000000004</v>
      </c>
      <c r="P4" s="2" t="s">
        <v>4</v>
      </c>
    </row>
    <row r="5" spans="1:16" x14ac:dyDescent="0.25">
      <c r="A5" s="2" t="s">
        <v>6</v>
      </c>
      <c r="B5" s="2" t="s">
        <v>42</v>
      </c>
      <c r="C5" s="23" t="s">
        <v>66</v>
      </c>
      <c r="D5" s="6" t="s">
        <v>59</v>
      </c>
      <c r="E5" s="2">
        <v>5.73</v>
      </c>
      <c r="F5" s="2">
        <v>2292</v>
      </c>
      <c r="G5" s="2">
        <f t="shared" ref="G5:G34" si="0">+F5/0.75*3</f>
        <v>9168</v>
      </c>
      <c r="H5" s="2">
        <v>6000</v>
      </c>
      <c r="I5" s="2">
        <v>20</v>
      </c>
      <c r="J5" s="2">
        <v>0</v>
      </c>
      <c r="K5" s="2">
        <v>20</v>
      </c>
      <c r="L5" s="2">
        <v>20</v>
      </c>
      <c r="M5" s="2">
        <v>40</v>
      </c>
      <c r="N5" s="2">
        <v>2</v>
      </c>
      <c r="O5" s="2">
        <v>3.73</v>
      </c>
      <c r="P5" s="2" t="s">
        <v>4</v>
      </c>
    </row>
    <row r="6" spans="1:16" x14ac:dyDescent="0.25">
      <c r="A6" s="2" t="s">
        <v>7</v>
      </c>
      <c r="B6" s="2" t="s">
        <v>42</v>
      </c>
      <c r="C6" s="23" t="s">
        <v>66</v>
      </c>
      <c r="D6" s="6" t="s">
        <v>58</v>
      </c>
      <c r="E6" s="2">
        <v>5.5</v>
      </c>
      <c r="F6" s="2">
        <v>2200</v>
      </c>
      <c r="G6" s="2">
        <f t="shared" si="0"/>
        <v>8800</v>
      </c>
      <c r="H6" s="2">
        <v>6000</v>
      </c>
      <c r="I6" s="2">
        <v>20</v>
      </c>
      <c r="J6" s="2">
        <v>0</v>
      </c>
      <c r="K6" s="2">
        <v>20</v>
      </c>
      <c r="L6" s="2">
        <v>20</v>
      </c>
      <c r="M6" s="2">
        <v>40</v>
      </c>
      <c r="N6" s="2">
        <v>2</v>
      </c>
      <c r="O6" s="2">
        <v>3.5</v>
      </c>
      <c r="P6" s="2" t="s">
        <v>4</v>
      </c>
    </row>
    <row r="7" spans="1:16" x14ac:dyDescent="0.25">
      <c r="A7" s="2" t="s">
        <v>8</v>
      </c>
      <c r="B7" s="2" t="s">
        <v>42</v>
      </c>
      <c r="C7" s="23" t="s">
        <v>66</v>
      </c>
      <c r="D7" s="6" t="s">
        <v>57</v>
      </c>
      <c r="E7" s="2">
        <v>8.49</v>
      </c>
      <c r="F7" s="2">
        <v>3396</v>
      </c>
      <c r="G7" s="2">
        <f t="shared" si="0"/>
        <v>13584</v>
      </c>
      <c r="H7" s="2">
        <v>12000</v>
      </c>
      <c r="I7" s="2">
        <v>40</v>
      </c>
      <c r="J7" s="2">
        <v>0</v>
      </c>
      <c r="K7" s="2">
        <v>40</v>
      </c>
      <c r="L7" s="2">
        <v>40</v>
      </c>
      <c r="M7" s="2">
        <v>80</v>
      </c>
      <c r="N7" s="2">
        <v>4</v>
      </c>
      <c r="O7" s="2">
        <v>4.49</v>
      </c>
      <c r="P7" s="2" t="s">
        <v>4</v>
      </c>
    </row>
    <row r="8" spans="1:16" x14ac:dyDescent="0.25">
      <c r="A8" s="2" t="s">
        <v>9</v>
      </c>
      <c r="B8" s="2" t="s">
        <v>42</v>
      </c>
      <c r="C8" s="23" t="s">
        <v>66</v>
      </c>
      <c r="D8" s="6" t="s">
        <v>56</v>
      </c>
      <c r="E8" s="2">
        <v>8.89</v>
      </c>
      <c r="F8" s="2">
        <v>3556</v>
      </c>
      <c r="G8" s="2">
        <f t="shared" si="0"/>
        <v>14224</v>
      </c>
      <c r="H8" s="2">
        <v>12000</v>
      </c>
      <c r="I8" s="2">
        <v>40</v>
      </c>
      <c r="J8" s="2">
        <v>0</v>
      </c>
      <c r="K8" s="2">
        <v>40</v>
      </c>
      <c r="L8" s="2">
        <v>40</v>
      </c>
      <c r="M8" s="2">
        <v>80</v>
      </c>
      <c r="N8" s="2">
        <v>4</v>
      </c>
      <c r="O8" s="2">
        <v>4.8899999999999997</v>
      </c>
      <c r="P8" s="2" t="s">
        <v>4</v>
      </c>
    </row>
    <row r="9" spans="1:16" x14ac:dyDescent="0.25">
      <c r="A9" s="2" t="s">
        <v>10</v>
      </c>
      <c r="B9" s="2" t="s">
        <v>43</v>
      </c>
      <c r="C9" s="23" t="s">
        <v>66</v>
      </c>
      <c r="D9" s="6" t="s">
        <v>55</v>
      </c>
      <c r="E9" s="2">
        <v>7.92</v>
      </c>
      <c r="F9" s="2">
        <v>3168</v>
      </c>
      <c r="G9" s="2">
        <f t="shared" si="0"/>
        <v>12672</v>
      </c>
      <c r="H9" s="2">
        <v>9000</v>
      </c>
      <c r="I9" s="2">
        <v>30</v>
      </c>
      <c r="J9" s="2">
        <v>0</v>
      </c>
      <c r="K9" s="2">
        <v>30</v>
      </c>
      <c r="L9" s="2">
        <v>30</v>
      </c>
      <c r="M9" s="2">
        <v>60</v>
      </c>
      <c r="N9" s="2">
        <v>3</v>
      </c>
      <c r="O9" s="2">
        <v>4.92</v>
      </c>
      <c r="P9" s="2" t="s">
        <v>4</v>
      </c>
    </row>
    <row r="10" spans="1:16" x14ac:dyDescent="0.25">
      <c r="A10" s="2" t="s">
        <v>11</v>
      </c>
      <c r="B10" s="2" t="s">
        <v>42</v>
      </c>
      <c r="C10" s="23" t="s">
        <v>66</v>
      </c>
      <c r="D10" s="6" t="s">
        <v>54</v>
      </c>
      <c r="E10" s="2">
        <v>8.6300000000000008</v>
      </c>
      <c r="F10" s="2">
        <v>3452.0000000000005</v>
      </c>
      <c r="G10" s="2">
        <f t="shared" si="0"/>
        <v>13808</v>
      </c>
      <c r="H10" s="2">
        <v>12000</v>
      </c>
      <c r="I10" s="2">
        <v>40</v>
      </c>
      <c r="J10" s="2">
        <v>0</v>
      </c>
      <c r="K10" s="2">
        <v>40</v>
      </c>
      <c r="L10" s="2">
        <v>40</v>
      </c>
      <c r="M10" s="2">
        <v>80</v>
      </c>
      <c r="N10" s="2">
        <v>4</v>
      </c>
      <c r="O10" s="2">
        <v>4.63</v>
      </c>
      <c r="P10" s="2" t="s">
        <v>4</v>
      </c>
    </row>
    <row r="11" spans="1:16" x14ac:dyDescent="0.25">
      <c r="A11" s="2" t="s">
        <v>12</v>
      </c>
      <c r="B11" s="2" t="s">
        <v>42</v>
      </c>
      <c r="C11" s="23" t="s">
        <v>66</v>
      </c>
      <c r="D11" s="6" t="s">
        <v>53</v>
      </c>
      <c r="E11" s="2">
        <v>3.1</v>
      </c>
      <c r="F11" s="2">
        <v>1240</v>
      </c>
      <c r="G11" s="2">
        <f t="shared" si="0"/>
        <v>4960</v>
      </c>
      <c r="H11" s="2">
        <v>3000</v>
      </c>
      <c r="I11" s="2">
        <v>10</v>
      </c>
      <c r="J11" s="2">
        <v>0</v>
      </c>
      <c r="K11" s="2">
        <v>10</v>
      </c>
      <c r="L11" s="2">
        <v>10</v>
      </c>
      <c r="M11" s="2">
        <v>20</v>
      </c>
      <c r="N11" s="2">
        <v>1</v>
      </c>
      <c r="O11" s="2">
        <v>2.1</v>
      </c>
      <c r="P11" s="2" t="s">
        <v>4</v>
      </c>
    </row>
    <row r="12" spans="1:16" x14ac:dyDescent="0.25">
      <c r="A12" s="2" t="s">
        <v>13</v>
      </c>
      <c r="B12" s="2" t="s">
        <v>42</v>
      </c>
      <c r="C12" s="23" t="s">
        <v>66</v>
      </c>
      <c r="D12" s="6" t="s">
        <v>52</v>
      </c>
      <c r="E12" s="2">
        <v>8.74</v>
      </c>
      <c r="F12" s="2">
        <v>3496</v>
      </c>
      <c r="G12" s="2">
        <f t="shared" si="0"/>
        <v>13984</v>
      </c>
      <c r="H12" s="2">
        <v>12000</v>
      </c>
      <c r="I12" s="2">
        <v>40</v>
      </c>
      <c r="J12" s="2">
        <v>0</v>
      </c>
      <c r="K12" s="2">
        <v>40</v>
      </c>
      <c r="L12" s="2">
        <v>40</v>
      </c>
      <c r="M12" s="2">
        <v>80</v>
      </c>
      <c r="N12" s="2">
        <v>4</v>
      </c>
      <c r="O12" s="2">
        <v>4.74</v>
      </c>
      <c r="P12" s="2" t="s">
        <v>4</v>
      </c>
    </row>
    <row r="13" spans="1:16" x14ac:dyDescent="0.25">
      <c r="A13" s="2" t="s">
        <v>14</v>
      </c>
      <c r="B13" s="2" t="s">
        <v>42</v>
      </c>
      <c r="C13" s="23" t="s">
        <v>66</v>
      </c>
      <c r="D13" s="6" t="s">
        <v>51</v>
      </c>
      <c r="E13" s="2">
        <v>7.85</v>
      </c>
      <c r="F13" s="2">
        <v>3140</v>
      </c>
      <c r="G13" s="2">
        <f t="shared" si="0"/>
        <v>12560</v>
      </c>
      <c r="H13" s="2">
        <v>9000</v>
      </c>
      <c r="I13" s="2">
        <v>30</v>
      </c>
      <c r="J13" s="2">
        <v>0</v>
      </c>
      <c r="K13" s="2">
        <v>30</v>
      </c>
      <c r="L13" s="2">
        <v>30</v>
      </c>
      <c r="M13" s="2">
        <v>60</v>
      </c>
      <c r="N13" s="2">
        <v>3</v>
      </c>
      <c r="O13" s="2">
        <v>4.8499999999999996</v>
      </c>
      <c r="P13" s="2" t="s">
        <v>4</v>
      </c>
    </row>
    <row r="14" spans="1:16" x14ac:dyDescent="0.25">
      <c r="A14" s="2" t="s">
        <v>15</v>
      </c>
      <c r="B14" s="2" t="s">
        <v>42</v>
      </c>
      <c r="C14" s="23" t="s">
        <v>66</v>
      </c>
      <c r="D14" s="6" t="s">
        <v>49</v>
      </c>
      <c r="E14" s="2">
        <v>3.61</v>
      </c>
      <c r="F14" s="2">
        <v>1444</v>
      </c>
      <c r="G14" s="2">
        <f t="shared" si="0"/>
        <v>5776</v>
      </c>
      <c r="H14" s="2">
        <v>3000</v>
      </c>
      <c r="I14" s="2">
        <v>10</v>
      </c>
      <c r="J14" s="2">
        <v>0</v>
      </c>
      <c r="K14" s="2">
        <v>10</v>
      </c>
      <c r="L14" s="2">
        <v>10</v>
      </c>
      <c r="M14" s="2">
        <v>20</v>
      </c>
      <c r="N14" s="2">
        <v>1</v>
      </c>
      <c r="O14" s="2">
        <v>2.61</v>
      </c>
      <c r="P14" s="2" t="s">
        <v>4</v>
      </c>
    </row>
    <row r="15" spans="1:16" x14ac:dyDescent="0.25">
      <c r="A15" s="2" t="s">
        <v>16</v>
      </c>
      <c r="B15" s="2" t="s">
        <v>42</v>
      </c>
      <c r="C15" s="23" t="s">
        <v>66</v>
      </c>
      <c r="D15" s="6" t="s">
        <v>50</v>
      </c>
      <c r="E15" s="2">
        <v>9.5</v>
      </c>
      <c r="F15" s="2">
        <v>3800</v>
      </c>
      <c r="G15" s="2">
        <f t="shared" si="0"/>
        <v>15200</v>
      </c>
      <c r="H15" s="2">
        <v>12000</v>
      </c>
      <c r="I15" s="2">
        <v>40</v>
      </c>
      <c r="J15" s="2">
        <v>0</v>
      </c>
      <c r="K15" s="2">
        <v>40</v>
      </c>
      <c r="L15" s="2">
        <v>40</v>
      </c>
      <c r="M15" s="2">
        <v>80</v>
      </c>
      <c r="N15" s="2">
        <v>4</v>
      </c>
      <c r="O15" s="2">
        <v>5.5</v>
      </c>
      <c r="P15" s="2" t="s">
        <v>4</v>
      </c>
    </row>
    <row r="16" spans="1:16" x14ac:dyDescent="0.25">
      <c r="A16" s="2" t="s">
        <v>17</v>
      </c>
      <c r="B16" s="2" t="s">
        <v>42</v>
      </c>
      <c r="C16" s="23" t="s">
        <v>66</v>
      </c>
      <c r="D16" s="6" t="s">
        <v>48</v>
      </c>
      <c r="E16" s="2">
        <v>4.8</v>
      </c>
      <c r="F16" s="2">
        <v>1920</v>
      </c>
      <c r="G16" s="2">
        <f t="shared" si="0"/>
        <v>7680</v>
      </c>
      <c r="H16" s="2">
        <v>6000</v>
      </c>
      <c r="I16" s="2">
        <v>20</v>
      </c>
      <c r="J16" s="2">
        <v>0</v>
      </c>
      <c r="K16" s="2">
        <v>20</v>
      </c>
      <c r="L16" s="2">
        <v>20</v>
      </c>
      <c r="M16" s="2">
        <v>40</v>
      </c>
      <c r="N16" s="2">
        <v>2</v>
      </c>
      <c r="O16" s="2">
        <v>2.8</v>
      </c>
      <c r="P16" s="2" t="s">
        <v>4</v>
      </c>
    </row>
    <row r="17" spans="1:16" x14ac:dyDescent="0.25">
      <c r="A17" s="2" t="s">
        <v>18</v>
      </c>
      <c r="B17" s="2" t="s">
        <v>43</v>
      </c>
      <c r="C17" s="23" t="s">
        <v>66</v>
      </c>
      <c r="D17" s="6" t="s">
        <v>47</v>
      </c>
      <c r="E17" s="2">
        <v>5.12</v>
      </c>
      <c r="F17" s="2">
        <v>2048</v>
      </c>
      <c r="G17" s="2">
        <f t="shared" si="0"/>
        <v>8192</v>
      </c>
      <c r="H17" s="2">
        <v>6000</v>
      </c>
      <c r="I17" s="2">
        <v>20</v>
      </c>
      <c r="J17" s="2">
        <v>0</v>
      </c>
      <c r="K17" s="2">
        <v>20</v>
      </c>
      <c r="L17" s="2">
        <v>20</v>
      </c>
      <c r="M17" s="2">
        <v>40</v>
      </c>
      <c r="N17" s="2">
        <v>2</v>
      </c>
      <c r="O17" s="2">
        <v>3.12</v>
      </c>
      <c r="P17" s="2" t="s">
        <v>4</v>
      </c>
    </row>
    <row r="18" spans="1:16" x14ac:dyDescent="0.25">
      <c r="A18" s="2" t="s">
        <v>19</v>
      </c>
      <c r="B18" s="2" t="s">
        <v>42</v>
      </c>
      <c r="C18" s="23" t="s">
        <v>66</v>
      </c>
      <c r="D18" s="6" t="s">
        <v>46</v>
      </c>
      <c r="E18" s="2">
        <v>5</v>
      </c>
      <c r="F18" s="2">
        <v>2000</v>
      </c>
      <c r="G18" s="2">
        <f t="shared" si="0"/>
        <v>8000</v>
      </c>
      <c r="H18" s="2">
        <v>6000</v>
      </c>
      <c r="I18" s="2">
        <v>20</v>
      </c>
      <c r="J18" s="2">
        <v>0</v>
      </c>
      <c r="K18" s="2">
        <v>20</v>
      </c>
      <c r="L18" s="2">
        <v>20</v>
      </c>
      <c r="M18" s="2">
        <v>40</v>
      </c>
      <c r="N18" s="2">
        <v>2</v>
      </c>
      <c r="O18" s="2">
        <v>3</v>
      </c>
      <c r="P18" s="2" t="s">
        <v>4</v>
      </c>
    </row>
    <row r="19" spans="1:16" x14ac:dyDescent="0.25">
      <c r="A19" s="2" t="s">
        <v>20</v>
      </c>
      <c r="B19" s="2" t="s">
        <v>42</v>
      </c>
      <c r="C19" s="23" t="s">
        <v>66</v>
      </c>
      <c r="D19" s="6" t="s">
        <v>44</v>
      </c>
      <c r="E19" s="2">
        <v>3.3</v>
      </c>
      <c r="F19" s="2">
        <v>1320</v>
      </c>
      <c r="G19" s="2">
        <f t="shared" si="0"/>
        <v>5280</v>
      </c>
      <c r="H19" s="2">
        <v>3000</v>
      </c>
      <c r="I19" s="2">
        <v>10</v>
      </c>
      <c r="J19" s="2">
        <v>0</v>
      </c>
      <c r="K19" s="2">
        <v>10</v>
      </c>
      <c r="L19" s="2">
        <v>10</v>
      </c>
      <c r="M19" s="2">
        <v>20</v>
      </c>
      <c r="N19" s="2">
        <v>1</v>
      </c>
      <c r="O19" s="2">
        <v>2.2999999999999998</v>
      </c>
      <c r="P19" s="2" t="s">
        <v>4</v>
      </c>
    </row>
    <row r="20" spans="1:16" x14ac:dyDescent="0.25">
      <c r="A20" s="2" t="s">
        <v>21</v>
      </c>
      <c r="B20" s="2" t="s">
        <v>42</v>
      </c>
      <c r="C20" s="23" t="s">
        <v>66</v>
      </c>
      <c r="D20" s="6" t="s">
        <v>45</v>
      </c>
      <c r="E20" s="2">
        <v>6.76</v>
      </c>
      <c r="F20" s="2">
        <v>2704</v>
      </c>
      <c r="G20" s="2">
        <f t="shared" si="0"/>
        <v>10816</v>
      </c>
      <c r="H20" s="2">
        <v>6000</v>
      </c>
      <c r="I20" s="2">
        <v>20</v>
      </c>
      <c r="J20" s="2">
        <v>0</v>
      </c>
      <c r="K20" s="2">
        <v>20</v>
      </c>
      <c r="L20" s="2">
        <v>20</v>
      </c>
      <c r="M20" s="2">
        <v>40</v>
      </c>
      <c r="N20" s="2">
        <v>2</v>
      </c>
      <c r="O20" s="2">
        <v>4.76</v>
      </c>
      <c r="P20" s="2" t="s">
        <v>4</v>
      </c>
    </row>
    <row r="21" spans="1:16" x14ac:dyDescent="0.25">
      <c r="A21" s="2" t="s">
        <v>37</v>
      </c>
      <c r="B21" s="2" t="s">
        <v>37</v>
      </c>
      <c r="C21" s="2" t="s">
        <v>37</v>
      </c>
      <c r="D21" s="6" t="s">
        <v>62</v>
      </c>
      <c r="E21" s="16">
        <v>10</v>
      </c>
      <c r="F21" s="16">
        <v>4000</v>
      </c>
      <c r="G21" s="16">
        <f t="shared" ref="G21:G22" si="1">+F21/0.75*3</f>
        <v>16000</v>
      </c>
      <c r="H21" s="16">
        <v>12000</v>
      </c>
      <c r="I21" s="16">
        <v>40</v>
      </c>
      <c r="J21" s="16">
        <v>0</v>
      </c>
      <c r="K21" s="16">
        <v>40</v>
      </c>
      <c r="L21" s="16">
        <v>40</v>
      </c>
      <c r="M21" s="16">
        <v>80</v>
      </c>
      <c r="N21" s="16">
        <v>4</v>
      </c>
      <c r="O21" s="16">
        <v>6</v>
      </c>
      <c r="P21" s="2" t="s">
        <v>4</v>
      </c>
    </row>
    <row r="22" spans="1:16" x14ac:dyDescent="0.25">
      <c r="A22" s="2" t="s">
        <v>38</v>
      </c>
      <c r="B22" s="2" t="s">
        <v>38</v>
      </c>
      <c r="C22" s="2" t="s">
        <v>38</v>
      </c>
      <c r="D22" s="6" t="s">
        <v>63</v>
      </c>
      <c r="E22" s="16">
        <v>10</v>
      </c>
      <c r="F22" s="16">
        <v>4000</v>
      </c>
      <c r="G22" s="16">
        <f t="shared" si="1"/>
        <v>16000</v>
      </c>
      <c r="H22" s="16">
        <v>12000</v>
      </c>
      <c r="I22" s="16">
        <v>40</v>
      </c>
      <c r="J22" s="16">
        <v>0</v>
      </c>
      <c r="K22" s="16">
        <v>40</v>
      </c>
      <c r="L22" s="16">
        <v>40</v>
      </c>
      <c r="M22" s="16">
        <v>80</v>
      </c>
      <c r="N22" s="16">
        <v>4</v>
      </c>
      <c r="O22" s="16">
        <v>6</v>
      </c>
      <c r="P22" s="2" t="s">
        <v>4</v>
      </c>
    </row>
    <row r="23" spans="1:16" x14ac:dyDescent="0.25">
      <c r="A23" s="2" t="s">
        <v>22</v>
      </c>
      <c r="B23" s="2" t="s">
        <v>69</v>
      </c>
      <c r="C23" s="2" t="s">
        <v>71</v>
      </c>
      <c r="D23" s="6" t="s">
        <v>68</v>
      </c>
      <c r="E23" s="2">
        <v>8</v>
      </c>
      <c r="F23" s="2">
        <v>3200</v>
      </c>
      <c r="G23" s="2">
        <f t="shared" si="0"/>
        <v>12800</v>
      </c>
      <c r="H23" s="2">
        <v>9000</v>
      </c>
      <c r="I23" s="2">
        <v>30</v>
      </c>
      <c r="J23" s="2">
        <v>0</v>
      </c>
      <c r="K23" s="2">
        <v>30</v>
      </c>
      <c r="L23" s="2">
        <v>30</v>
      </c>
      <c r="M23" s="2">
        <v>60</v>
      </c>
      <c r="N23" s="2">
        <v>3</v>
      </c>
      <c r="O23" s="2">
        <v>5</v>
      </c>
      <c r="P23" s="2" t="s">
        <v>34</v>
      </c>
    </row>
    <row r="24" spans="1:16" x14ac:dyDescent="0.25">
      <c r="A24" s="2" t="s">
        <v>23</v>
      </c>
      <c r="B24" s="2" t="s">
        <v>71</v>
      </c>
      <c r="C24" s="2" t="s">
        <v>71</v>
      </c>
      <c r="D24" s="6" t="s">
        <v>70</v>
      </c>
      <c r="E24" s="2">
        <v>10</v>
      </c>
      <c r="F24" s="2">
        <v>4000</v>
      </c>
      <c r="G24" s="2">
        <f t="shared" si="0"/>
        <v>16000</v>
      </c>
      <c r="H24" s="2">
        <v>12000</v>
      </c>
      <c r="I24" s="2">
        <v>40</v>
      </c>
      <c r="J24" s="2">
        <v>0</v>
      </c>
      <c r="K24" s="2">
        <v>40</v>
      </c>
      <c r="L24" s="2">
        <v>40</v>
      </c>
      <c r="M24" s="2">
        <v>80</v>
      </c>
      <c r="N24" s="2">
        <v>4</v>
      </c>
      <c r="O24" s="2">
        <v>6</v>
      </c>
      <c r="P24" s="2" t="s">
        <v>34</v>
      </c>
    </row>
    <row r="25" spans="1:16" x14ac:dyDescent="0.25">
      <c r="A25" s="2" t="s">
        <v>24</v>
      </c>
      <c r="B25" s="2" t="s">
        <v>24</v>
      </c>
      <c r="C25" s="2" t="s">
        <v>24</v>
      </c>
      <c r="D25" s="6" t="s">
        <v>72</v>
      </c>
      <c r="E25" s="2">
        <v>20</v>
      </c>
      <c r="F25" s="2">
        <v>8000</v>
      </c>
      <c r="G25" s="2">
        <f t="shared" si="0"/>
        <v>32000</v>
      </c>
      <c r="H25" s="2">
        <v>24000</v>
      </c>
      <c r="I25" s="2">
        <v>80</v>
      </c>
      <c r="J25" s="2">
        <v>0</v>
      </c>
      <c r="K25" s="2">
        <v>80</v>
      </c>
      <c r="L25" s="2">
        <v>80</v>
      </c>
      <c r="M25" s="2">
        <v>160</v>
      </c>
      <c r="N25" s="2">
        <v>8</v>
      </c>
      <c r="O25" s="2">
        <v>12</v>
      </c>
      <c r="P25" s="2" t="s">
        <v>34</v>
      </c>
    </row>
    <row r="26" spans="1:16" x14ac:dyDescent="0.25">
      <c r="A26" s="2" t="s">
        <v>25</v>
      </c>
      <c r="B26" s="2" t="s">
        <v>24</v>
      </c>
      <c r="C26" s="2" t="s">
        <v>24</v>
      </c>
      <c r="D26" s="6" t="s">
        <v>73</v>
      </c>
      <c r="E26" s="2">
        <v>1</v>
      </c>
      <c r="F26" s="2">
        <v>400</v>
      </c>
      <c r="G26" s="2">
        <f t="shared" si="0"/>
        <v>1600</v>
      </c>
      <c r="H26" s="2">
        <v>3000</v>
      </c>
      <c r="I26" s="2">
        <v>10</v>
      </c>
      <c r="J26" s="2">
        <v>0</v>
      </c>
      <c r="K26" s="2">
        <v>10</v>
      </c>
      <c r="L26" s="2">
        <v>10</v>
      </c>
      <c r="M26" s="2">
        <v>20</v>
      </c>
      <c r="N26" s="2">
        <v>1</v>
      </c>
      <c r="O26" s="2"/>
      <c r="P26" s="2" t="s">
        <v>34</v>
      </c>
    </row>
    <row r="27" spans="1:16" x14ac:dyDescent="0.25">
      <c r="A27" s="2" t="s">
        <v>26</v>
      </c>
      <c r="B27" s="2" t="s">
        <v>24</v>
      </c>
      <c r="C27" s="2" t="s">
        <v>24</v>
      </c>
      <c r="D27" s="6" t="s">
        <v>74</v>
      </c>
      <c r="E27" s="2">
        <v>200</v>
      </c>
      <c r="F27" s="2">
        <v>80000</v>
      </c>
      <c r="G27" s="2">
        <f t="shared" si="0"/>
        <v>320000</v>
      </c>
      <c r="H27" s="2">
        <v>300000</v>
      </c>
      <c r="I27" s="2">
        <v>1000</v>
      </c>
      <c r="J27" s="2">
        <v>0</v>
      </c>
      <c r="K27" s="2">
        <v>1000</v>
      </c>
      <c r="L27" s="2">
        <v>1000</v>
      </c>
      <c r="M27" s="2">
        <v>2000</v>
      </c>
      <c r="N27" s="2">
        <v>80</v>
      </c>
      <c r="O27" s="2">
        <v>120</v>
      </c>
      <c r="P27" s="2" t="s">
        <v>34</v>
      </c>
    </row>
    <row r="28" spans="1:16" x14ac:dyDescent="0.25">
      <c r="A28" s="2" t="s">
        <v>27</v>
      </c>
      <c r="B28" s="2" t="s">
        <v>76</v>
      </c>
      <c r="C28" s="2" t="s">
        <v>84</v>
      </c>
      <c r="D28" s="6" t="s">
        <v>75</v>
      </c>
      <c r="E28" s="2">
        <v>150</v>
      </c>
      <c r="F28" s="2">
        <v>60000</v>
      </c>
      <c r="G28" s="2">
        <f t="shared" si="0"/>
        <v>240000</v>
      </c>
      <c r="H28" s="2">
        <v>210000</v>
      </c>
      <c r="I28" s="2">
        <v>700</v>
      </c>
      <c r="J28" s="2">
        <v>0</v>
      </c>
      <c r="K28" s="2">
        <v>700</v>
      </c>
      <c r="L28" s="2">
        <v>700</v>
      </c>
      <c r="M28" s="2">
        <v>1400</v>
      </c>
      <c r="N28" s="2">
        <v>50</v>
      </c>
      <c r="O28" s="2">
        <v>100</v>
      </c>
      <c r="P28" s="2" t="s">
        <v>34</v>
      </c>
    </row>
    <row r="29" spans="1:16" x14ac:dyDescent="0.25">
      <c r="A29" s="2" t="s">
        <v>28</v>
      </c>
      <c r="B29" s="2" t="s">
        <v>76</v>
      </c>
      <c r="C29" s="2" t="s">
        <v>84</v>
      </c>
      <c r="D29" s="6" t="s">
        <v>77</v>
      </c>
      <c r="E29" s="2">
        <v>70</v>
      </c>
      <c r="F29" s="2">
        <v>28000</v>
      </c>
      <c r="G29" s="2">
        <f t="shared" si="0"/>
        <v>112000</v>
      </c>
      <c r="H29" s="2">
        <v>90000</v>
      </c>
      <c r="I29" s="2">
        <v>300</v>
      </c>
      <c r="J29" s="2">
        <v>0</v>
      </c>
      <c r="K29" s="2">
        <v>300</v>
      </c>
      <c r="L29" s="2">
        <v>300</v>
      </c>
      <c r="M29" s="2">
        <v>600</v>
      </c>
      <c r="N29" s="2">
        <v>25</v>
      </c>
      <c r="O29" s="2">
        <v>45</v>
      </c>
      <c r="P29" s="2" t="s">
        <v>34</v>
      </c>
    </row>
    <row r="30" spans="1:16" x14ac:dyDescent="0.25">
      <c r="A30" s="2" t="s">
        <v>29</v>
      </c>
      <c r="B30" s="2" t="s">
        <v>76</v>
      </c>
      <c r="C30" s="2" t="s">
        <v>84</v>
      </c>
      <c r="D30" s="6" t="s">
        <v>78</v>
      </c>
      <c r="E30" s="2">
        <v>1</v>
      </c>
      <c r="F30" s="2">
        <v>400</v>
      </c>
      <c r="G30" s="2">
        <f t="shared" si="0"/>
        <v>1600</v>
      </c>
      <c r="H30" s="2">
        <v>3000</v>
      </c>
      <c r="I30" s="2">
        <v>10</v>
      </c>
      <c r="J30" s="2">
        <v>0</v>
      </c>
      <c r="K30" s="2">
        <v>10</v>
      </c>
      <c r="L30" s="2">
        <v>10</v>
      </c>
      <c r="M30" s="2">
        <v>20</v>
      </c>
      <c r="N30" s="2">
        <v>1</v>
      </c>
      <c r="O30" s="2"/>
      <c r="P30" s="2" t="s">
        <v>34</v>
      </c>
    </row>
    <row r="31" spans="1:16" x14ac:dyDescent="0.25">
      <c r="A31" s="2" t="s">
        <v>30</v>
      </c>
      <c r="B31" s="2" t="s">
        <v>86</v>
      </c>
      <c r="C31" s="2" t="s">
        <v>85</v>
      </c>
      <c r="D31" s="6" t="s">
        <v>79</v>
      </c>
      <c r="E31" s="2">
        <v>22</v>
      </c>
      <c r="F31" s="2">
        <v>8800</v>
      </c>
      <c r="G31" s="2">
        <f t="shared" si="0"/>
        <v>35200</v>
      </c>
      <c r="H31" s="2">
        <v>27000</v>
      </c>
      <c r="I31" s="2">
        <v>90</v>
      </c>
      <c r="J31" s="2">
        <v>0</v>
      </c>
      <c r="K31" s="2">
        <v>90</v>
      </c>
      <c r="L31" s="2">
        <v>90</v>
      </c>
      <c r="M31" s="2">
        <v>180</v>
      </c>
      <c r="N31" s="2">
        <v>8</v>
      </c>
      <c r="O31" s="2">
        <v>14</v>
      </c>
      <c r="P31" s="2" t="s">
        <v>34</v>
      </c>
    </row>
    <row r="32" spans="1:16" x14ac:dyDescent="0.25">
      <c r="A32" s="2" t="s">
        <v>31</v>
      </c>
      <c r="B32" s="2" t="s">
        <v>86</v>
      </c>
      <c r="C32" s="2" t="s">
        <v>85</v>
      </c>
      <c r="D32" s="6" t="s">
        <v>80</v>
      </c>
      <c r="E32" s="2">
        <v>55</v>
      </c>
      <c r="F32" s="2">
        <v>22000</v>
      </c>
      <c r="G32" s="2">
        <f t="shared" si="0"/>
        <v>88000</v>
      </c>
      <c r="H32" s="2">
        <v>75000</v>
      </c>
      <c r="I32" s="2">
        <v>250</v>
      </c>
      <c r="J32" s="2">
        <v>0</v>
      </c>
      <c r="K32" s="2">
        <v>250</v>
      </c>
      <c r="L32" s="2">
        <v>250</v>
      </c>
      <c r="M32" s="2">
        <v>500</v>
      </c>
      <c r="N32" s="2">
        <v>25</v>
      </c>
      <c r="O32" s="2">
        <v>30</v>
      </c>
      <c r="P32" s="2" t="s">
        <v>34</v>
      </c>
    </row>
    <row r="33" spans="1:16" x14ac:dyDescent="0.25">
      <c r="A33" s="2" t="s">
        <v>32</v>
      </c>
      <c r="B33" s="2" t="s">
        <v>32</v>
      </c>
      <c r="C33" s="2" t="s">
        <v>71</v>
      </c>
      <c r="D33" s="6" t="s">
        <v>81</v>
      </c>
      <c r="E33" s="2">
        <v>20</v>
      </c>
      <c r="F33" s="2">
        <v>8000</v>
      </c>
      <c r="G33" s="2">
        <f t="shared" si="0"/>
        <v>32000</v>
      </c>
      <c r="H33" s="2">
        <v>33000</v>
      </c>
      <c r="I33" s="2">
        <v>110</v>
      </c>
      <c r="J33" s="2">
        <v>0</v>
      </c>
      <c r="K33" s="2">
        <v>110</v>
      </c>
      <c r="L33" s="2">
        <v>110</v>
      </c>
      <c r="M33" s="2">
        <v>220</v>
      </c>
      <c r="N33" s="2">
        <v>8</v>
      </c>
      <c r="O33" s="2">
        <v>18</v>
      </c>
      <c r="P33" s="2" t="s">
        <v>34</v>
      </c>
    </row>
    <row r="34" spans="1:16" x14ac:dyDescent="0.25">
      <c r="A34" s="2" t="s">
        <v>33</v>
      </c>
      <c r="B34" s="2" t="s">
        <v>83</v>
      </c>
      <c r="C34" s="2" t="s">
        <v>87</v>
      </c>
      <c r="D34" s="6" t="s">
        <v>82</v>
      </c>
      <c r="E34" s="2">
        <v>20</v>
      </c>
      <c r="F34" s="2">
        <v>8000</v>
      </c>
      <c r="G34" s="2">
        <f t="shared" si="0"/>
        <v>32000</v>
      </c>
      <c r="H34" s="2">
        <v>24000</v>
      </c>
      <c r="I34" s="2">
        <v>80</v>
      </c>
      <c r="J34" s="2">
        <v>0</v>
      </c>
      <c r="K34" s="2">
        <v>80</v>
      </c>
      <c r="L34" s="2">
        <v>80</v>
      </c>
      <c r="M34" s="2">
        <v>160</v>
      </c>
      <c r="N34" s="2">
        <v>8</v>
      </c>
      <c r="O34" s="2">
        <v>12</v>
      </c>
      <c r="P34" s="2" t="s">
        <v>34</v>
      </c>
    </row>
    <row r="35" spans="1:16" x14ac:dyDescent="0.25">
      <c r="A35" s="2" t="s">
        <v>39</v>
      </c>
      <c r="B35" s="2" t="s">
        <v>65</v>
      </c>
      <c r="C35" s="2" t="s">
        <v>65</v>
      </c>
      <c r="D35" s="6" t="s">
        <v>64</v>
      </c>
      <c r="E35" s="16"/>
      <c r="F35" s="2"/>
      <c r="G35" s="16"/>
      <c r="H35" s="2"/>
      <c r="I35" s="2"/>
      <c r="J35" s="2"/>
      <c r="K35" s="2"/>
      <c r="L35" s="2"/>
      <c r="M35" s="2"/>
      <c r="N35" s="16">
        <v>4</v>
      </c>
      <c r="O35" s="16">
        <v>6</v>
      </c>
      <c r="P35" s="2"/>
    </row>
    <row r="36" spans="1:16" x14ac:dyDescent="0.25">
      <c r="A36" s="3" t="s">
        <v>35</v>
      </c>
      <c r="B36" s="3"/>
      <c r="C36" s="3"/>
      <c r="D36" s="3"/>
      <c r="E36" s="3">
        <f>SUM(E4:E34)</f>
        <v>708.09</v>
      </c>
      <c r="F36" s="3"/>
      <c r="G36" s="20">
        <f t="shared" ref="G36:M36" si="2">SUM(G4:G35)</f>
        <v>1132944</v>
      </c>
      <c r="H36" s="20">
        <f t="shared" si="2"/>
        <v>969000</v>
      </c>
      <c r="I36" s="3">
        <f t="shared" si="2"/>
        <v>3230</v>
      </c>
      <c r="J36" s="3">
        <f t="shared" si="2"/>
        <v>0</v>
      </c>
      <c r="K36" s="3">
        <f t="shared" si="2"/>
        <v>3230</v>
      </c>
      <c r="L36" s="3">
        <f t="shared" si="2"/>
        <v>3230</v>
      </c>
      <c r="M36" s="3">
        <f t="shared" si="2"/>
        <v>6460</v>
      </c>
      <c r="N36" s="3"/>
      <c r="O36" s="3"/>
      <c r="P36" s="2"/>
    </row>
    <row r="37" spans="1:16" x14ac:dyDescent="0.25">
      <c r="G37" s="15">
        <f>SUM(G36:M36)</f>
        <v>2118094</v>
      </c>
    </row>
  </sheetData>
  <mergeCells count="2">
    <mergeCell ref="I2:K2"/>
    <mergeCell ref="I1:K1"/>
  </mergeCells>
  <hyperlinks>
    <hyperlink ref="D4" r:id="rId1" xr:uid="{761A9889-A6CF-42F1-A295-50847D6EA4FE}"/>
    <hyperlink ref="D5" r:id="rId2" xr:uid="{E8CA3C90-2F05-41B0-A2F0-FFBC79925437}"/>
    <hyperlink ref="D6" r:id="rId3" xr:uid="{F0F6F821-2A88-4F86-88AE-F3373826B060}"/>
    <hyperlink ref="D7" r:id="rId4" xr:uid="{061578F2-70F5-4C20-8B68-D0F1A3335E61}"/>
    <hyperlink ref="D8" r:id="rId5" xr:uid="{71789455-D4E8-4B77-9A79-AA30B04CB59C}"/>
    <hyperlink ref="D9" r:id="rId6" xr:uid="{C539F692-B19E-4FAB-AC5D-144A6BBB5DE4}"/>
    <hyperlink ref="D10" r:id="rId7" xr:uid="{4AAE0921-0C32-41D1-A595-6F34D1978A85}"/>
    <hyperlink ref="D11" r:id="rId8" xr:uid="{AC8029D4-FCF6-4F0B-979B-384AF850F29C}"/>
    <hyperlink ref="D12" r:id="rId9" xr:uid="{B69D22F9-FD63-4B3C-B272-55076D782B03}"/>
    <hyperlink ref="D13" r:id="rId10" xr:uid="{2654734A-ACC9-40FA-B325-2ABDE4FBDB00}"/>
    <hyperlink ref="D14" r:id="rId11" xr:uid="{FC4040E7-6FF4-4135-9FFF-985993D9B624}"/>
    <hyperlink ref="D15" r:id="rId12" xr:uid="{121536BC-06BD-4499-BDFE-54069C4188DE}"/>
    <hyperlink ref="D16" r:id="rId13" xr:uid="{CC1FF765-AA55-4797-A379-8D9AE19AC395}"/>
    <hyperlink ref="D17" r:id="rId14" xr:uid="{5FFFDD27-B9F8-4854-8D10-E49481ED0A09}"/>
    <hyperlink ref="D18" r:id="rId15" xr:uid="{2A998BEA-8484-4590-A8A6-D8DD1BB5D04C}"/>
    <hyperlink ref="D19" r:id="rId16" xr:uid="{DBBD693F-01E6-4ECB-86EA-D8C93AC0652C}"/>
    <hyperlink ref="D20" r:id="rId17" xr:uid="{86ED6E05-DD59-4746-BF0D-05FE9E13D6B5}"/>
    <hyperlink ref="D21" r:id="rId18" xr:uid="{E69C0FAC-3C32-495E-B6FA-41ADEB8C148B}"/>
    <hyperlink ref="D22" r:id="rId19" xr:uid="{9805D3F8-53D2-47EE-9FCA-AE2013D61A6B}"/>
    <hyperlink ref="D35" r:id="rId20" xr:uid="{3BC894C9-DA0F-435F-98B3-1CACB031D98B}"/>
    <hyperlink ref="D23" r:id="rId21" xr:uid="{023A3037-8095-4354-B646-B99AB1E18BB8}"/>
    <hyperlink ref="D24" r:id="rId22" xr:uid="{EB0DD5D3-C9DE-4C2E-851C-758B2D87FFAB}"/>
    <hyperlink ref="D25" r:id="rId23" xr:uid="{CB12C605-F6F1-4882-933D-723EB12F2A80}"/>
    <hyperlink ref="D26" r:id="rId24" xr:uid="{69999B41-641C-4B18-9DCA-9BC509D705D0}"/>
    <hyperlink ref="D27" r:id="rId25" xr:uid="{E683DCBA-07F0-48F9-B1BC-BB7D6A4B4BB4}"/>
    <hyperlink ref="D28" r:id="rId26" xr:uid="{11B42BE8-693E-4154-9012-2247423C74C5}"/>
    <hyperlink ref="D29" r:id="rId27" xr:uid="{3BF83E41-5FC8-4B9F-9A87-40DABE583207}"/>
    <hyperlink ref="D30" r:id="rId28" xr:uid="{3721D581-9812-4492-823B-BF933DE67929}"/>
    <hyperlink ref="D31" r:id="rId29" xr:uid="{9123E2AF-1DE2-4ADA-80EC-A86217538FD9}"/>
    <hyperlink ref="D32" r:id="rId30" xr:uid="{40A3A3D4-55D5-4B46-BAEA-D9BBC2C97A6F}"/>
    <hyperlink ref="D33" r:id="rId31" xr:uid="{CA4DD38E-EC6D-4195-9310-D4BC5EB79EF2}"/>
    <hyperlink ref="D34" r:id="rId32" xr:uid="{89F9E6BA-BEA3-4C9D-AB79-B7E0C9093480}"/>
  </hyperlinks>
  <pageMargins left="0.7" right="0.7" top="0.75" bottom="0.75" header="0.3" footer="0.3"/>
  <pageSetup orientation="portrait" r:id="rId3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36A7-AF43-4B00-9416-5B8453CB1902}">
  <dimension ref="A1:P37"/>
  <sheetViews>
    <sheetView zoomScale="80" zoomScaleNormal="80" workbookViewId="0">
      <selection activeCell="B39" sqref="B39:B40"/>
    </sheetView>
  </sheetViews>
  <sheetFormatPr defaultRowHeight="15" x14ac:dyDescent="0.25"/>
  <cols>
    <col min="1" max="1" width="23.42578125" bestFit="1" customWidth="1"/>
    <col min="2" max="2" width="25.28515625" bestFit="1" customWidth="1"/>
    <col min="3" max="3" width="21.5703125" bestFit="1" customWidth="1"/>
    <col min="4" max="4" width="80.140625" bestFit="1" customWidth="1"/>
    <col min="5" max="5" width="25.7109375" bestFit="1" customWidth="1"/>
    <col min="6" max="6" width="16.85546875" bestFit="1" customWidth="1"/>
    <col min="7" max="7" width="36.85546875" bestFit="1" customWidth="1"/>
    <col min="8" max="8" width="25.28515625" bestFit="1" customWidth="1"/>
    <col min="9" max="9" width="11.42578125" bestFit="1" customWidth="1"/>
    <col min="10" max="10" width="12.28515625" bestFit="1" customWidth="1"/>
    <col min="11" max="11" width="14.5703125" bestFit="1" customWidth="1"/>
    <col min="12" max="12" width="24.28515625" bestFit="1" customWidth="1"/>
    <col min="13" max="13" width="12.42578125" bestFit="1" customWidth="1"/>
    <col min="14" max="14" width="29.28515625" bestFit="1" customWidth="1"/>
    <col min="15" max="15" width="10.5703125" bestFit="1" customWidth="1"/>
    <col min="16" max="16" width="24.5703125" bestFit="1" customWidth="1"/>
  </cols>
  <sheetData>
    <row r="1" spans="1:16" ht="15.75" thickBot="1" x14ac:dyDescent="0.3">
      <c r="A1" t="s">
        <v>0</v>
      </c>
    </row>
    <row r="2" spans="1:16" x14ac:dyDescent="0.25">
      <c r="I2" s="112" t="s">
        <v>97</v>
      </c>
      <c r="J2" s="113"/>
      <c r="K2" s="114"/>
      <c r="L2" s="12" t="s">
        <v>98</v>
      </c>
      <c r="M2" s="13" t="s">
        <v>99</v>
      </c>
    </row>
    <row r="3" spans="1:16" x14ac:dyDescent="0.25">
      <c r="A3" s="1" t="s">
        <v>1</v>
      </c>
      <c r="B3" s="1" t="s">
        <v>67</v>
      </c>
      <c r="C3" s="1" t="s">
        <v>41</v>
      </c>
      <c r="D3" s="1" t="s">
        <v>61</v>
      </c>
      <c r="E3" s="1" t="s">
        <v>3</v>
      </c>
      <c r="F3" s="1" t="s">
        <v>88</v>
      </c>
      <c r="G3" s="1" t="s">
        <v>89</v>
      </c>
      <c r="H3" s="9" t="s">
        <v>90</v>
      </c>
      <c r="I3" s="1" t="s">
        <v>91</v>
      </c>
      <c r="J3" s="1" t="s">
        <v>92</v>
      </c>
      <c r="K3" s="1" t="s">
        <v>93</v>
      </c>
      <c r="L3" s="1" t="s">
        <v>94</v>
      </c>
      <c r="M3" s="1" t="s">
        <v>95</v>
      </c>
      <c r="N3" s="10" t="s">
        <v>96</v>
      </c>
      <c r="O3" s="10"/>
      <c r="P3" s="7" t="s">
        <v>102</v>
      </c>
    </row>
    <row r="4" spans="1:16" x14ac:dyDescent="0.25">
      <c r="A4" s="2" t="s">
        <v>5</v>
      </c>
      <c r="B4" s="2" t="s">
        <v>42</v>
      </c>
      <c r="C4" s="23" t="s">
        <v>66</v>
      </c>
      <c r="D4" s="6" t="s">
        <v>60</v>
      </c>
      <c r="E4" s="2">
        <v>214</v>
      </c>
      <c r="F4" s="2">
        <f>+E4*200</f>
        <v>42800</v>
      </c>
      <c r="G4" s="22">
        <f>+F4/0.75*3</f>
        <v>171200</v>
      </c>
      <c r="H4" s="2">
        <v>0</v>
      </c>
      <c r="I4" s="11">
        <v>740</v>
      </c>
      <c r="J4" s="11">
        <v>0</v>
      </c>
      <c r="K4" s="11">
        <v>740</v>
      </c>
      <c r="L4" s="11">
        <v>740</v>
      </c>
      <c r="M4" s="11">
        <v>1480</v>
      </c>
      <c r="N4" s="2">
        <v>74</v>
      </c>
      <c r="O4" s="2">
        <v>140</v>
      </c>
      <c r="P4" s="8" t="s">
        <v>36</v>
      </c>
    </row>
    <row r="5" spans="1:16" x14ac:dyDescent="0.25">
      <c r="A5" s="2" t="s">
        <v>6</v>
      </c>
      <c r="B5" s="2" t="s">
        <v>42</v>
      </c>
      <c r="C5" s="23" t="s">
        <v>66</v>
      </c>
      <c r="D5" s="6" t="s">
        <v>59</v>
      </c>
      <c r="E5" s="2">
        <v>206</v>
      </c>
      <c r="F5" s="2">
        <f t="shared" ref="F5:F20" si="0">+E5*200</f>
        <v>41200</v>
      </c>
      <c r="G5" s="22">
        <f t="shared" ref="G5:G34" si="1">+F5/0.75*3</f>
        <v>164800</v>
      </c>
      <c r="H5" s="2">
        <v>0</v>
      </c>
      <c r="I5" s="2">
        <v>640</v>
      </c>
      <c r="J5" s="2">
        <v>0</v>
      </c>
      <c r="K5" s="2">
        <v>640</v>
      </c>
      <c r="L5" s="2">
        <v>640</v>
      </c>
      <c r="M5" s="2">
        <v>1280</v>
      </c>
      <c r="N5" s="2">
        <v>64</v>
      </c>
      <c r="O5" s="2">
        <v>142</v>
      </c>
      <c r="P5" s="8" t="s">
        <v>36</v>
      </c>
    </row>
    <row r="6" spans="1:16" x14ac:dyDescent="0.25">
      <c r="A6" s="2" t="s">
        <v>7</v>
      </c>
      <c r="B6" s="2" t="s">
        <v>42</v>
      </c>
      <c r="C6" s="23" t="s">
        <v>66</v>
      </c>
      <c r="D6" s="6" t="s">
        <v>58</v>
      </c>
      <c r="E6" s="2">
        <v>126</v>
      </c>
      <c r="F6" s="2">
        <f t="shared" si="0"/>
        <v>25200</v>
      </c>
      <c r="G6" s="22">
        <f t="shared" si="1"/>
        <v>100800</v>
      </c>
      <c r="H6" s="2">
        <v>0</v>
      </c>
      <c r="I6" s="2">
        <v>360</v>
      </c>
      <c r="J6" s="2">
        <v>0</v>
      </c>
      <c r="K6" s="2">
        <v>360</v>
      </c>
      <c r="L6" s="2">
        <v>360</v>
      </c>
      <c r="M6" s="2">
        <v>720</v>
      </c>
      <c r="N6" s="2">
        <v>36</v>
      </c>
      <c r="O6" s="2">
        <v>90</v>
      </c>
      <c r="P6" s="8" t="s">
        <v>36</v>
      </c>
    </row>
    <row r="7" spans="1:16" x14ac:dyDescent="0.25">
      <c r="A7" s="2" t="s">
        <v>8</v>
      </c>
      <c r="B7" s="2" t="s">
        <v>42</v>
      </c>
      <c r="C7" s="23" t="s">
        <v>66</v>
      </c>
      <c r="D7" s="6" t="s">
        <v>57</v>
      </c>
      <c r="E7" s="2">
        <v>265</v>
      </c>
      <c r="F7" s="2">
        <f t="shared" si="0"/>
        <v>53000</v>
      </c>
      <c r="G7" s="22">
        <f t="shared" si="1"/>
        <v>212000</v>
      </c>
      <c r="H7" s="2">
        <v>0</v>
      </c>
      <c r="I7" s="2">
        <v>850</v>
      </c>
      <c r="J7" s="2">
        <v>0</v>
      </c>
      <c r="K7" s="2">
        <v>850</v>
      </c>
      <c r="L7" s="2">
        <v>850</v>
      </c>
      <c r="M7" s="2">
        <v>1700</v>
      </c>
      <c r="N7" s="2">
        <v>85</v>
      </c>
      <c r="O7" s="2">
        <v>180</v>
      </c>
      <c r="P7" s="8" t="s">
        <v>36</v>
      </c>
    </row>
    <row r="8" spans="1:16" x14ac:dyDescent="0.25">
      <c r="A8" s="2" t="s">
        <v>9</v>
      </c>
      <c r="B8" s="2" t="s">
        <v>42</v>
      </c>
      <c r="C8" s="23" t="s">
        <v>66</v>
      </c>
      <c r="D8" s="6" t="s">
        <v>56</v>
      </c>
      <c r="E8" s="2">
        <v>244</v>
      </c>
      <c r="F8" s="2">
        <f t="shared" si="0"/>
        <v>48800</v>
      </c>
      <c r="G8" s="22">
        <f t="shared" si="1"/>
        <v>195200</v>
      </c>
      <c r="H8" s="2">
        <v>0</v>
      </c>
      <c r="I8" s="2">
        <v>740</v>
      </c>
      <c r="J8" s="2">
        <v>0</v>
      </c>
      <c r="K8" s="2">
        <v>740</v>
      </c>
      <c r="L8" s="2">
        <v>740</v>
      </c>
      <c r="M8" s="2">
        <v>1480</v>
      </c>
      <c r="N8" s="2">
        <v>74</v>
      </c>
      <c r="O8" s="2">
        <v>170</v>
      </c>
      <c r="P8" s="8" t="s">
        <v>36</v>
      </c>
    </row>
    <row r="9" spans="1:16" x14ac:dyDescent="0.25">
      <c r="A9" s="2" t="s">
        <v>10</v>
      </c>
      <c r="B9" s="2" t="s">
        <v>43</v>
      </c>
      <c r="C9" s="23" t="s">
        <v>66</v>
      </c>
      <c r="D9" s="6" t="s">
        <v>55</v>
      </c>
      <c r="E9" s="2">
        <v>340</v>
      </c>
      <c r="F9" s="2">
        <f t="shared" si="0"/>
        <v>68000</v>
      </c>
      <c r="G9" s="22">
        <f t="shared" si="1"/>
        <v>272000</v>
      </c>
      <c r="H9" s="2">
        <v>0</v>
      </c>
      <c r="I9" s="2">
        <v>1100</v>
      </c>
      <c r="J9" s="2">
        <v>0</v>
      </c>
      <c r="K9" s="2">
        <v>1100</v>
      </c>
      <c r="L9" s="2">
        <v>1100</v>
      </c>
      <c r="M9" s="2">
        <v>2200</v>
      </c>
      <c r="N9" s="2">
        <v>110</v>
      </c>
      <c r="O9" s="2">
        <v>230</v>
      </c>
      <c r="P9" s="8" t="s">
        <v>36</v>
      </c>
    </row>
    <row r="10" spans="1:16" x14ac:dyDescent="0.25">
      <c r="A10" s="2" t="s">
        <v>11</v>
      </c>
      <c r="B10" s="2" t="s">
        <v>42</v>
      </c>
      <c r="C10" s="23" t="s">
        <v>66</v>
      </c>
      <c r="D10" s="6" t="s">
        <v>54</v>
      </c>
      <c r="E10" s="2">
        <v>132</v>
      </c>
      <c r="F10" s="2">
        <f t="shared" si="0"/>
        <v>26400</v>
      </c>
      <c r="G10" s="22">
        <f t="shared" si="1"/>
        <v>105600</v>
      </c>
      <c r="H10" s="2">
        <v>0</v>
      </c>
      <c r="I10" s="2">
        <v>520</v>
      </c>
      <c r="J10" s="2">
        <v>0</v>
      </c>
      <c r="K10" s="2">
        <v>520</v>
      </c>
      <c r="L10" s="2">
        <v>520</v>
      </c>
      <c r="M10" s="2">
        <v>1040</v>
      </c>
      <c r="N10" s="2">
        <v>52</v>
      </c>
      <c r="O10" s="2">
        <v>80</v>
      </c>
      <c r="P10" s="8" t="s">
        <v>36</v>
      </c>
    </row>
    <row r="11" spans="1:16" x14ac:dyDescent="0.25">
      <c r="A11" s="2" t="s">
        <v>12</v>
      </c>
      <c r="B11" s="2" t="s">
        <v>42</v>
      </c>
      <c r="C11" s="23" t="s">
        <v>66</v>
      </c>
      <c r="D11" s="6" t="s">
        <v>53</v>
      </c>
      <c r="E11" s="2">
        <v>209</v>
      </c>
      <c r="F11" s="2">
        <f t="shared" si="0"/>
        <v>41800</v>
      </c>
      <c r="G11" s="22">
        <f t="shared" si="1"/>
        <v>167200</v>
      </c>
      <c r="H11" s="2">
        <v>0</v>
      </c>
      <c r="I11" s="2">
        <v>660</v>
      </c>
      <c r="J11" s="2">
        <v>0</v>
      </c>
      <c r="K11" s="2">
        <v>660</v>
      </c>
      <c r="L11" s="2">
        <v>660</v>
      </c>
      <c r="M11" s="2">
        <v>1320</v>
      </c>
      <c r="N11" s="2">
        <v>66</v>
      </c>
      <c r="O11" s="2">
        <v>140</v>
      </c>
      <c r="P11" s="8" t="s">
        <v>36</v>
      </c>
    </row>
    <row r="12" spans="1:16" x14ac:dyDescent="0.25">
      <c r="A12" s="2" t="s">
        <v>13</v>
      </c>
      <c r="B12" s="2" t="s">
        <v>42</v>
      </c>
      <c r="C12" s="23" t="s">
        <v>66</v>
      </c>
      <c r="D12" s="6" t="s">
        <v>52</v>
      </c>
      <c r="E12" s="2">
        <v>259</v>
      </c>
      <c r="F12" s="2">
        <f t="shared" si="0"/>
        <v>51800</v>
      </c>
      <c r="G12" s="22">
        <f t="shared" si="1"/>
        <v>207200</v>
      </c>
      <c r="H12" s="2">
        <v>0</v>
      </c>
      <c r="I12" s="2">
        <v>790</v>
      </c>
      <c r="J12" s="2">
        <v>0</v>
      </c>
      <c r="K12" s="2">
        <v>790</v>
      </c>
      <c r="L12" s="2">
        <v>790</v>
      </c>
      <c r="M12" s="2">
        <v>1580</v>
      </c>
      <c r="N12" s="2">
        <v>79</v>
      </c>
      <c r="O12" s="2">
        <v>180</v>
      </c>
      <c r="P12" s="8" t="s">
        <v>36</v>
      </c>
    </row>
    <row r="13" spans="1:16" x14ac:dyDescent="0.25">
      <c r="A13" s="2" t="s">
        <v>14</v>
      </c>
      <c r="B13" s="2" t="s">
        <v>42</v>
      </c>
      <c r="C13" s="23" t="s">
        <v>66</v>
      </c>
      <c r="D13" s="6" t="s">
        <v>51</v>
      </c>
      <c r="E13" s="2">
        <v>253</v>
      </c>
      <c r="F13" s="2">
        <f t="shared" si="0"/>
        <v>50600</v>
      </c>
      <c r="G13" s="22">
        <f t="shared" si="1"/>
        <v>202400</v>
      </c>
      <c r="H13" s="2">
        <v>0</v>
      </c>
      <c r="I13" s="2">
        <v>830</v>
      </c>
      <c r="J13" s="2">
        <v>0</v>
      </c>
      <c r="K13" s="2">
        <v>830</v>
      </c>
      <c r="L13" s="2">
        <v>830</v>
      </c>
      <c r="M13" s="2">
        <v>1660</v>
      </c>
      <c r="N13" s="2">
        <v>83</v>
      </c>
      <c r="O13" s="2">
        <v>170</v>
      </c>
      <c r="P13" s="8" t="s">
        <v>36</v>
      </c>
    </row>
    <row r="14" spans="1:16" x14ac:dyDescent="0.25">
      <c r="A14" s="2" t="s">
        <v>15</v>
      </c>
      <c r="B14" s="2" t="s">
        <v>42</v>
      </c>
      <c r="C14" s="23" t="s">
        <v>66</v>
      </c>
      <c r="D14" s="6" t="s">
        <v>49</v>
      </c>
      <c r="E14" s="2">
        <v>220</v>
      </c>
      <c r="F14" s="2">
        <f t="shared" si="0"/>
        <v>44000</v>
      </c>
      <c r="G14" s="22">
        <f t="shared" si="1"/>
        <v>176000</v>
      </c>
      <c r="H14" s="2">
        <v>0</v>
      </c>
      <c r="I14" s="2">
        <v>800</v>
      </c>
      <c r="J14" s="2">
        <v>0</v>
      </c>
      <c r="K14" s="2">
        <v>800</v>
      </c>
      <c r="L14" s="2">
        <v>800</v>
      </c>
      <c r="M14" s="2">
        <v>1600</v>
      </c>
      <c r="N14" s="2">
        <v>80</v>
      </c>
      <c r="O14" s="2">
        <v>140</v>
      </c>
      <c r="P14" s="8" t="s">
        <v>36</v>
      </c>
    </row>
    <row r="15" spans="1:16" x14ac:dyDescent="0.25">
      <c r="A15" s="2" t="s">
        <v>16</v>
      </c>
      <c r="B15" s="2" t="s">
        <v>42</v>
      </c>
      <c r="C15" s="23" t="s">
        <v>66</v>
      </c>
      <c r="D15" s="6" t="s">
        <v>50</v>
      </c>
      <c r="E15" s="2">
        <v>250</v>
      </c>
      <c r="F15" s="2">
        <f t="shared" si="0"/>
        <v>50000</v>
      </c>
      <c r="G15" s="22">
        <f t="shared" si="1"/>
        <v>200000</v>
      </c>
      <c r="H15" s="2">
        <v>0</v>
      </c>
      <c r="I15" s="2">
        <v>750</v>
      </c>
      <c r="J15" s="2">
        <v>0</v>
      </c>
      <c r="K15" s="2">
        <v>750</v>
      </c>
      <c r="L15" s="2">
        <v>750</v>
      </c>
      <c r="M15" s="2">
        <v>1500</v>
      </c>
      <c r="N15" s="2">
        <v>75</v>
      </c>
      <c r="O15" s="2">
        <v>145</v>
      </c>
      <c r="P15" s="8" t="s">
        <v>36</v>
      </c>
    </row>
    <row r="16" spans="1:16" x14ac:dyDescent="0.25">
      <c r="A16" s="2" t="s">
        <v>17</v>
      </c>
      <c r="B16" s="2" t="s">
        <v>42</v>
      </c>
      <c r="C16" s="23" t="s">
        <v>66</v>
      </c>
      <c r="D16" s="6" t="s">
        <v>48</v>
      </c>
      <c r="E16" s="2">
        <v>432</v>
      </c>
      <c r="F16" s="2">
        <f t="shared" si="0"/>
        <v>86400</v>
      </c>
      <c r="G16" s="22">
        <f t="shared" si="1"/>
        <v>345600</v>
      </c>
      <c r="H16" s="2">
        <v>0</v>
      </c>
      <c r="I16" s="2">
        <v>1620</v>
      </c>
      <c r="J16" s="2">
        <v>0</v>
      </c>
      <c r="K16" s="2">
        <v>1620</v>
      </c>
      <c r="L16" s="2">
        <v>1620</v>
      </c>
      <c r="M16" s="2">
        <v>3240</v>
      </c>
      <c r="N16" s="2">
        <v>162</v>
      </c>
      <c r="O16" s="2">
        <v>270</v>
      </c>
      <c r="P16" s="8" t="s">
        <v>36</v>
      </c>
    </row>
    <row r="17" spans="1:16" x14ac:dyDescent="0.25">
      <c r="A17" s="2" t="s">
        <v>18</v>
      </c>
      <c r="B17" s="2" t="s">
        <v>43</v>
      </c>
      <c r="C17" s="23" t="s">
        <v>66</v>
      </c>
      <c r="D17" s="6" t="s">
        <v>47</v>
      </c>
      <c r="E17" s="2">
        <v>426</v>
      </c>
      <c r="F17" s="2">
        <f t="shared" si="0"/>
        <v>85200</v>
      </c>
      <c r="G17" s="22">
        <f t="shared" si="1"/>
        <v>340800</v>
      </c>
      <c r="H17" s="2">
        <v>0</v>
      </c>
      <c r="I17" s="2">
        <v>1560</v>
      </c>
      <c r="J17" s="2">
        <v>0</v>
      </c>
      <c r="K17" s="2">
        <v>1560</v>
      </c>
      <c r="L17" s="2">
        <v>1560</v>
      </c>
      <c r="M17" s="2">
        <v>3120</v>
      </c>
      <c r="N17" s="2">
        <v>156</v>
      </c>
      <c r="O17" s="2">
        <v>270</v>
      </c>
      <c r="P17" s="8" t="s">
        <v>36</v>
      </c>
    </row>
    <row r="18" spans="1:16" x14ac:dyDescent="0.25">
      <c r="A18" s="2" t="s">
        <v>19</v>
      </c>
      <c r="B18" s="2" t="s">
        <v>42</v>
      </c>
      <c r="C18" s="23" t="s">
        <v>66</v>
      </c>
      <c r="D18" s="6" t="s">
        <v>46</v>
      </c>
      <c r="E18" s="2">
        <v>224</v>
      </c>
      <c r="F18" s="2">
        <f t="shared" si="0"/>
        <v>44800</v>
      </c>
      <c r="G18" s="22">
        <f t="shared" si="1"/>
        <v>179200</v>
      </c>
      <c r="H18" s="2">
        <v>0</v>
      </c>
      <c r="I18" s="2">
        <v>840</v>
      </c>
      <c r="J18" s="2">
        <v>0</v>
      </c>
      <c r="K18" s="2">
        <v>840</v>
      </c>
      <c r="L18" s="2">
        <v>840</v>
      </c>
      <c r="M18" s="2">
        <v>1680</v>
      </c>
      <c r="N18" s="2">
        <v>84</v>
      </c>
      <c r="O18" s="2">
        <v>140</v>
      </c>
      <c r="P18" s="8" t="s">
        <v>36</v>
      </c>
    </row>
    <row r="19" spans="1:16" x14ac:dyDescent="0.25">
      <c r="A19" s="2" t="s">
        <v>20</v>
      </c>
      <c r="B19" s="2" t="s">
        <v>42</v>
      </c>
      <c r="C19" s="23" t="s">
        <v>66</v>
      </c>
      <c r="D19" s="6" t="s">
        <v>44</v>
      </c>
      <c r="E19" s="2">
        <v>559</v>
      </c>
      <c r="F19" s="2">
        <f t="shared" si="0"/>
        <v>111800</v>
      </c>
      <c r="G19" s="22">
        <f t="shared" si="1"/>
        <v>447200</v>
      </c>
      <c r="H19" s="2">
        <v>0</v>
      </c>
      <c r="I19" s="2">
        <v>2290</v>
      </c>
      <c r="J19" s="2">
        <v>0</v>
      </c>
      <c r="K19" s="2">
        <v>2290</v>
      </c>
      <c r="L19" s="2">
        <v>2290</v>
      </c>
      <c r="M19" s="2">
        <v>4580</v>
      </c>
      <c r="N19" s="2">
        <v>229</v>
      </c>
      <c r="O19" s="2">
        <v>330</v>
      </c>
      <c r="P19" s="8" t="s">
        <v>36</v>
      </c>
    </row>
    <row r="20" spans="1:16" x14ac:dyDescent="0.25">
      <c r="A20" s="2" t="s">
        <v>21</v>
      </c>
      <c r="B20" s="2" t="s">
        <v>42</v>
      </c>
      <c r="C20" s="23" t="s">
        <v>66</v>
      </c>
      <c r="D20" s="6" t="s">
        <v>45</v>
      </c>
      <c r="E20" s="2">
        <v>333</v>
      </c>
      <c r="F20" s="2">
        <f t="shared" si="0"/>
        <v>66600</v>
      </c>
      <c r="G20" s="22">
        <f t="shared" si="1"/>
        <v>266400</v>
      </c>
      <c r="H20" s="2">
        <v>0</v>
      </c>
      <c r="I20" s="2">
        <v>1330</v>
      </c>
      <c r="J20" s="2">
        <v>0</v>
      </c>
      <c r="K20" s="2">
        <v>1330</v>
      </c>
      <c r="L20" s="2">
        <v>1330</v>
      </c>
      <c r="M20" s="2">
        <v>2660</v>
      </c>
      <c r="N20" s="2">
        <v>133</v>
      </c>
      <c r="O20" s="2">
        <v>200</v>
      </c>
      <c r="P20" s="8" t="s">
        <v>36</v>
      </c>
    </row>
    <row r="21" spans="1:16" x14ac:dyDescent="0.25">
      <c r="A21" s="2" t="s">
        <v>37</v>
      </c>
      <c r="B21" s="2" t="s">
        <v>37</v>
      </c>
      <c r="C21" s="2" t="s">
        <v>37</v>
      </c>
      <c r="D21" s="6" t="s">
        <v>62</v>
      </c>
      <c r="E21" s="2">
        <v>148000</v>
      </c>
      <c r="F21" s="2">
        <f>+E21*40</f>
        <v>5920000</v>
      </c>
      <c r="G21" s="22">
        <f>+F21/0.75*1</f>
        <v>7893333.333333333</v>
      </c>
      <c r="H21" s="2">
        <v>0</v>
      </c>
      <c r="I21" s="2">
        <v>10000</v>
      </c>
      <c r="J21" s="2">
        <v>0</v>
      </c>
      <c r="K21" s="2">
        <v>10000</v>
      </c>
      <c r="L21" s="2">
        <v>10000</v>
      </c>
      <c r="M21" s="2">
        <v>20000</v>
      </c>
      <c r="N21" s="2">
        <v>68000</v>
      </c>
      <c r="O21" s="2">
        <v>80000</v>
      </c>
      <c r="P21" s="8" t="s">
        <v>36</v>
      </c>
    </row>
    <row r="22" spans="1:16" x14ac:dyDescent="0.25">
      <c r="A22" s="2" t="s">
        <v>38</v>
      </c>
      <c r="B22" s="2" t="s">
        <v>38</v>
      </c>
      <c r="C22" s="2" t="s">
        <v>38</v>
      </c>
      <c r="D22" s="6" t="s">
        <v>63</v>
      </c>
      <c r="E22" s="2">
        <v>200000</v>
      </c>
      <c r="F22" s="2">
        <f>+E22*40</f>
        <v>8000000</v>
      </c>
      <c r="G22" s="22">
        <f>+F22/0.75*1</f>
        <v>10666666.666666666</v>
      </c>
      <c r="H22" s="2">
        <v>0</v>
      </c>
      <c r="I22" s="2">
        <v>10000</v>
      </c>
      <c r="J22" s="2">
        <v>0</v>
      </c>
      <c r="K22" s="2">
        <v>10000</v>
      </c>
      <c r="L22" s="2">
        <v>10000</v>
      </c>
      <c r="M22" s="2">
        <v>20000</v>
      </c>
      <c r="N22" s="2">
        <v>80000</v>
      </c>
      <c r="O22" s="2">
        <v>120000</v>
      </c>
      <c r="P22" s="8" t="s">
        <v>36</v>
      </c>
    </row>
    <row r="23" spans="1:16" x14ac:dyDescent="0.25">
      <c r="A23" s="2" t="s">
        <v>22</v>
      </c>
      <c r="B23" s="2" t="s">
        <v>69</v>
      </c>
      <c r="C23" s="2" t="s">
        <v>71</v>
      </c>
      <c r="D23" s="6" t="s">
        <v>68</v>
      </c>
      <c r="E23" s="2">
        <v>57</v>
      </c>
      <c r="F23" s="2">
        <f t="shared" ref="F23:F34" si="2">+E23*200</f>
        <v>11400</v>
      </c>
      <c r="G23" s="22">
        <f t="shared" si="1"/>
        <v>45600</v>
      </c>
      <c r="H23" s="2">
        <v>0</v>
      </c>
      <c r="I23" s="2">
        <v>270</v>
      </c>
      <c r="J23" s="2">
        <v>0</v>
      </c>
      <c r="K23" s="2">
        <v>270</v>
      </c>
      <c r="L23" s="2">
        <v>270</v>
      </c>
      <c r="M23" s="2">
        <v>540</v>
      </c>
      <c r="N23" s="2">
        <v>27</v>
      </c>
      <c r="O23" s="2">
        <v>30</v>
      </c>
      <c r="P23" s="8" t="s">
        <v>34</v>
      </c>
    </row>
    <row r="24" spans="1:16" x14ac:dyDescent="0.25">
      <c r="A24" s="2" t="s">
        <v>23</v>
      </c>
      <c r="B24" s="2" t="s">
        <v>71</v>
      </c>
      <c r="C24" s="2" t="s">
        <v>71</v>
      </c>
      <c r="D24" s="6" t="s">
        <v>70</v>
      </c>
      <c r="E24" s="2">
        <v>50</v>
      </c>
      <c r="F24" s="2">
        <f t="shared" si="2"/>
        <v>10000</v>
      </c>
      <c r="G24" s="22">
        <f t="shared" si="1"/>
        <v>40000</v>
      </c>
      <c r="H24" s="2">
        <v>0</v>
      </c>
      <c r="I24" s="2">
        <v>200</v>
      </c>
      <c r="J24" s="2">
        <v>0</v>
      </c>
      <c r="K24" s="2">
        <v>200</v>
      </c>
      <c r="L24" s="2">
        <v>200</v>
      </c>
      <c r="M24" s="2">
        <v>400</v>
      </c>
      <c r="N24" s="2">
        <v>20</v>
      </c>
      <c r="O24" s="2">
        <v>30</v>
      </c>
      <c r="P24" s="8" t="s">
        <v>34</v>
      </c>
    </row>
    <row r="25" spans="1:16" x14ac:dyDescent="0.25">
      <c r="A25" s="2" t="s">
        <v>24</v>
      </c>
      <c r="B25" s="2" t="s">
        <v>24</v>
      </c>
      <c r="C25" s="2" t="s">
        <v>24</v>
      </c>
      <c r="D25" s="6" t="s">
        <v>72</v>
      </c>
      <c r="E25" s="2">
        <v>106</v>
      </c>
      <c r="F25" s="2">
        <f t="shared" si="2"/>
        <v>21200</v>
      </c>
      <c r="G25" s="22">
        <f t="shared" si="1"/>
        <v>84800</v>
      </c>
      <c r="H25" s="2">
        <v>0</v>
      </c>
      <c r="I25" s="2">
        <v>460</v>
      </c>
      <c r="J25" s="2">
        <v>0</v>
      </c>
      <c r="K25" s="2">
        <v>460</v>
      </c>
      <c r="L25" s="2">
        <v>460</v>
      </c>
      <c r="M25" s="2">
        <v>920</v>
      </c>
      <c r="N25" s="2">
        <v>46</v>
      </c>
      <c r="O25" s="2">
        <v>60</v>
      </c>
      <c r="P25" s="8" t="s">
        <v>34</v>
      </c>
    </row>
    <row r="26" spans="1:16" x14ac:dyDescent="0.25">
      <c r="A26" s="2" t="s">
        <v>25</v>
      </c>
      <c r="B26" s="2" t="s">
        <v>24</v>
      </c>
      <c r="C26" s="2" t="s">
        <v>24</v>
      </c>
      <c r="D26" s="6" t="s">
        <v>73</v>
      </c>
      <c r="E26" s="2">
        <v>500</v>
      </c>
      <c r="F26" s="2">
        <f t="shared" si="2"/>
        <v>100000</v>
      </c>
      <c r="G26" s="22">
        <f t="shared" si="1"/>
        <v>400000</v>
      </c>
      <c r="H26" s="2">
        <v>0</v>
      </c>
      <c r="I26" s="2">
        <v>2000</v>
      </c>
      <c r="J26" s="2">
        <v>0</v>
      </c>
      <c r="K26" s="2">
        <v>2000</v>
      </c>
      <c r="L26" s="2">
        <v>2000</v>
      </c>
      <c r="M26" s="2">
        <v>4000</v>
      </c>
      <c r="N26" s="2">
        <v>200</v>
      </c>
      <c r="O26" s="2">
        <v>300</v>
      </c>
      <c r="P26" s="8" t="s">
        <v>34</v>
      </c>
    </row>
    <row r="27" spans="1:16" x14ac:dyDescent="0.25">
      <c r="A27" s="2" t="s">
        <v>26</v>
      </c>
      <c r="B27" s="2" t="s">
        <v>24</v>
      </c>
      <c r="C27" s="2" t="s">
        <v>24</v>
      </c>
      <c r="D27" s="6" t="s">
        <v>74</v>
      </c>
      <c r="E27" s="2">
        <v>990</v>
      </c>
      <c r="F27" s="2">
        <f t="shared" si="2"/>
        <v>198000</v>
      </c>
      <c r="G27" s="22">
        <f t="shared" si="1"/>
        <v>792000</v>
      </c>
      <c r="H27" s="2">
        <v>0</v>
      </c>
      <c r="I27" s="2">
        <v>4400</v>
      </c>
      <c r="J27" s="2">
        <v>0</v>
      </c>
      <c r="K27" s="2">
        <v>4400</v>
      </c>
      <c r="L27" s="2">
        <v>4400</v>
      </c>
      <c r="M27" s="2">
        <v>8800</v>
      </c>
      <c r="N27" s="2">
        <v>440</v>
      </c>
      <c r="O27" s="2">
        <v>550</v>
      </c>
      <c r="P27" s="8" t="s">
        <v>34</v>
      </c>
    </row>
    <row r="28" spans="1:16" x14ac:dyDescent="0.25">
      <c r="A28" s="2" t="s">
        <v>27</v>
      </c>
      <c r="B28" s="2" t="s">
        <v>76</v>
      </c>
      <c r="C28" s="2" t="s">
        <v>84</v>
      </c>
      <c r="D28" s="6" t="s">
        <v>75</v>
      </c>
      <c r="E28" s="2">
        <v>340</v>
      </c>
      <c r="F28" s="2">
        <f t="shared" si="2"/>
        <v>68000</v>
      </c>
      <c r="G28" s="22">
        <f t="shared" si="1"/>
        <v>272000</v>
      </c>
      <c r="H28" s="2">
        <v>0</v>
      </c>
      <c r="I28" s="2">
        <v>1400</v>
      </c>
      <c r="J28" s="2">
        <v>0</v>
      </c>
      <c r="K28" s="2">
        <v>1400</v>
      </c>
      <c r="L28" s="2">
        <v>1400</v>
      </c>
      <c r="M28" s="2">
        <v>2800</v>
      </c>
      <c r="N28" s="2">
        <v>140</v>
      </c>
      <c r="O28" s="2">
        <v>200</v>
      </c>
      <c r="P28" s="8" t="s">
        <v>34</v>
      </c>
    </row>
    <row r="29" spans="1:16" x14ac:dyDescent="0.25">
      <c r="A29" s="2" t="s">
        <v>28</v>
      </c>
      <c r="B29" s="2" t="s">
        <v>76</v>
      </c>
      <c r="C29" s="2" t="s">
        <v>84</v>
      </c>
      <c r="D29" s="6" t="s">
        <v>77</v>
      </c>
      <c r="E29" s="2">
        <v>533</v>
      </c>
      <c r="F29" s="2">
        <f t="shared" si="2"/>
        <v>106600</v>
      </c>
      <c r="G29" s="22">
        <f t="shared" si="1"/>
        <v>426400</v>
      </c>
      <c r="H29" s="2">
        <v>0</v>
      </c>
      <c r="I29" s="2">
        <v>2330</v>
      </c>
      <c r="J29" s="2">
        <v>0</v>
      </c>
      <c r="K29" s="2">
        <v>2330</v>
      </c>
      <c r="L29" s="2">
        <v>2330</v>
      </c>
      <c r="M29" s="2">
        <v>4660</v>
      </c>
      <c r="N29" s="2">
        <v>233</v>
      </c>
      <c r="O29" s="2">
        <v>300</v>
      </c>
      <c r="P29" s="8" t="s">
        <v>34</v>
      </c>
    </row>
    <row r="30" spans="1:16" x14ac:dyDescent="0.25">
      <c r="A30" s="2" t="s">
        <v>29</v>
      </c>
      <c r="B30" s="2" t="s">
        <v>76</v>
      </c>
      <c r="C30" s="2" t="s">
        <v>84</v>
      </c>
      <c r="D30" s="6" t="s">
        <v>78</v>
      </c>
      <c r="E30" s="2">
        <v>500</v>
      </c>
      <c r="F30" s="2">
        <f t="shared" si="2"/>
        <v>100000</v>
      </c>
      <c r="G30" s="22">
        <f t="shared" si="1"/>
        <v>400000</v>
      </c>
      <c r="H30" s="2">
        <v>0</v>
      </c>
      <c r="I30" s="2">
        <v>2000</v>
      </c>
      <c r="J30" s="2">
        <v>0</v>
      </c>
      <c r="K30" s="2">
        <v>2000</v>
      </c>
      <c r="L30" s="2">
        <v>2000</v>
      </c>
      <c r="M30" s="2">
        <v>4000</v>
      </c>
      <c r="N30" s="2">
        <v>200</v>
      </c>
      <c r="O30" s="2">
        <v>300</v>
      </c>
      <c r="P30" s="8" t="s">
        <v>34</v>
      </c>
    </row>
    <row r="31" spans="1:16" x14ac:dyDescent="0.25">
      <c r="A31" s="2" t="s">
        <v>30</v>
      </c>
      <c r="B31" s="2" t="s">
        <v>86</v>
      </c>
      <c r="C31" s="2" t="s">
        <v>85</v>
      </c>
      <c r="D31" s="6" t="s">
        <v>79</v>
      </c>
      <c r="E31" s="2">
        <v>200</v>
      </c>
      <c r="F31" s="2">
        <f t="shared" si="2"/>
        <v>40000</v>
      </c>
      <c r="G31" s="22">
        <f t="shared" si="1"/>
        <v>160000</v>
      </c>
      <c r="H31" s="2">
        <v>0</v>
      </c>
      <c r="I31" s="2">
        <v>800</v>
      </c>
      <c r="J31" s="2">
        <v>0</v>
      </c>
      <c r="K31" s="2">
        <v>800</v>
      </c>
      <c r="L31" s="2">
        <v>800</v>
      </c>
      <c r="M31" s="2">
        <v>1600</v>
      </c>
      <c r="N31" s="2">
        <v>80</v>
      </c>
      <c r="O31" s="2">
        <v>120</v>
      </c>
      <c r="P31" s="8" t="s">
        <v>34</v>
      </c>
    </row>
    <row r="32" spans="1:16" x14ac:dyDescent="0.25">
      <c r="A32" s="2" t="s">
        <v>31</v>
      </c>
      <c r="B32" s="2" t="s">
        <v>86</v>
      </c>
      <c r="C32" s="2" t="s">
        <v>85</v>
      </c>
      <c r="D32" s="6" t="s">
        <v>80</v>
      </c>
      <c r="E32" s="2">
        <v>255</v>
      </c>
      <c r="F32" s="2">
        <f t="shared" si="2"/>
        <v>51000</v>
      </c>
      <c r="G32" s="22">
        <f t="shared" si="1"/>
        <v>204000</v>
      </c>
      <c r="H32" s="2">
        <v>0</v>
      </c>
      <c r="I32" s="2">
        <v>850</v>
      </c>
      <c r="J32" s="2">
        <v>0</v>
      </c>
      <c r="K32" s="2">
        <v>850</v>
      </c>
      <c r="L32" s="2">
        <v>850</v>
      </c>
      <c r="M32" s="2">
        <v>1700</v>
      </c>
      <c r="N32" s="2">
        <v>85</v>
      </c>
      <c r="O32" s="2">
        <v>170</v>
      </c>
      <c r="P32" s="8" t="s">
        <v>34</v>
      </c>
    </row>
    <row r="33" spans="1:16" x14ac:dyDescent="0.25">
      <c r="A33" s="2" t="s">
        <v>32</v>
      </c>
      <c r="B33" s="2" t="s">
        <v>32</v>
      </c>
      <c r="C33" s="2" t="s">
        <v>71</v>
      </c>
      <c r="D33" s="6" t="s">
        <v>81</v>
      </c>
      <c r="E33" s="2">
        <v>366</v>
      </c>
      <c r="F33" s="2">
        <f t="shared" si="2"/>
        <v>73200</v>
      </c>
      <c r="G33" s="22">
        <f t="shared" si="1"/>
        <v>292800</v>
      </c>
      <c r="H33" s="2">
        <v>0</v>
      </c>
      <c r="I33" s="2">
        <v>1360</v>
      </c>
      <c r="J33" s="2">
        <v>0</v>
      </c>
      <c r="K33" s="2">
        <v>1360</v>
      </c>
      <c r="L33" s="2">
        <v>1360</v>
      </c>
      <c r="M33" s="2">
        <v>2720</v>
      </c>
      <c r="N33" s="2">
        <v>136</v>
      </c>
      <c r="O33" s="2">
        <v>230</v>
      </c>
      <c r="P33" s="8" t="s">
        <v>34</v>
      </c>
    </row>
    <row r="34" spans="1:16" x14ac:dyDescent="0.25">
      <c r="A34" s="2" t="s">
        <v>33</v>
      </c>
      <c r="B34" s="2" t="s">
        <v>83</v>
      </c>
      <c r="C34" s="2" t="s">
        <v>87</v>
      </c>
      <c r="D34" s="6" t="s">
        <v>82</v>
      </c>
      <c r="E34" s="2">
        <v>115</v>
      </c>
      <c r="F34" s="2">
        <f t="shared" si="2"/>
        <v>23000</v>
      </c>
      <c r="G34" s="22">
        <f t="shared" si="1"/>
        <v>92000</v>
      </c>
      <c r="H34" s="2">
        <v>0</v>
      </c>
      <c r="I34" s="2">
        <v>450</v>
      </c>
      <c r="J34" s="2">
        <v>0</v>
      </c>
      <c r="K34" s="2">
        <v>450</v>
      </c>
      <c r="L34" s="2">
        <v>450</v>
      </c>
      <c r="M34" s="2">
        <v>900</v>
      </c>
      <c r="N34" s="2">
        <v>45</v>
      </c>
      <c r="O34" s="2">
        <v>70</v>
      </c>
      <c r="P34" s="8" t="s">
        <v>34</v>
      </c>
    </row>
    <row r="35" spans="1:16" ht="60" x14ac:dyDescent="0.25">
      <c r="A35" s="2" t="s">
        <v>39</v>
      </c>
      <c r="B35" s="2" t="s">
        <v>65</v>
      </c>
      <c r="C35" s="2" t="s">
        <v>65</v>
      </c>
      <c r="D35" s="6" t="s">
        <v>64</v>
      </c>
      <c r="E35" s="4">
        <v>1000000</v>
      </c>
      <c r="F35" s="2">
        <f>+E35*40</f>
        <v>40000000</v>
      </c>
      <c r="G35" s="2"/>
      <c r="H35" s="2">
        <v>0</v>
      </c>
      <c r="I35" s="4">
        <v>0</v>
      </c>
      <c r="J35" s="4">
        <v>10000000</v>
      </c>
      <c r="K35" s="4">
        <v>0</v>
      </c>
      <c r="L35" s="4">
        <v>30000</v>
      </c>
      <c r="M35" s="4">
        <v>60000</v>
      </c>
      <c r="N35" s="4">
        <v>200000</v>
      </c>
      <c r="O35" s="4">
        <v>800000</v>
      </c>
      <c r="P35" s="8" t="s">
        <v>40</v>
      </c>
    </row>
    <row r="36" spans="1:16" x14ac:dyDescent="0.25">
      <c r="A36" s="3" t="s">
        <v>35</v>
      </c>
      <c r="B36" s="3"/>
      <c r="C36" s="3"/>
      <c r="D36" s="3"/>
      <c r="E36" s="5">
        <f>SUM(E4:E35)</f>
        <v>1356704</v>
      </c>
      <c r="F36" s="5"/>
      <c r="G36" s="5">
        <f>SUM(G4:G35)</f>
        <v>25523200</v>
      </c>
      <c r="H36" s="5"/>
      <c r="I36" s="5">
        <f t="shared" ref="I36:M36" si="3">SUM(I4:I35)</f>
        <v>52940</v>
      </c>
      <c r="J36" s="5">
        <f t="shared" si="3"/>
        <v>10000000</v>
      </c>
      <c r="K36" s="5">
        <f t="shared" si="3"/>
        <v>52940</v>
      </c>
      <c r="L36" s="5">
        <f t="shared" si="3"/>
        <v>82940</v>
      </c>
      <c r="M36" s="5">
        <f t="shared" si="3"/>
        <v>165880</v>
      </c>
      <c r="N36" s="5"/>
      <c r="O36" s="5"/>
      <c r="P36" s="2"/>
    </row>
    <row r="37" spans="1:16" x14ac:dyDescent="0.25">
      <c r="F37" s="3" t="s">
        <v>153</v>
      </c>
      <c r="G37" s="59">
        <f>SUM(G36:M36)</f>
        <v>35877900</v>
      </c>
    </row>
  </sheetData>
  <mergeCells count="1">
    <mergeCell ref="I2:K2"/>
  </mergeCells>
  <hyperlinks>
    <hyperlink ref="D4" r:id="rId1" xr:uid="{268DCB0C-0E9F-4586-950F-4367E66E4D7E}"/>
    <hyperlink ref="D5" r:id="rId2" xr:uid="{76119267-1AE2-400E-A91F-5488A699623E}"/>
    <hyperlink ref="D6" r:id="rId3" xr:uid="{EFE9551D-21C2-42D3-B6A1-5E35328C9ED4}"/>
    <hyperlink ref="D7" r:id="rId4" xr:uid="{1291BBDE-F66B-4B23-AFD2-C48260EA7977}"/>
    <hyperlink ref="D8" r:id="rId5" xr:uid="{BD7EDA54-873B-4F6D-B039-97AE644266E9}"/>
    <hyperlink ref="D9" r:id="rId6" xr:uid="{8BB60CCF-627F-4B47-B624-3B1F06CFBA0C}"/>
    <hyperlink ref="D10" r:id="rId7" xr:uid="{B040B298-D3A7-469B-AC66-DA1C49C78320}"/>
    <hyperlink ref="D11" r:id="rId8" xr:uid="{BD412AB6-5B0F-4051-BE16-CEE66CEE0E06}"/>
    <hyperlink ref="D12" r:id="rId9" xr:uid="{0AFF6CC9-206E-4790-85CA-AD62124ABED5}"/>
    <hyperlink ref="D13" r:id="rId10" xr:uid="{5C9A0B4D-4533-4FA3-AD83-5E225BDD6567}"/>
    <hyperlink ref="D14" r:id="rId11" xr:uid="{DC81D0BE-DFFE-4E14-9289-8D18CDAE8C35}"/>
    <hyperlink ref="D15" r:id="rId12" xr:uid="{A233C358-EF91-48EC-ACB9-84B8EB95FD1B}"/>
    <hyperlink ref="D16" r:id="rId13" xr:uid="{9E6F0492-0994-4E59-A583-49AEF62845E5}"/>
    <hyperlink ref="D17" r:id="rId14" xr:uid="{5590C486-CC47-455D-9B44-A416DF6F1D89}"/>
    <hyperlink ref="D18" r:id="rId15" xr:uid="{741E57E2-3D11-4C48-BFE6-41F5329A8462}"/>
    <hyperlink ref="D19" r:id="rId16" xr:uid="{055CF607-6B80-4C37-B4C4-87F003262943}"/>
    <hyperlink ref="D20" r:id="rId17" xr:uid="{41A0B971-9249-4AE3-95DA-83FEA0448893}"/>
    <hyperlink ref="D21" r:id="rId18" xr:uid="{5271A1EA-8A84-47C3-B790-55B1FDB06C77}"/>
    <hyperlink ref="D22" r:id="rId19" xr:uid="{BCEA9DBC-3AC7-4D2A-88EB-ECC61B2257C9}"/>
    <hyperlink ref="D35" r:id="rId20" xr:uid="{FAB134BA-AD7B-4146-887B-94D20A3BFE0C}"/>
    <hyperlink ref="D23" r:id="rId21" xr:uid="{3921EE12-F930-49F5-BAF5-A8E18D57D702}"/>
    <hyperlink ref="D24" r:id="rId22" xr:uid="{F8CFB6A3-A0B6-4A1C-85C6-EC817C367672}"/>
    <hyperlink ref="D25" r:id="rId23" xr:uid="{46043AE3-8D38-45DF-B613-30BF265F7A4C}"/>
    <hyperlink ref="D26" r:id="rId24" xr:uid="{9274D240-8CF8-4E54-9E3D-2022731C7C9A}"/>
    <hyperlink ref="D27" r:id="rId25" xr:uid="{F3BFCD6E-7E6F-43B4-987C-07E98DE68A7B}"/>
    <hyperlink ref="D28" r:id="rId26" xr:uid="{6068A801-3006-45DA-AEC8-E425D2CE4C9E}"/>
    <hyperlink ref="D29" r:id="rId27" xr:uid="{EEC838C0-AEB0-4865-856A-8DE91AA63D6B}"/>
    <hyperlink ref="D30" r:id="rId28" xr:uid="{BA86644D-E330-46CC-A168-C6C35B53A7D9}"/>
    <hyperlink ref="D31" r:id="rId29" xr:uid="{82F1FA02-9835-43F5-986E-C8344BB2B371}"/>
    <hyperlink ref="D32" r:id="rId30" xr:uid="{0F02EC01-54BD-4B3D-A446-103EB055BAF6}"/>
    <hyperlink ref="D33" r:id="rId31" xr:uid="{2C865EF1-BC80-4AD2-869D-9833EDD91C1A}"/>
    <hyperlink ref="D34" r:id="rId32" xr:uid="{CDD4E72D-6B64-4980-9059-B7535E3FFFC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9D689-8166-4866-80D9-8B423A32B2FE}">
  <dimension ref="A1:L30"/>
  <sheetViews>
    <sheetView tabSelected="1" workbookViewId="0">
      <selection activeCell="C30" sqref="C30"/>
    </sheetView>
  </sheetViews>
  <sheetFormatPr defaultRowHeight="15" x14ac:dyDescent="0.25"/>
  <cols>
    <col min="1" max="1" width="41.85546875" bestFit="1" customWidth="1"/>
    <col min="2" max="2" width="12.140625" bestFit="1" customWidth="1"/>
    <col min="3" max="5" width="10.140625" bestFit="1" customWidth="1"/>
    <col min="6" max="12" width="11.28515625" bestFit="1" customWidth="1"/>
  </cols>
  <sheetData>
    <row r="1" spans="1:12" ht="15.75" x14ac:dyDescent="0.25">
      <c r="A1" s="27"/>
      <c r="B1" s="103" t="s">
        <v>119</v>
      </c>
      <c r="C1" s="104"/>
      <c r="D1" s="105" t="s">
        <v>120</v>
      </c>
      <c r="E1" s="106"/>
      <c r="F1" s="107"/>
      <c r="G1" s="105" t="s">
        <v>121</v>
      </c>
      <c r="H1" s="106"/>
      <c r="I1" s="106"/>
      <c r="J1" s="106"/>
      <c r="K1" s="106"/>
      <c r="L1" s="107"/>
    </row>
    <row r="2" spans="1:12" ht="15.75" x14ac:dyDescent="0.25">
      <c r="A2" s="28" t="s">
        <v>122</v>
      </c>
      <c r="B2" s="70">
        <v>2023</v>
      </c>
      <c r="C2" s="71">
        <v>2024</v>
      </c>
      <c r="D2" s="70">
        <v>2025</v>
      </c>
      <c r="E2" s="72">
        <v>2026</v>
      </c>
      <c r="F2" s="71">
        <v>2027</v>
      </c>
      <c r="G2" s="70">
        <v>2028</v>
      </c>
      <c r="H2" s="72">
        <v>2029</v>
      </c>
      <c r="I2" s="72">
        <v>2030</v>
      </c>
      <c r="J2" s="72">
        <v>2031</v>
      </c>
      <c r="K2" s="72">
        <v>2032</v>
      </c>
      <c r="L2" s="71">
        <v>2033</v>
      </c>
    </row>
    <row r="3" spans="1:12" ht="15.75" x14ac:dyDescent="0.25">
      <c r="A3" s="28" t="s">
        <v>184</v>
      </c>
      <c r="B3" s="31">
        <v>2</v>
      </c>
      <c r="C3" s="31">
        <v>1</v>
      </c>
      <c r="D3" s="31">
        <v>1</v>
      </c>
      <c r="E3" s="31">
        <v>1</v>
      </c>
      <c r="F3" s="31"/>
      <c r="G3" s="31"/>
      <c r="H3" s="31"/>
      <c r="I3" s="31"/>
      <c r="J3" s="31"/>
      <c r="K3" s="31"/>
      <c r="L3" s="31"/>
    </row>
    <row r="4" spans="1:12" ht="15.75" x14ac:dyDescent="0.25">
      <c r="A4" s="28" t="s">
        <v>185</v>
      </c>
      <c r="B4" s="31">
        <v>2</v>
      </c>
      <c r="C4" s="31">
        <v>3</v>
      </c>
      <c r="D4" s="31">
        <v>4</v>
      </c>
      <c r="E4" s="31">
        <v>5</v>
      </c>
      <c r="F4" s="31">
        <v>5</v>
      </c>
      <c r="G4" s="31">
        <v>5</v>
      </c>
      <c r="H4" s="31">
        <v>5</v>
      </c>
      <c r="I4" s="31">
        <v>5</v>
      </c>
      <c r="J4" s="31">
        <v>5</v>
      </c>
      <c r="K4" s="31">
        <v>5</v>
      </c>
      <c r="L4" s="31">
        <v>5</v>
      </c>
    </row>
    <row r="5" spans="1:12" ht="15.75" x14ac:dyDescent="0.25">
      <c r="A5" s="28" t="s">
        <v>186</v>
      </c>
      <c r="B5" s="73">
        <v>2000000</v>
      </c>
      <c r="C5" s="73">
        <v>3000000</v>
      </c>
      <c r="D5" s="73">
        <v>4000000</v>
      </c>
      <c r="E5" s="73">
        <v>5000000</v>
      </c>
      <c r="F5" s="73">
        <v>5000000</v>
      </c>
      <c r="G5" s="73">
        <v>5000000</v>
      </c>
      <c r="H5" s="73">
        <v>5000000</v>
      </c>
      <c r="I5" s="73">
        <v>5000000</v>
      </c>
      <c r="J5" s="73">
        <v>5000000</v>
      </c>
      <c r="K5" s="73">
        <v>5000000</v>
      </c>
      <c r="L5" s="73">
        <v>5000000</v>
      </c>
    </row>
    <row r="6" spans="1:12" ht="15.75" thickBot="1" x14ac:dyDescent="0.3"/>
    <row r="7" spans="1:12" ht="15.75" x14ac:dyDescent="0.25">
      <c r="A7" s="74" t="s">
        <v>187</v>
      </c>
      <c r="B7" s="75"/>
      <c r="C7" s="77"/>
    </row>
    <row r="8" spans="1:12" ht="15.75" x14ac:dyDescent="0.25">
      <c r="A8" s="76" t="s">
        <v>188</v>
      </c>
      <c r="B8" s="78"/>
      <c r="C8" s="79"/>
    </row>
    <row r="9" spans="1:12" ht="15.75" x14ac:dyDescent="0.25">
      <c r="A9" s="76" t="s">
        <v>189</v>
      </c>
      <c r="B9" s="78"/>
      <c r="C9" s="79" t="s">
        <v>190</v>
      </c>
    </row>
    <row r="10" spans="1:12" ht="15.75" x14ac:dyDescent="0.25">
      <c r="A10" s="76"/>
      <c r="B10" s="78"/>
      <c r="C10" s="80"/>
    </row>
    <row r="11" spans="1:12" ht="16.5" thickBot="1" x14ac:dyDescent="0.3">
      <c r="A11" s="81" t="s">
        <v>191</v>
      </c>
      <c r="B11" s="82"/>
      <c r="C11" s="83"/>
    </row>
    <row r="12" spans="1:12" ht="16.5" thickBot="1" x14ac:dyDescent="0.3">
      <c r="A12" s="76"/>
      <c r="B12" s="78"/>
      <c r="C12" s="84"/>
    </row>
    <row r="13" spans="1:12" ht="15.75" x14ac:dyDescent="0.25">
      <c r="A13" s="87" t="s">
        <v>200</v>
      </c>
      <c r="B13" s="78"/>
      <c r="C13" s="84"/>
    </row>
    <row r="14" spans="1:12" ht="15.75" x14ac:dyDescent="0.25">
      <c r="A14" s="85" t="s">
        <v>192</v>
      </c>
    </row>
    <row r="15" spans="1:12" ht="15.75" x14ac:dyDescent="0.25">
      <c r="A15" s="85" t="s">
        <v>193</v>
      </c>
    </row>
    <row r="16" spans="1:12" ht="15.75" x14ac:dyDescent="0.25">
      <c r="A16" s="85" t="s">
        <v>194</v>
      </c>
    </row>
    <row r="17" spans="1:5" ht="15.75" x14ac:dyDescent="0.25">
      <c r="A17" s="85" t="s">
        <v>195</v>
      </c>
    </row>
    <row r="18" spans="1:5" ht="15.75" x14ac:dyDescent="0.25">
      <c r="A18" s="85" t="s">
        <v>196</v>
      </c>
    </row>
    <row r="19" spans="1:5" ht="15.75" x14ac:dyDescent="0.25">
      <c r="A19" s="85" t="s">
        <v>197</v>
      </c>
    </row>
    <row r="20" spans="1:5" ht="15.75" x14ac:dyDescent="0.25">
      <c r="A20" s="85" t="s">
        <v>202</v>
      </c>
    </row>
    <row r="21" spans="1:5" ht="15.75" x14ac:dyDescent="0.25">
      <c r="A21" s="85" t="s">
        <v>198</v>
      </c>
    </row>
    <row r="22" spans="1:5" ht="15.75" x14ac:dyDescent="0.25">
      <c r="A22" s="85" t="s">
        <v>201</v>
      </c>
    </row>
    <row r="23" spans="1:5" ht="16.5" thickBot="1" x14ac:dyDescent="0.3">
      <c r="A23" s="86" t="s">
        <v>199</v>
      </c>
    </row>
    <row r="26" spans="1:5" ht="15.75" thickBot="1" x14ac:dyDescent="0.3"/>
    <row r="27" spans="1:5" ht="15.75" x14ac:dyDescent="0.25">
      <c r="B27" s="89">
        <v>2023</v>
      </c>
      <c r="C27" s="90">
        <v>2024</v>
      </c>
      <c r="D27" s="90">
        <v>2025</v>
      </c>
      <c r="E27" s="91">
        <v>2026</v>
      </c>
    </row>
    <row r="28" spans="1:5" ht="15.75" x14ac:dyDescent="0.25">
      <c r="B28" s="29">
        <v>2</v>
      </c>
      <c r="C28" s="31">
        <v>1</v>
      </c>
      <c r="D28" s="31">
        <v>1</v>
      </c>
      <c r="E28" s="30">
        <v>1</v>
      </c>
    </row>
    <row r="29" spans="1:5" x14ac:dyDescent="0.25">
      <c r="A29" s="88" t="s">
        <v>203</v>
      </c>
      <c r="B29" s="69" t="s">
        <v>30</v>
      </c>
      <c r="C29" s="2" t="s">
        <v>204</v>
      </c>
      <c r="D29" s="2" t="s">
        <v>37</v>
      </c>
      <c r="E29" s="47" t="s">
        <v>205</v>
      </c>
    </row>
    <row r="30" spans="1:5" ht="15.75" thickBot="1" x14ac:dyDescent="0.3">
      <c r="B30" s="92" t="s">
        <v>27</v>
      </c>
      <c r="C30" s="93"/>
      <c r="D30" s="93"/>
      <c r="E30" s="48"/>
    </row>
  </sheetData>
  <mergeCells count="3">
    <mergeCell ref="B1:C1"/>
    <mergeCell ref="D1:F1"/>
    <mergeCell ref="G1:L1"/>
  </mergeCells>
  <pageMargins left="0.7" right="0.7" top="0.75" bottom="0.75" header="0.3" footer="0.3"/>
  <ignoredErrors>
    <ignoredError sqref="C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Tree Stratifaction</vt:lpstr>
      <vt:lpstr>Shape Files Details</vt:lpstr>
      <vt:lpstr>Planting Density </vt:lpstr>
      <vt:lpstr>Detailed Plantation Plan</vt:lpstr>
      <vt:lpstr> Allometric Equations</vt:lpstr>
      <vt:lpstr>Main Plantation Plan</vt:lpstr>
      <vt:lpstr>Primary Zones Plantation Plan</vt:lpstr>
      <vt:lpstr>Secondary Zones Plantation Plan</vt:lpstr>
      <vt:lpstr> Nursery requirements&amp;Capacity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Sencer</dc:creator>
  <cp:lastModifiedBy>Sencer</cp:lastModifiedBy>
  <dcterms:created xsi:type="dcterms:W3CDTF">2023-03-02T06:52:47Z</dcterms:created>
  <dcterms:modified xsi:type="dcterms:W3CDTF">2023-03-20T23:59:53Z</dcterms:modified>
</cp:coreProperties>
</file>